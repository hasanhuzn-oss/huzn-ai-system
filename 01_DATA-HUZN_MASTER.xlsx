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DASHBOARD" sheetId="2" r:id="rId6"/>
    <sheet state="visible" name="PRODUK" sheetId="3" r:id="rId7"/>
    <sheet state="visible" name="MATERIAL" sheetId="4" r:id="rId8"/>
    <sheet state="visible" name="PARAMETER" sheetId="5" r:id="rId9"/>
    <sheet state="visible" name="HPP_ENGINE" sheetId="6" r:id="rId10"/>
    <sheet state="visible" name="PRODUCTION_PLAN" sheetId="7" r:id="rId11"/>
    <sheet state="visible" name="SALES_TRACKER" sheetId="8" r:id="rId12"/>
    <sheet state="visible" name="SUMMARY_ENGINE" sheetId="9" r:id="rId13"/>
    <sheet state="visible" name="CASHFLOW" sheetId="10" r:id="rId14"/>
    <sheet state="visible" name="AI_ANALYSIS" sheetId="11" r:id="rId15"/>
  </sheets>
  <definedNames>
    <definedName name="PARAM_PCT_KAS">PARAMETER!$B$13</definedName>
    <definedName name="PARAM_MARGIN_TARGET">PARAMETER!$B$7</definedName>
    <definedName name="PARAM_PCT_HASAN">PARAMETER!$B$12</definedName>
    <definedName name="PARAM_REJECT_MAX">PARAMETER!$B$5</definedName>
    <definedName name="PARAM_HPP_TIPIS">PARAMETER!$B$10</definedName>
    <definedName name="PARAM_PCT_JEEHANA">PARAMETER!$B$11</definedName>
    <definedName name="PARAM_OVERHEAD_PCT">PARAMETER!$B$9</definedName>
    <definedName name="PARAM_REJECT_MAJOR">PARAMETER!$B$6</definedName>
    <definedName name="PARAM_MARGIN_WARNING">PARAMETER!$B$8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Tabel ini otomatis dari SUMMARY_ENGINE.
Menampilkan max 200 order aktif.
Gunakan filter Excel untuk sort berdasarkan kolom.</t>
      </text>
    </comment>
    <comment authorId="0" ref="G11">
      <text>
        <t xml:space="preserve">PROFIT per order:
Hijau = profit positif (untung)
Merah = profit negatif (rugi/belum terjual)
Cek AI_ANALYSIS untuk rekomendasi aksi.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PRODUCT_ID: Format PRD-001 s/d PRD-050
ID ini digunakan di HPP_ENGINE, SALES_TRACKER, SUMMARY_ENGINE.
JANGAN ubah ID yang sudah dipakai di order aktif!</t>
      </text>
    </comment>
    <comment authorId="0" ref="E3">
      <text>
        <t xml:space="preserve">TARGET HPP: Biaya pokok produksi per pcs yang diharapkan.
Dipakai di HPP_ENGINE untuk menghitung SELISIH HPP.
Jika HPP aktual &gt; target → STATUS = ⚠ MAHAL</t>
      </text>
    </comment>
    <comment authorId="0" ref="F3">
      <text>
        <t xml:space="preserve">HARGA JUAL: Harga per pcs ke klien/buyer.
Otomatis dipakai di SALES_TRACKER untuk hitung Revenue.
Ubah di sini → langsung berlaku ke semua transaksi baru.</t>
      </text>
    </comment>
    <comment authorId="0" ref="G3">
      <text>
        <t xml:space="preserve">MARGIN TARGET: Dihitung otomatis = (Harga Jual - Target HPP) / Harga Jual.
Bandingkan dengan PARAM_MARGIN_TARGET di sheet PARAMETER.
Jika margin &lt; PARAM_MARGIN_WARNING → produk perlu review harga.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MATERIAL_ID: Format MAT-001 dst.
Digunakan sebagai referensi saat menghitung kebutuhan bahan di HPP_ENGINE.
JANGAN hapus MAT-ID yang sudah direferensi.</t>
      </text>
    </comment>
    <comment authorId="0" ref="D3">
      <text>
        <t xml:space="preserve">HARGA/UNIT: Harga terkini per satuan (meter/gulung/pcs).
Update jika harga supplier berubah.
Dipakai untuk estimasi biaya bahan saat order baru masuk.</t>
      </text>
    </comment>
    <comment authorId="0" ref="F3">
      <text>
        <t xml:space="preserve">LEAD TIME: Waktu pengiriman dari pesan ke terima.
Info kritis untuk perencanaan produksi.
Masukkan dalam format "X-Y hari" atau "X minggu".</t>
      </text>
    </comment>
    <comment authorId="0" ref="G3">
      <text>
        <t xml:space="preserve">STATUS: Active = sedang dipakai
Inactive = belum/tidak dipakai
Discontinue = supplier stop / diganti
Filter baris Inactive saat review rutin.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PARAM_REJECT_MAX: Ubah angka ini untuk menaikkan/turunkan standar QC.
Contoh: 0.03 = max 3% reject per batch.
Berlaku SEKETIKA ke seluruh baris PRODUCTION_PLAN.</t>
      </text>
    </comment>
    <comment authorId="0" ref="B7">
      <text>
        <t xml:space="preserve">PARAM_MARGIN_TARGET: Target margin minimum 40% default.
Naikkan jika ingin standar profitabilitas lebih ketat.
Turunkan jika ada order volume besar dengan margin lebih tipis.</t>
      </text>
    </comment>
    <comment authorId="0" ref="B9">
      <text>
        <t xml:space="preserve">PARAM_OVERHEAD_PCT: Overhead 10% default.
Review setiap kuartal: jika sewa/listrik naik, naikkan nilai ini.
Langsung mempengaruhi HPP/pcs di HPP_ENGINE.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ORDER_ID: Sama persis dengan ORDER_ID di PRODUCTION_PLAN.
Format: HZN-YYMM-NNN
Satu baris = satu batch produksi.</t>
      </text>
    </comment>
    <comment authorId="0" ref="B3">
      <text>
        <t xml:space="preserve">PRODUCT_ID: Pilih dari dropdown (PRD-001 s/d PRD-050).
Harus cocok dengan yang ada di sheet PRODUK.
Otomatis mengisi NAMA PRODUK, TARGET HPP, HARGA JUAL.</t>
      </text>
    </comment>
    <comment authorId="0" ref="E3">
      <text>
        <t xml:space="preserve">BIAYA BAHAN: Total biaya bahan baku aktual yang sudah dibeli untuk batch ini.
Cocokkan dengan nota pembelian.
Jika ada pembelian multi-supplier, jumlahkan dulu di luar.</t>
      </text>
    </comment>
    <comment authorId="0" ref="F3">
      <text>
        <t xml:space="preserve">BIAYA TK: Total upah tenaga kerja untuk batch ini.
Termasuk: upah jahit, bordir, finishing, quality check.
Jika pakai sistem borongan, masukkan total borongan.</t>
      </text>
    </comment>
    <comment authorId="0" ref="G3">
      <text>
        <t xml:space="preserve">BIAYA QC: Biaya quality control aktual.
Contoh: biaya lab uji kain, biaya inspector eksternal, dll.
Jika QC dilakukan internal, masukkan 0.</t>
      </text>
    </comment>
    <comment authorId="0" ref="H3">
      <text>
        <t xml:space="preserve">OVERHEAD: Dihitung OTOMATIS = (Biaya Bahan + TK) × PARAM_OVERHEAD_PCT.
Tidak perlu diisi manual.
Ubah % overhead di sheet PARAMETER → berlaku ke semua baris.</t>
      </text>
    </comment>
    <comment authorId="0" ref="I3">
      <text>
        <t xml:space="preserve">TOTAL COST: Otomatis = Bahan + TK + QC + Overhead.
Ini adalah total modal yang keluar untuk satu batch.
Dipakai SUMMARY_ENGINE untuk menghitung gross profit per order.</t>
      </text>
    </comment>
    <comment authorId="0" ref="J3">
      <text>
        <t xml:space="preserve">HPP/PCS: Otomatis = Total Cost ÷ QTY Produksi.
Harga pokok per satu pcs produk.
Dipakai SALES_TRACKER untuk hitung profit tiap transaksi penjualan.</t>
      </text>
    </comment>
    <comment authorId="0" ref="L3">
      <text>
        <t xml:space="preserve">SELISIH HPP: Otomatis = Target HPP - HPP Aktual.
Nilai POSITIF = HPP di bawah target (BAGUS).
Nilai NEGATIF = HPP melebihi target (MAHAL — perlu efisiensi).</t>
      </text>
    </comment>
    <comment authorId="0" ref="M3">
      <text>
        <t xml:space="preserve">STATUS HPP:
✓ OK = HPP ≤ Target + toleransi PARAM_HPP_TIPIS
⚠ MAHAL = HPP melebihi target + toleransi
⚠ TIPIS = HPP tepat di batas toleransi
— = QTY = 0 (belum ada data)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ORDER_ID: Format HZN-YYMM-NNN.
Harus sama dengan ORDER_ID di HPP_ENGINE dan CASHFLOW.
Satu baris = satu batch/order produksi.</t>
      </text>
    </comment>
    <comment authorId="0" ref="D3">
      <text>
        <t xml:space="preserve">QTY PLAN: Jumlah pcs yang direncanakan untuk diproduksi.
Dipakai menghitung SELL THRU % di SUMMARY_ENGINE.
Bisa beda dengan QTY REALISASI jika ada gangguan produksi.</t>
      </text>
    </comment>
    <comment authorId="0" ref="E3">
      <text>
        <t xml:space="preserve">QTY REALISASI: Jumlah pcs yang benar-benar selesai diproduksi.
Update saat batch selesai atau progress produksi.
Dipakai HPP_ENGINE sebagai denominator HPP/pcs.</t>
      </text>
    </comment>
    <comment authorId="0" ref="H3">
      <text>
        <t xml:space="preserve">STATUS ORDER: Planning → Produksi → Sample → Selesai
Update secara berkala sesuai progress nyata.
Dipakai Dashboard untuk hitung "Produksi Aktif" dan "Order Selesai".</t>
      </text>
    </comment>
    <comment authorId="0" ref="I3">
      <text>
        <t xml:space="preserve">REJECT TOTAL: Total unit yang ditolak (cacat, tidak sesuai standar).
Hitung dari jumlah pcs yang perlu rework + yang dibuang.
Dipakai untuk hitung REJECT % dan STATUS QC otomatis.</t>
      </text>
    </comment>
    <comment authorId="0" ref="K3">
      <text>
        <t xml:space="preserve">STATUS QC: Dihitung OTOMATIS dari REJECT %.
✓ BAGUS = Reject &lt; PARAM_REJECT_MAX (5%)
⚠ PERHATIAN = Reject 5-10%
🚨 ESKALASI = Reject &gt; 10% atau &gt; PARAM_REJECT_MAJOR</t>
      </text>
    </comment>
    <comment authorId="0" ref="L3">
      <text>
        <t xml:space="preserve">AGING (Hari): Otomatis = TODAY() - TGL MULAI.
Menunjukkan berapa hari order ini sudah berjalan.
✓ Selesai jika status Selesai.</t>
      </text>
    </comment>
    <comment authorId="0" ref="M3">
      <text>
        <t xml:space="preserve">SISA HARI: Otomatis = TGL SELESAI - TODAY().
Positif = masih ada waktu tersisa.
Negatif = OVERDUE — perlu eskalasi segera!
✓ Selesai jika status Selesai.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TANGGAL: Tanggal transaksi penjualan terjadi.
Format: DD-MM-YYYY atau pilih dari date picker.
Dipakai untuk analisis tren penjualan per bulan di AI_ANALYSIS.</t>
      </text>
    </comment>
    <comment authorId="0" ref="B3">
      <text>
        <t xml:space="preserve">ORDER_ID: ID batch yang unit terjualnya berasal dari.
Harus ada di HPP_ENGINE agar HPP/pcs bisa diambil.
Satu ORDER_ID bisa muncul di banyak baris jika dijual bertahap.</t>
      </text>
    </comment>
    <comment authorId="0" ref="E3">
      <text>
        <t xml:space="preserve">QTY TERJUAL: Jumlah unit yang terjual dalam transaksi ini.
Jika satu order dijual ke banyak klien, buat baris terpisah.
Total QTY di semua baris tidak boleh melebihi QTY PRODUKSI di HPP_ENGINE.</t>
      </text>
    </comment>
    <comment authorId="0" ref="F3">
      <text>
        <t xml:space="preserve">HARGA JUAL: Otomatis dari PRODUK database.
Jika ada diskon atau harga khusus, override manual.
Revisi harga akan berlaku untuk baris baru saja, bukan retroaktif.</t>
      </text>
    </comment>
    <comment authorId="0" ref="J3">
      <text>
        <t xml:space="preserve">GROSS PROFIT: Otomatis = Total Penjualan - Total HPP.
Nilai positif = untung, negatif = rugi per transaksi.
Dipakai SUMMARY_ENGINE untuk agregasi profit per order.</t>
      </text>
    </comment>
    <comment authorId="0" ref="K3">
      <text>
        <t xml:space="preserve">MARGIN %: Otomatis = Gross Profit / Total Penjualan.
Bandingkan dengan PARAM_MARGIN_TARGET (40%).
Jika &lt; PARAM_MARGIN_WARNING (15%) → transaksi perlu direview.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ORDER_ID: SATU-SATUNYA input di sheet ini.
Isikan ORDER_ID yang ada di PRODUCTION_PLAN.
Semua kolom lain otomatis terisi dari engine lain.</t>
      </text>
    </comment>
    <comment authorId="0" ref="H3">
      <text>
        <t xml:space="preserve">TOTAL COST: Otomatis dari HPP_ENGINE.
= Total biaya produksi batch ini (bahan + TK + QC + overhead).
Dipakai hitung Gross Profit dan ROI.</t>
      </text>
    </comment>
    <comment authorId="0" ref="I3">
      <text>
        <t xml:space="preserve">TOTAL REVENUE: Otomatis dari SALES_TRACKER.
= SUM semua penjualan yang ORDER_ID-nya cocok.
Belum termasuk piutang — hanya yang sudah tercatat di SALES_TRACKER.</t>
      </text>
    </comment>
    <comment authorId="0" ref="J3">
      <text>
        <t xml:space="preserve">GROSS PROFIT: Otomatis = Revenue - Cost.
Negatif jika order belum terjual atau rugi.
Dipakai AI_ANALYSIS untuk distribusi profit dan KPI.</t>
      </text>
    </comment>
    <comment authorId="0" ref="L3">
      <text>
        <t xml:space="preserve">ROI %: Otomatis = Gross Profit / Total Cost.
Mengukur seberapa besar return dari modal yang dikeluarkan.
ROI 80% artinya setiap Rp 100 modal → untung Rp 80.</t>
      </text>
    </comment>
    <comment authorId="0" ref="M3">
      <text>
        <t xml:space="preserve">SELL THRU %: Otomatis = QTY Terjual / QTY Produksi.
100% = SOLD OUT semua unit terjual.
0% = STUCK tidak ada yang terjual.
&lt;50% = perlu evaluasi strategi penjualan.</t>
      </text>
    </comment>
    <comment authorId="0" ref="N3">
      <text>
        <t xml:space="preserve">STATUS ORDER: Otomatis berdasarkan Sell Thru &amp; Profit.
SOLD OUT = Sell Thru 100%
ON TRACK = Sell Thru 50-99%
BELUM TERJUAL = Sell Thru 0%
PLANNING = belum ada data produksi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TANGGAL: Tanggal uang benar-benar masuk/keluar rekening.
Bukan tanggal invoice — tapi tanggal transfer/bayar tunai.
Urutan kronologis sangat penting untuk saldo kumulatif.</t>
      </text>
    </comment>
    <comment authorId="0" ref="C3">
      <text>
        <t xml:space="preserve">TIPE: Pilih "Masuk" atau "Keluar" SAJA.
Masuk: pembayaran dari klien, DP, pelunasan, dll.
Keluar: beli bahan, bayar TK, overhead, dll.</t>
      </text>
    </comment>
    <comment authorId="0" ref="D3">
      <text>
        <t xml:space="preserve">NOMINAL: Masukkan angka POSITIF untuk keduanya (Masuk dan Keluar).
Sistem otomatis menambah/mengurangi berdasarkan TIPE.
Jangan masukkan angka negatif.</t>
      </text>
    </comment>
    <comment authorId="0" ref="F3">
      <text>
        <t xml:space="preserve">KATEGORI: Klasifikasi untuk analisis cashflow.
Pilih: Revenue / Bahan / TK / Overhead / Lainnya
Dipakai AI_ANALYSIS untuk breakdown pengeluaran per kategori.</t>
      </text>
    </comment>
    <comment authorId="0" ref="G3">
      <text>
        <t xml:space="preserve">SALDO KUMULATIF: Otomatis = saldo baris sebelumnya ± transaksi ini.
Mencerminkan posisi kas aktual di titik waktu itu.
Pastikan baris terurut kronologis agar saldo akurat.</t>
      </text>
    </comment>
    <comment authorId="0" ref="H3">
      <text>
        <t xml:space="preserve">STATUS KAS:
✓ AMAN = Saldo &gt; Rp 50jt (lihat PARAMETER)
⚡ KRITIS = Saldo Rp 0 - 50jt
🚨 NEGATIF = Saldo minus (bahaya!)
Dipakai Dashboard untuk alert kas.</t>
      </text>
    </comment>
  </commentList>
</comments>
</file>

<file path=xl/sharedStrings.xml><?xml version="1.0" encoding="utf-8"?>
<sst xmlns="http://schemas.openxmlformats.org/spreadsheetml/2006/main" count="727" uniqueCount="503">
  <si>
    <t>◆  HUZN AI BUSINESS OPERATING SYSTEM  ·  v10 ULTRA EDITION  ◆</t>
  </si>
  <si>
    <t>Dibangun untuk jangka panjang  ·  Kapasitas: 50 produk · 50 material · 200 order · 1.000 transaksi</t>
  </si>
  <si>
    <t xml:space="preserve">  ◈  ARSITEKTUR SISTEM  —  Aliran Data &amp; Peran Setiap Sheet</t>
  </si>
  <si>
    <t>SHEET</t>
  </si>
  <si>
    <t>PERAN</t>
  </si>
  <si>
    <t>INPUT MANUAL</t>
  </si>
  <si>
    <t>KAPASITAS</t>
  </si>
  <si>
    <t>REFERENSI KE</t>
  </si>
  <si>
    <t>WARNA TAB</t>
  </si>
  <si>
    <t>PRIORITAS</t>
  </si>
  <si>
    <t>PANDUAN</t>
  </si>
  <si>
    <t>Dokumen panduan &amp; referensi sistem ini</t>
  </si>
  <si>
    <t>Tidak ada</t>
  </si>
  <si>
    <t>—</t>
  </si>
  <si>
    <t>Emas</t>
  </si>
  <si>
    <t>PRODUK</t>
  </si>
  <si>
    <t>Master database semua produk — SATU-SATUNYA sumber produk</t>
  </si>
  <si>
    <t>PRODUCT_ID, Nama, HPP, Harga</t>
  </si>
  <si>
    <t>50 produk</t>
  </si>
  <si>
    <t>Direferensi seluruh engine</t>
  </si>
  <si>
    <t>Hijau</t>
  </si>
  <si>
    <t>1</t>
  </si>
  <si>
    <t>MATERIAL</t>
  </si>
  <si>
    <t>Database bahan baku &amp; supplier</t>
  </si>
  <si>
    <t>MATERIAL_ID, Nama, Harga</t>
  </si>
  <si>
    <t>50 material</t>
  </si>
  <si>
    <t>Referensi manual saat hitung bahan</t>
  </si>
  <si>
    <t>Biru tua</t>
  </si>
  <si>
    <t>2</t>
  </si>
  <si>
    <t>PARAMETER</t>
  </si>
  <si>
    <t>Konfigurasi global 9 Named Range — pengatur seluruh sistem</t>
  </si>
  <si>
    <t>Nilai % kolom B SAJA</t>
  </si>
  <si>
    <t>9 param</t>
  </si>
  <si>
    <t>HPP_ENGINE, PRODUCTION_PLAN, AI_ANALYSIS</t>
  </si>
  <si>
    <t>Merah</t>
  </si>
  <si>
    <t>3</t>
  </si>
  <si>
    <t>HPP_ENGINE</t>
  </si>
  <si>
    <t>Hitung Harga Pokok Produksi per order → HPP/pcs otomatis</t>
  </si>
  <si>
    <t>ORDER_ID, QTY, Biaya aktual</t>
  </si>
  <si>
    <t>200 order</t>
  </si>
  <si>
    <t>PRODUK (nama, target HPP)</t>
  </si>
  <si>
    <t>Biru</t>
  </si>
  <si>
    <t>4</t>
  </si>
  <si>
    <t>PRODUCTION_PLAN</t>
  </si>
  <si>
    <t>Tracking produksi, jadwal, QC, aging per order</t>
  </si>
  <si>
    <t>ORDER_ID, Klien, QTY, Tanggal</t>
  </si>
  <si>
    <t>PARAMETER (reject max)</t>
  </si>
  <si>
    <t>Ungu</t>
  </si>
  <si>
    <t>5</t>
  </si>
  <si>
    <t>SALES_TRACKER</t>
  </si>
  <si>
    <t>Setiap transaksi penjualan — Revenue &amp; Profit real-time</t>
  </si>
  <si>
    <t>Tanggal, ORDER_ID, QTY jual</t>
  </si>
  <si>
    <t>1.000 trx</t>
  </si>
  <si>
    <t>PRODUK (harga jual), HPP_ENGINE (HPP/pcs)</t>
  </si>
  <si>
    <t>Teal</t>
  </si>
  <si>
    <t>6</t>
  </si>
  <si>
    <t>SUMMARY_ENGINE</t>
  </si>
  <si>
    <t>Rekap keuangan lengkap per order — NO INPUT sama sekali</t>
  </si>
  <si>
    <t>ORDER_ID di kolom A saja</t>
  </si>
  <si>
    <t>PRODUK, HPP_ENGINE, PRODUCTION_PLAN, SALES_TRACKER</t>
  </si>
  <si>
    <t>Abu</t>
  </si>
  <si>
    <t>7</t>
  </si>
  <si>
    <t>CASHFLOW</t>
  </si>
  <si>
    <t>Setiap arus kas masuk &amp; keluar — saldo kumulatif otomatis</t>
  </si>
  <si>
    <t>Tanggal, Tipe, Nominal, Kat.</t>
  </si>
  <si>
    <t>—  (independen)</t>
  </si>
  <si>
    <t>Ungu tua</t>
  </si>
  <si>
    <t>8</t>
  </si>
  <si>
    <t>AI_ANALYSIS</t>
  </si>
  <si>
    <t>KPI insight + distribusi profit otomatis untuk laporan</t>
  </si>
  <si>
    <t>SUMMARY_ENGINE, CASHFLOW, PRODUCTION_PLAN</t>
  </si>
  <si>
    <t>Oranye</t>
  </si>
  <si>
    <t>9</t>
  </si>
  <si>
    <t>DASHBOARD</t>
  </si>
  <si>
    <t>Ringkasan eksekutif real-time — tampilan manajemen</t>
  </si>
  <si>
    <t>10</t>
  </si>
  <si>
    <t xml:space="preserve">  ◈  CARA KERJA HARIAN  —  Urutan Input yang Benar</t>
  </si>
  <si>
    <t>LANGKAH</t>
  </si>
  <si>
    <t>AKSI</t>
  </si>
  <si>
    <t>DETAIL LENGKAP</t>
  </si>
  <si>
    <t>SHEET TUJUAN</t>
  </si>
  <si>
    <t>KOLOM INPUT</t>
  </si>
  <si>
    <t>EFEK KE SISTEM</t>
  </si>
  <si>
    <t>WAKTU EST.</t>
  </si>
  <si>
    <t>ORDER BARU MASUK</t>
  </si>
  <si>
    <t>Isi ORDER_ID baru, PRODUCT_ID, Klien, QTY Plan, Tanggal Mulai &amp; Selesai, Status = Planning</t>
  </si>
  <si>
    <t>A,B,C,D,F,G,H</t>
  </si>
  <si>
    <t>Status &amp; aging terhitung otomatis. Dashboard order count naik.</t>
  </si>
  <si>
    <t>2 menit</t>
  </si>
  <si>
    <t>MULAI PRODUKSI</t>
  </si>
  <si>
    <t>Isi ORDER_ID, PRODUCT_ID, QTY Produksi, Biaya Bahan, TK, QC aktual</t>
  </si>
  <si>
    <t>A,B,D,E,F,G</t>
  </si>
  <si>
    <t>Overhead dihitung otomatis. HPP/pcs &amp; status HPP muncul. Summary Engine update.</t>
  </si>
  <si>
    <t>3 menit</t>
  </si>
  <si>
    <t>UPDATE STATUS</t>
  </si>
  <si>
    <t>Ubah STATUS ORDER: Planning → Produksi → Sample → Selesai</t>
  </si>
  <si>
    <t>Kolom H</t>
  </si>
  <si>
    <t>Dashboard status count update. Summary Engine status order berubah.</t>
  </si>
  <si>
    <t>30 detik</t>
  </si>
  <si>
    <t>ADA PENJUALAN</t>
  </si>
  <si>
    <t>Isi Tanggal, ORDER_ID, PRODUCT_ID, QTY Terjual per transaksi</t>
  </si>
  <si>
    <t>A,B,C,E</t>
  </si>
  <si>
    <t>Revenue, HPP, Profit, Margin dihitung otomatis. Summary Engine revenue naik.</t>
  </si>
  <si>
    <t>CATAT CASHFLOW</t>
  </si>
  <si>
    <t>Isi setiap uang masuk (Revenue, DP, Pelunasan) atau keluar (Bahan, TK, Overhead)</t>
  </si>
  <si>
    <t>A,B,C,D,E,F</t>
  </si>
  <si>
    <t>Saldo kumulatif update real-time. Status Kas ✓ AMAN / ⚡ KRITIS otomatis.</t>
  </si>
  <si>
    <t>1 menit</t>
  </si>
  <si>
    <t>LIHAT HASIL</t>
  </si>
  <si>
    <t>Buka DASHBOARD → semua KPI update otomatis. Cek AI_ANALYSIS untuk insight mendalam.</t>
  </si>
  <si>
    <t>DASHBOARD / AI_ANALYSIS</t>
  </si>
  <si>
    <t>Visual KPI langsung terbaca. Insight &amp; rekomendasi aksi tersedia.</t>
  </si>
  <si>
    <t>TAMBAH PRODUK</t>
  </si>
  <si>
    <t>Buka PRODUK → tambah baris baru di bawah data terakhir → isi PRODUCT_ID, nama, harga</t>
  </si>
  <si>
    <t>A hingga H</t>
  </si>
  <si>
    <t>Produk baru langsung tersedia di dropdown HPP_ENGINE &amp; SALES_TRACKER.</t>
  </si>
  <si>
    <t>UBAH PARAMETER</t>
  </si>
  <si>
    <t>Buka PARAMETER → ubah NILAI di kolom B SAJA → berlaku seketika ke seluruh sistem</t>
  </si>
  <si>
    <t>Kolom B saja</t>
  </si>
  <si>
    <t>Margin target, reject max, overhead %, distribusi profit — semua berubah serentak.</t>
  </si>
  <si>
    <t xml:space="preserve">  ◈  KODE WARNA FORMULA  (Standar Industri Keuangan)</t>
  </si>
  <si>
    <t>████</t>
  </si>
  <si>
    <t>BIRU  — Input Manual</t>
  </si>
  <si>
    <t>Angka/teks yang HARUS diisi pengguna. Jangan biarkan kosong jika baris sudah diisi.</t>
  </si>
  <si>
    <t>EMAS  — Formula Auto</t>
  </si>
  <si>
    <t>Dihitung otomatis sistem. JANGAN diubah. Warna berubah jika ada error.</t>
  </si>
  <si>
    <t>HIJAU — Link Lintas Sheet</t>
  </si>
  <si>
    <t>Mengambil data dari sheet lain. Akan error jika ID sumber tidak ditemukan.</t>
  </si>
  <si>
    <t>MERAH — Parameter Kritis</t>
  </si>
  <si>
    <t>Named Range / PARAMETER global. JANGAN ubah posisi baris/kolom.</t>
  </si>
  <si>
    <t>◆  HUZN AI BUSINESS OPERATING SYSTEM  ·  EXECUTIVE DASHBOARD  ◆</t>
  </si>
  <si>
    <t xml:space="preserve">  ◈  KEUANGAN UTAMA</t>
  </si>
  <si>
    <t>TOTAL REVENUE</t>
  </si>
  <si>
    <t>TOTAL COST</t>
  </si>
  <si>
    <t>GROSS PROFIT</t>
  </si>
  <si>
    <t>MARGIN % AKTUAL</t>
  </si>
  <si>
    <t>SALDO KAS</t>
  </si>
  <si>
    <t xml:space="preserve">  ◈  OPERASIONAL PRODUKSI &amp; PENJUALAN</t>
  </si>
  <si>
    <t>TOTAL ORDER</t>
  </si>
  <si>
    <t>AKTIF PRODUKSI</t>
  </si>
  <si>
    <t>SELESAI</t>
  </si>
  <si>
    <t>TOTAL UNIT TERJUAL</t>
  </si>
  <si>
    <t>SELL-THRU RATE</t>
  </si>
  <si>
    <t xml:space="preserve">  ◈  REKAP PER ORDER  —  Live dari SUMMARY ENGINE</t>
  </si>
  <si>
    <t>ORDER_ID</t>
  </si>
  <si>
    <t>QTY PROD</t>
  </si>
  <si>
    <t>QTY JUAL</t>
  </si>
  <si>
    <t>REVENUE (Rp)</t>
  </si>
  <si>
    <t>COST (Rp)</t>
  </si>
  <si>
    <t>PROFIT (Rp)</t>
  </si>
  <si>
    <t>MARGIN %</t>
  </si>
  <si>
    <t>SELL THRU %</t>
  </si>
  <si>
    <t>STATUS</t>
  </si>
  <si>
    <t>◈  KPI LANJUTAN  —  Analisis Mendalam</t>
  </si>
  <si>
    <t>BURN RATE/BULAN</t>
  </si>
  <si>
    <t>Rata-rata pengeluaran per bulan</t>
  </si>
  <si>
    <t>RUNWAY (Bulan)</t>
  </si>
  <si>
    <t>Berapa bulan kas cukup dengan burn rate saat ini</t>
  </si>
  <si>
    <t>ORDER WIN RATE</t>
  </si>
  <si>
    <t>% order yang berhasil SOLD OUT</t>
  </si>
  <si>
    <t>AVG MARGIN / ORDER</t>
  </si>
  <si>
    <t>Rata-rata margin order yang sudah terjual</t>
  </si>
  <si>
    <t>STOK TERTAHAN (Rp)</t>
  </si>
  <si>
    <t>Nilai HPP stok yang belum terjual</t>
  </si>
  <si>
    <t>◆  DATABASE PRODUK  ·  Sumber Data Produk Tunggal  ◆</t>
  </si>
  <si>
    <t>BIRU = isi manual  ·  EMAS = formula otomatis  ·  Tambah produk baru = tambah baris di bawah baris data terakhir</t>
  </si>
  <si>
    <t>PRODUCT_ID</t>
  </si>
  <si>
    <t>NAMA PRODUK</t>
  </si>
  <si>
    <t>KATEGORI</t>
  </si>
  <si>
    <t>SIZE RANGE</t>
  </si>
  <si>
    <t>TARGET HPP (Rp)</t>
  </si>
  <si>
    <t>HARGA JUAL (Rp)</t>
  </si>
  <si>
    <t>MARGIN TARGET %</t>
  </si>
  <si>
    <t>KETERANGAN / STATUS</t>
  </si>
  <si>
    <t>PRD-001</t>
  </si>
  <si>
    <t>Abaya Premium Linen</t>
  </si>
  <si>
    <t>Abaya</t>
  </si>
  <si>
    <t>S,M,L,XL</t>
  </si>
  <si>
    <t>PRD-002</t>
  </si>
  <si>
    <t>Gamis Velvet Bordir</t>
  </si>
  <si>
    <t>Gamis</t>
  </si>
  <si>
    <t>S,M,L,XL,XXL</t>
  </si>
  <si>
    <t>PRD-003</t>
  </si>
  <si>
    <t>Kaftan Silk Premium</t>
  </si>
  <si>
    <t>Kaftan</t>
  </si>
  <si>
    <t>Free Size</t>
  </si>
  <si>
    <t>PRD-004</t>
  </si>
  <si>
    <t>Tunik Casual Linen</t>
  </si>
  <si>
    <t>Tunik</t>
  </si>
  <si>
    <t>PRD-005</t>
  </si>
  <si>
    <t>Dress Batik Modern</t>
  </si>
  <si>
    <t>Dress</t>
  </si>
  <si>
    <t>PRD-006</t>
  </si>
  <si>
    <t>PRD-007</t>
  </si>
  <si>
    <t>PRD-008</t>
  </si>
  <si>
    <t>PRD-009</t>
  </si>
  <si>
    <t>PRD-010</t>
  </si>
  <si>
    <t>PRD-011</t>
  </si>
  <si>
    <t>PRD-012</t>
  </si>
  <si>
    <t>PRD-013</t>
  </si>
  <si>
    <t>PRD-014</t>
  </si>
  <si>
    <t>PRD-015</t>
  </si>
  <si>
    <t>PRD-016</t>
  </si>
  <si>
    <t>PRD-017</t>
  </si>
  <si>
    <t>PRD-018</t>
  </si>
  <si>
    <t>PRD-019</t>
  </si>
  <si>
    <t>PRD-020</t>
  </si>
  <si>
    <t>PRD-021</t>
  </si>
  <si>
    <t>PRD-022</t>
  </si>
  <si>
    <t>PRD-023</t>
  </si>
  <si>
    <t>PRD-024</t>
  </si>
  <si>
    <t>PRD-025</t>
  </si>
  <si>
    <t>PRD-026</t>
  </si>
  <si>
    <t>PRD-027</t>
  </si>
  <si>
    <t>PRD-028</t>
  </si>
  <si>
    <t>PRD-029</t>
  </si>
  <si>
    <t>PRD-030</t>
  </si>
  <si>
    <t>PRD-031</t>
  </si>
  <si>
    <t>PRD-032</t>
  </si>
  <si>
    <t>PRD-033</t>
  </si>
  <si>
    <t>PRD-034</t>
  </si>
  <si>
    <t>PRD-035</t>
  </si>
  <si>
    <t>PRD-036</t>
  </si>
  <si>
    <t>PRD-037</t>
  </si>
  <si>
    <t>PRD-038</t>
  </si>
  <si>
    <t>PRD-039</t>
  </si>
  <si>
    <t>PRD-040</t>
  </si>
  <si>
    <t>PRD-041</t>
  </si>
  <si>
    <t>PRD-042</t>
  </si>
  <si>
    <t>PRD-043</t>
  </si>
  <si>
    <t>PRD-044</t>
  </si>
  <si>
    <t>PRD-045</t>
  </si>
  <si>
    <t>PRD-046</t>
  </si>
  <si>
    <t>PRD-047</t>
  </si>
  <si>
    <t>PRD-048</t>
  </si>
  <si>
    <t>PRD-049</t>
  </si>
  <si>
    <t>◆  DATABASE MATERIAL  ·  Bahan Baku &amp; Supplier  ◆</t>
  </si>
  <si>
    <t>BIRU = isi manual  ·  Status: Active / Inactive / Discontinue  ·  Harga dipakai untuk estimasi kebutuhan material</t>
  </si>
  <si>
    <t>MATERIAL_ID</t>
  </si>
  <si>
    <t>NAMA MATERIAL</t>
  </si>
  <si>
    <t>SATUAN</t>
  </si>
  <si>
    <t>HARGA/UNIT (Rp)</t>
  </si>
  <si>
    <t>SUPPLIER</t>
  </si>
  <si>
    <t>LEAD TIME</t>
  </si>
  <si>
    <t>CATATAN</t>
  </si>
  <si>
    <t>MAT-001</t>
  </si>
  <si>
    <t>Kain Linen Premium</t>
  </si>
  <si>
    <t>meter</t>
  </si>
  <si>
    <t>CV Tekstil Nusantara</t>
  </si>
  <si>
    <t>3-5 hari</t>
  </si>
  <si>
    <t>Active</t>
  </si>
  <si>
    <t>MAT-002</t>
  </si>
  <si>
    <t>Kain Velvet</t>
  </si>
  <si>
    <t>PT Kain Jaya</t>
  </si>
  <si>
    <t>5-7 hari</t>
  </si>
  <si>
    <t>MAT-003</t>
  </si>
  <si>
    <t>Kain Silk Satin</t>
  </si>
  <si>
    <t>CV Mitra Silk</t>
  </si>
  <si>
    <t>7-10 hari</t>
  </si>
  <si>
    <t>MAT-004</t>
  </si>
  <si>
    <t>Kain Batik Premium</t>
  </si>
  <si>
    <t>Batik Larasati</t>
  </si>
  <si>
    <t>MAT-005</t>
  </si>
  <si>
    <t>Benang Bordir</t>
  </si>
  <si>
    <t>gulung</t>
  </si>
  <si>
    <t>Toko Benang Raya</t>
  </si>
  <si>
    <t>1-2 hari</t>
  </si>
  <si>
    <t>MAT-006</t>
  </si>
  <si>
    <t>Kancing Premium</t>
  </si>
  <si>
    <t>set</t>
  </si>
  <si>
    <t>CV Aksesori Indah</t>
  </si>
  <si>
    <t>2-3 hari</t>
  </si>
  <si>
    <t>MAT-007</t>
  </si>
  <si>
    <t>Resleting YKK</t>
  </si>
  <si>
    <t>pcs</t>
  </si>
  <si>
    <t>Toko YKK</t>
  </si>
  <si>
    <t>MAT-008</t>
  </si>
  <si>
    <t>Inactive</t>
  </si>
  <si>
    <t>MAT-009</t>
  </si>
  <si>
    <t>MAT-010</t>
  </si>
  <si>
    <t>MAT-011</t>
  </si>
  <si>
    <t>MAT-012</t>
  </si>
  <si>
    <t>MAT-013</t>
  </si>
  <si>
    <t>MAT-014</t>
  </si>
  <si>
    <t>MAT-015</t>
  </si>
  <si>
    <t>MAT-016</t>
  </si>
  <si>
    <t>MAT-017</t>
  </si>
  <si>
    <t>MAT-018</t>
  </si>
  <si>
    <t>MAT-019</t>
  </si>
  <si>
    <t>MAT-020</t>
  </si>
  <si>
    <t>MAT-021</t>
  </si>
  <si>
    <t>MAT-022</t>
  </si>
  <si>
    <t>MAT-023</t>
  </si>
  <si>
    <t>MAT-024</t>
  </si>
  <si>
    <t>MAT-025</t>
  </si>
  <si>
    <t>MAT-026</t>
  </si>
  <si>
    <t>MAT-027</t>
  </si>
  <si>
    <t>MAT-028</t>
  </si>
  <si>
    <t>MAT-029</t>
  </si>
  <si>
    <t>MAT-030</t>
  </si>
  <si>
    <t>MAT-031</t>
  </si>
  <si>
    <t>MAT-032</t>
  </si>
  <si>
    <t>MAT-033</t>
  </si>
  <si>
    <t>MAT-034</t>
  </si>
  <si>
    <t>MAT-035</t>
  </si>
  <si>
    <t>MAT-036</t>
  </si>
  <si>
    <t>MAT-037</t>
  </si>
  <si>
    <t>MAT-038</t>
  </si>
  <si>
    <t>MAT-039</t>
  </si>
  <si>
    <t>MAT-040</t>
  </si>
  <si>
    <t>MAT-041</t>
  </si>
  <si>
    <t>MAT-042</t>
  </si>
  <si>
    <t>MAT-043</t>
  </si>
  <si>
    <t>MAT-044</t>
  </si>
  <si>
    <t>MAT-045</t>
  </si>
  <si>
    <t>MAT-046</t>
  </si>
  <si>
    <t>MAT-047</t>
  </si>
  <si>
    <t>MAT-048</t>
  </si>
  <si>
    <t>MAT-049</t>
  </si>
  <si>
    <t>◆  PARAMETER SISTEM  ·  Konfigurasi Global  ◆</t>
  </si>
  <si>
    <t>⚠  UBAH KOLOM NILAI (B) SAJA  ·  Mengubah posisi baris akan merusak seluruh sistem</t>
  </si>
  <si>
    <t>⚠  PERINGATAN KERAS: Semua sheet engine mereferensi parameter ini via Named Range. Geser baris = sistem rusak!</t>
  </si>
  <si>
    <t>NAMED RANGE (ID)</t>
  </si>
  <si>
    <t>NILAI</t>
  </si>
  <si>
    <t>FORMAT</t>
  </si>
  <si>
    <t>KETERANGAN LENGKAP</t>
  </si>
  <si>
    <t>BERLAKU DI SHEET</t>
  </si>
  <si>
    <t>PARAM_REJECT_MAX</t>
  </si>
  <si>
    <t>0.0%</t>
  </si>
  <si>
    <t>Reject rate MAKSIMAL per batch — Alert ⚠ PERHATIAN jika melebihi batas ini. Dipakai PRODUCTION_PLAN &amp; AI_ANALYSIS untuk status QC.</t>
  </si>
  <si>
    <t>PRODUCTION_PLAN, AI_ANALYSIS</t>
  </si>
  <si>
    <t>PARAM_REJECT_MAJOR</t>
  </si>
  <si>
    <t>Reject MAJOR per batch — Alert eskalasi merah jika melebihi. Reject major = cacat struktural/tidak bisa diperbaiki.</t>
  </si>
  <si>
    <t>PARAM_MARGIN_TARGET</t>
  </si>
  <si>
    <t>Target gross margin MINIMUM per order — KPI utama profitabilitas. Order di bawah ini masuk kategori review harga &amp; HPP.</t>
  </si>
  <si>
    <t>HPP_ENGINE, AI_ANALYSIS, DASHBOARD</t>
  </si>
  <si>
    <t>PARAM_MARGIN_WARNING</t>
  </si>
  <si>
    <t>Batas bawah margin — jika margin aktual di bawah ini, status berubah TIPIS / WARNING merah. Perlu eskalasi segera ke manajemen.</t>
  </si>
  <si>
    <t>HPP_ENGINE, AI_ANALYSIS</t>
  </si>
  <si>
    <t>PARAM_OVERHEAD_PCT</t>
  </si>
  <si>
    <t>Overhead % dari (Biaya Bahan + TK). Biaya operasional umum: listrik, air, sewa, admin. Ubah jika kondisi bisnis berubah.</t>
  </si>
  <si>
    <t>PARAM_HPP_TIPIS</t>
  </si>
  <si>
    <t>Toleransi HPP tipis — HPP aktual boleh melebihi target HPP hingga % ini tanpa alert. Di luar toleransi → status ⚠ MAHAL.</t>
  </si>
  <si>
    <t>PARAM_PCT_JEEHANA</t>
  </si>
  <si>
    <t>0%</t>
  </si>
  <si>
    <t>Persentase distribusi net profit untuk Jeehana. Harus total Jeehana + Hasan + Kas = 100%.</t>
  </si>
  <si>
    <t>PARAM_PCT_HASAN</t>
  </si>
  <si>
    <t>Persentase distribusi net profit untuk Hasan. Ubah sesuai kesepakatan bagi hasil terbaru.</t>
  </si>
  <si>
    <t>PARAM_PCT_KAS</t>
  </si>
  <si>
    <t>Persentase distribusi net profit ke Kas Usaha (reinvestasi). Formula: = 1 - Jeehana - Hasan. Otomatis jika di-set manual = 1-B9-B10.</t>
  </si>
  <si>
    <t>◈  VALIDASI DISTRIBUSI PROFIT  (Jeehana + Hasan + Kas harus = 100%)</t>
  </si>
  <si>
    <t>◆  HPP ENGINE  ·  Harga Pokok Produksi Per Order  ◆</t>
  </si>
  <si>
    <t>BIRU = isi manual (ORDER_ID, PRODUCT_ID, QTY, Biaya Bahan, TK, QC)  ·  EMAS = formula otomatis  ·  Kapasitas: 200 order</t>
  </si>
  <si>
    <t>BIAYA BAHAN (Rp)</t>
  </si>
  <si>
    <t>BIAYA TK (Rp)</t>
  </si>
  <si>
    <t>BIAYA QC (Rp)</t>
  </si>
  <si>
    <t>OVERHEAD (Rp)</t>
  </si>
  <si>
    <t>TOTAL COST (Rp)</t>
  </si>
  <si>
    <t>HPP/PCS (Rp)</t>
  </si>
  <si>
    <t>SELISIH HPP (Rp)</t>
  </si>
  <si>
    <t>STATUS HPP</t>
  </si>
  <si>
    <t>HZN-2604-001</t>
  </si>
  <si>
    <t>HZN-2604-002</t>
  </si>
  <si>
    <t>HZN-2604-003</t>
  </si>
  <si>
    <t>HZN-2604-004</t>
  </si>
  <si>
    <t>HZN-2604-005</t>
  </si>
  <si>
    <t>HZN-2604-006</t>
  </si>
  <si>
    <t>HZN-2604-007</t>
  </si>
  <si>
    <t>◆  PRODUCTION PLAN  ·  Target vs Realisasi  ·  QC &amp; Aging Real-Time  ◆</t>
  </si>
  <si>
    <t>BIRU = isi manual (ORDER_ID, PRODUCT_ID, Klien, QTY, Tanggal, Status, Reject)  ·  EMAS = formula otomatis  ·  Kapasitas: 200 order</t>
  </si>
  <si>
    <t>NAMA KLIEN</t>
  </si>
  <si>
    <t>QTY PLAN</t>
  </si>
  <si>
    <t>QTY REALISASI</t>
  </si>
  <si>
    <t>TGL MULAI</t>
  </si>
  <si>
    <t>TGL SELESAI</t>
  </si>
  <si>
    <t>STATUS ORDER</t>
  </si>
  <si>
    <t>REJECT TOTAL</t>
  </si>
  <si>
    <t>REJECT RATE</t>
  </si>
  <si>
    <t>STATUS QC</t>
  </si>
  <si>
    <t>AGING (hari)</t>
  </si>
  <si>
    <t>SISA HARI</t>
  </si>
  <si>
    <t>Elara Boutique</t>
  </si>
  <si>
    <t>2026-03-27</t>
  </si>
  <si>
    <t>2026-04-14</t>
  </si>
  <si>
    <t>Produksi</t>
  </si>
  <si>
    <t>Atelier Nusantara</t>
  </si>
  <si>
    <t>2026-03-31</t>
  </si>
  <si>
    <t>2026-04-20</t>
  </si>
  <si>
    <t>House of Laras</t>
  </si>
  <si>
    <t>2026-04-03</t>
  </si>
  <si>
    <t>2026-04-28</t>
  </si>
  <si>
    <t>Sample</t>
  </si>
  <si>
    <t>Butik Seruni</t>
  </si>
  <si>
    <t>2026-03-21</t>
  </si>
  <si>
    <t>2026-04-07</t>
  </si>
  <si>
    <t>Selesai</t>
  </si>
  <si>
    <t>Studio Raya</t>
  </si>
  <si>
    <t>2026-05-02</t>
  </si>
  <si>
    <t>Planning</t>
  </si>
  <si>
    <t>CV Mitra Busana</t>
  </si>
  <si>
    <t>2026-04-02</t>
  </si>
  <si>
    <t>2026-04-18</t>
  </si>
  <si>
    <t>Rumah Mode Sari</t>
  </si>
  <si>
    <t>2026-04-05</t>
  </si>
  <si>
    <t>2026-04-25</t>
  </si>
  <si>
    <t>◆  SALES TRACKER  ·  Setiap Transaksi Penjualan  ◆</t>
  </si>
  <si>
    <t>BIRU = isi manual (Tanggal, ORDER_ID, PRODUCT_ID, QTY Terjual)  ·  EMAS = formula otomatis  ·  Kapasitas: 1.000 transaksi</t>
  </si>
  <si>
    <t>TANGGAL</t>
  </si>
  <si>
    <t>QTY TERJUAL</t>
  </si>
  <si>
    <t>TOTAL REVENUE (Rp)</t>
  </si>
  <si>
    <t>TOTAL HPP (Rp)</t>
  </si>
  <si>
    <t>GROSS PROFIT (Rp)</t>
  </si>
  <si>
    <t>2026-04-08</t>
  </si>
  <si>
    <t>2026-04-09</t>
  </si>
  <si>
    <t>2026-04-10</t>
  </si>
  <si>
    <t>◆  SUMMARY ENGINE  ·  Agregasi Keuangan Per Order  ◆</t>
  </si>
  <si>
    <t>Cukup isi ORDER_ID di kolom A → seluruh data otomatis teraggregasi dari HPP_ENGINE, SALES_TRACKER, PRODUCTION_PLAN</t>
  </si>
  <si>
    <t>QTY PRODUKSI</t>
  </si>
  <si>
    <t>SISA STOK</t>
  </si>
  <si>
    <t>ROI %</t>
  </si>
  <si>
    <t>◆  CASHFLOW  ·  Arus Kas Masuk &amp; Keluar  ·  Saldo Real-Time  ◆</t>
  </si>
  <si>
    <t>BIRU = isi manual (Tanggal, ORDER_ID, Tipe, Nominal, Keterangan, Kategori)  ·  EMAS = otomatis  ·  Kapasitas: 1.000 transaksi</t>
  </si>
  <si>
    <t>TIPE</t>
  </si>
  <si>
    <t>NOMINAL (Rp)</t>
  </si>
  <si>
    <t>KETERANGAN</t>
  </si>
  <si>
    <t>SALDO KUMULATIF (Rp)</t>
  </si>
  <si>
    <t>STATUS KAS</t>
  </si>
  <si>
    <t>PERIODE</t>
  </si>
  <si>
    <t>Masuk</t>
  </si>
  <si>
    <t>DP 50% Elara Boutique</t>
  </si>
  <si>
    <t>Revenue</t>
  </si>
  <si>
    <t>Keluar</t>
  </si>
  <si>
    <t>Beli bahan Abaya 150pcs</t>
  </si>
  <si>
    <t>Bahan</t>
  </si>
  <si>
    <t>DP 50% Atelier Nusantara</t>
  </si>
  <si>
    <t>Beli bahan Gamis 200pcs</t>
  </si>
  <si>
    <t>DP 50% CV Mitra Busana</t>
  </si>
  <si>
    <t>Beli bahan Abaya 250pcs</t>
  </si>
  <si>
    <t>DP 50% Rumah Mode Sari</t>
  </si>
  <si>
    <t>Beli bahan Gamis 180pcs</t>
  </si>
  <si>
    <t>DP 30% House of Laras</t>
  </si>
  <si>
    <t>Pelunasan 50% Butik Seruni</t>
  </si>
  <si>
    <t>Pembayaran penjualan Elara</t>
  </si>
  <si>
    <t>Pembayaran final Butik Seruni</t>
  </si>
  <si>
    <t>Upah TK minggu ini</t>
  </si>
  <si>
    <t>TK</t>
  </si>
  <si>
    <t>Overhead operasional April</t>
  </si>
  <si>
    <t>Overhead</t>
  </si>
  <si>
    <t>◆  AI ANALYSIS  ·  Insight Bisnis &amp; KPI Real-Time  ◆</t>
  </si>
  <si>
    <t>Semua otomatis — Tidak ada input manual di sheet ini  ·  Update setiap file dibuka</t>
  </si>
  <si>
    <t xml:space="preserve">  ◈  KPI BISNIS UTAMA  —  Snapshot Real-Time</t>
  </si>
  <si>
    <t>METRIK</t>
  </si>
  <si>
    <t>NILAI AKTUAL</t>
  </si>
  <si>
    <t>TARGET</t>
  </si>
  <si>
    <t>INSIGHT ANALISIS</t>
  </si>
  <si>
    <t>REKOMENDASI AKSI</t>
  </si>
  <si>
    <t>Total Revenue</t>
  </si>
  <si>
    <t>≥ Rp 300 juta</t>
  </si>
  <si>
    <t>Revenue aktual dari semua order yang sudah terealisasi penjualannya</t>
  </si>
  <si>
    <t>Dorong sell-through order STUCK · Gamis Velvet &amp; Kaftan Silk prioritas</t>
  </si>
  <si>
    <t>Total Gross Profit</t>
  </si>
  <si>
    <t>≥ Rp 0 (Break Even)</t>
  </si>
  <si>
    <t>Net profit setelah dikurangi HPP seluruh order · Negatif jika stok belum terjual</t>
  </si>
  <si>
    <t>Order belum terjual menekan profit · Prioritaskan penjualan STUCK orders</t>
  </si>
  <si>
    <t>Margin % Aktual</t>
  </si>
  <si>
    <t>≥ 40% (PARAM_MARGIN_TARGET)</t>
  </si>
  <si>
    <t>Margin keseluruhan portfolio · Termasuk order belum terjual yang menekan margin</t>
  </si>
  <si>
    <t>Evaluasi HPP order MAHAL · Cek STATUS HPP di HPP_ENGINE</t>
  </si>
  <si>
    <t>Order SOLD OUT</t>
  </si>
  <si>
    <t>≥ 3 order</t>
  </si>
  <si>
    <t>Jumlah order yang seluruh stoknya habis terjual — indikator sell-through terbaik</t>
  </si>
  <si>
    <t>Replikasi strategi penjualan order Sold Out ke produk lain · Analisis klien</t>
  </si>
  <si>
    <t>Order STUCK/SLOW</t>
  </si>
  <si>
    <t>= 0 order</t>
  </si>
  <si>
    <t>Order stok belum bergerak atau lambat terjual · Risiko modal tertahan</t>
  </si>
  <si>
    <t>Evaluasi harga &amp; channel marketing order STUCK · Pertimbangkan konsinyasi</t>
  </si>
  <si>
    <t>Saldo Kas Aktual</t>
  </si>
  <si>
    <t>≥ Rp 50 juta</t>
  </si>
  <si>
    <t>Posisi kas aktual setelah semua transaksi · Pakai CASHFLOW terbaru</t>
  </si>
  <si>
    <t>Pertahankan kas &gt; Rp 50jt sebagai buffer operasional minimum</t>
  </si>
  <si>
    <t>Rata-rata Reject Rate</t>
  </si>
  <si>
    <t>&lt; 5% (PARAM_REJECT_MAX)</t>
  </si>
  <si>
    <t>Rata-rata reject rate semua batch produksi aktif · Monitor per batch</t>
  </si>
  <si>
    <t>Monitor batch reject &gt; 4% sebelum eskalasi · Review material &amp; proses jahit</t>
  </si>
  <si>
    <t>Sell Through Rate</t>
  </si>
  <si>
    <t>≥ 70%</t>
  </si>
  <si>
    <t>% total unit yang sudah terjual dari total produksi seluruh order aktif</t>
  </si>
  <si>
    <t>Tingkatkan aktivitas penjualan B2B dan konsinyasi · Review strategi per produk</t>
  </si>
  <si>
    <t xml:space="preserve">  ◈  DISTRIBUSI NET PROFIT  —  Berdasarkan PARAMETER Sistem</t>
  </si>
  <si>
    <t>PENERIMA</t>
  </si>
  <si>
    <t>PERSENTASE</t>
  </si>
  <si>
    <t>NOMINAL PROFIT (Rp)</t>
  </si>
  <si>
    <t>CATATAN DISTRIBUSI</t>
  </si>
  <si>
    <t>Jeehana</t>
  </si>
  <si>
    <t>"Pemilik / Mitra 1"</t>
  </si>
  <si>
    <t>"% diatur di PARAMETER sheet baris PARAM_PCT_JEEHANA"</t>
  </si>
  <si>
    <t>Hasan</t>
  </si>
  <si>
    <t>"Pemilik / Mitra 2"</t>
  </si>
  <si>
    <t>"% diatur di PARAMETER sheet baris PARAM_PCT_HASAN"</t>
  </si>
  <si>
    <t>Kas Usaha</t>
  </si>
  <si>
    <t>"Dana Reinvestasi"</t>
  </si>
  <si>
    <t>"% diatur di PARAMETER sheet baris PARAM_PCT_KAS"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</si>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</sst>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(#,##0\);\-"/>
    <numFmt numFmtId="165" formatCode="0.0%"/>
    <numFmt numFmtId="166" formatCode="0.0%;\(0.0%\);\-"/>
    <numFmt numFmtId="167" formatCode="0.00%;\(0.00%\);\-"/>
    <numFmt numFmtId="168" formatCode="dd\-mmm\-yyyy"/>
    <numFmt numFmtId="169" formatCode="dd\ mmm\ yyyy"/>
  </numFmts>
  <fonts count="43">
    <font>
      <sz val="11.0"/>
      <color theme="1"/>
      <name val="Calibri"/>
      <scheme val="minor"/>
    </font>
    <font>
      <b/>
      <sz val="12.0"/>
      <color rgb="FFC9A84C"/>
      <name val="Arial"/>
    </font>
    <font/>
    <font>
      <sz val="11.0"/>
      <color theme="1"/>
      <name val="Calibri"/>
    </font>
    <font>
      <sz val="9.0"/>
      <color rgb="FFD4C5A9"/>
      <name val="Aptos"/>
    </font>
    <font>
      <b/>
      <sz val="10.0"/>
      <color rgb="FFE8D48B"/>
      <name val="Aptos"/>
    </font>
    <font>
      <b/>
      <sz val="9.0"/>
      <color rgb="FFC9A84C"/>
      <name val="Aptos"/>
    </font>
    <font>
      <sz val="9.0"/>
      <color rgb="FFFFFFFF"/>
      <name val="Aptos"/>
    </font>
    <font>
      <b/>
      <sz val="11.0"/>
      <color rgb="FFC9A84C"/>
      <name val="Aptos"/>
    </font>
    <font>
      <b/>
      <sz val="9.0"/>
      <color rgb="FFFFFFFF"/>
      <name val="Aptos"/>
    </font>
    <font>
      <b/>
      <sz val="14.0"/>
      <color rgb="FF5B9BD5"/>
      <name val="Aptos"/>
    </font>
    <font>
      <b/>
      <sz val="9.0"/>
      <color rgb="FF5B9BD5"/>
      <name val="Aptos"/>
    </font>
    <font>
      <b/>
      <sz val="14.0"/>
      <color rgb="FFC9A84C"/>
      <name val="Aptos"/>
    </font>
    <font>
      <b/>
      <sz val="14.0"/>
      <color rgb="FF27AE60"/>
      <name val="Aptos"/>
    </font>
    <font>
      <b/>
      <sz val="9.0"/>
      <color rgb="FF27AE60"/>
      <name val="Aptos"/>
    </font>
    <font>
      <b/>
      <sz val="14.0"/>
      <color rgb="FFE74C3C"/>
      <name val="Aptos"/>
    </font>
    <font>
      <b/>
      <sz val="9.0"/>
      <color rgb="FFE74C3C"/>
      <name val="Aptos"/>
    </font>
    <font>
      <sz val="8.0"/>
      <color rgb="FFD4C5A9"/>
      <name val="Aptos"/>
    </font>
    <font>
      <sz val="8.0"/>
      <color rgb="FF8B7355"/>
      <name val="Aptos"/>
    </font>
    <font>
      <b/>
      <sz val="14.0"/>
      <color rgb="FF5DADE2"/>
      <name val="Aptos"/>
    </font>
    <font>
      <sz val="9.0"/>
      <color rgb="FF5B9BD5"/>
      <name val="Aptos"/>
    </font>
    <font>
      <sz val="9.0"/>
      <color rgb="FF27AE60"/>
      <name val="Aptos"/>
    </font>
    <font>
      <sz val="9.0"/>
      <color rgb="FFE74C3C"/>
      <name val="Aptos"/>
    </font>
    <font>
      <sz val="9.0"/>
      <color rgb="FFC9A84C"/>
      <name val="Aptos"/>
    </font>
    <font>
      <b/>
      <sz val="11.0"/>
      <color rgb="FFC9A84C"/>
      <name val="Arial"/>
    </font>
    <font>
      <b/>
      <sz val="10.0"/>
      <color rgb="FFFFFFFF"/>
      <name val="Arial"/>
    </font>
    <font>
      <i/>
      <sz val="9.0"/>
      <color rgb="FF8B949E"/>
      <name val="Arial"/>
    </font>
    <font>
      <b/>
      <sz val="10.0"/>
      <color rgb="FFC9A84C"/>
      <name val="Arial"/>
    </font>
    <font>
      <sz val="10.0"/>
      <color rgb="FF5B9BD5"/>
      <name val="Arial"/>
    </font>
    <font>
      <sz val="10.0"/>
      <color rgb="FFFFFFFF"/>
      <name val="Arial"/>
    </font>
    <font>
      <sz val="10.0"/>
      <color rgb="FFC9A84C"/>
      <name val="Arial"/>
    </font>
    <font>
      <sz val="9.0"/>
      <color rgb="FF8B7355"/>
      <name val="Aptos"/>
    </font>
    <font>
      <b/>
      <sz val="10.0"/>
      <color rgb="FFE74C3C"/>
      <name val="Aptos"/>
    </font>
    <font>
      <b/>
      <sz val="11.0"/>
      <color rgb="FF5B9BD5"/>
      <name val="Arial"/>
    </font>
    <font>
      <sz val="9.0"/>
      <color rgb="FF8B949E"/>
      <name val="Arial"/>
    </font>
    <font>
      <b/>
      <sz val="11.0"/>
      <color rgb="FF1ABC9C"/>
      <name val="Arial"/>
    </font>
    <font>
      <color theme="1"/>
      <name val="Calibri"/>
      <scheme val="minor"/>
    </font>
    <font>
      <sz val="10.0"/>
      <color rgb="FF27AE60"/>
      <name val="Arial"/>
    </font>
    <font>
      <b/>
      <sz val="10.0"/>
      <color rgb="FFFFFFFF"/>
      <name val="Aptos"/>
    </font>
    <font>
      <i/>
      <sz val="9.0"/>
      <color rgb="FF5DADE2"/>
      <name val="Aptos"/>
    </font>
    <font>
      <b/>
      <sz val="9.0"/>
      <color rgb="FF5DADE2"/>
      <name val="Aptos"/>
    </font>
    <font>
      <b/>
      <sz val="10.0"/>
      <color rgb="FFC9A84C"/>
      <name val="Aptos"/>
    </font>
    <font>
      <b/>
      <sz val="10.0"/>
      <color rgb="FF27AE60"/>
      <name val="Aptos"/>
    </font>
  </fonts>
  <fills count="1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0D1B2A"/>
        <bgColor rgb="FF0D1B2A"/>
      </patternFill>
    </fill>
    <fill>
      <patternFill patternType="solid">
        <fgColor rgb="FF1B2A3B"/>
        <bgColor rgb="FF1B2A3B"/>
      </patternFill>
    </fill>
    <fill>
      <patternFill patternType="solid">
        <fgColor rgb="FF162032"/>
        <bgColor rgb="FF162032"/>
      </patternFill>
    </fill>
    <fill>
      <patternFill patternType="solid">
        <fgColor rgb="FF243447"/>
        <bgColor rgb="FF243447"/>
      </patternFill>
    </fill>
    <fill>
      <patternFill patternType="solid">
        <fgColor rgb="FF1B2838"/>
        <bgColor rgb="FF1B2838"/>
      </patternFill>
    </fill>
    <fill>
      <patternFill patternType="solid">
        <fgColor rgb="FF161B22"/>
        <bgColor rgb="FF161B22"/>
      </patternFill>
    </fill>
    <fill>
      <patternFill patternType="solid">
        <fgColor rgb="FF1C2128"/>
        <bgColor rgb="FF1C2128"/>
      </patternFill>
    </fill>
    <fill>
      <patternFill patternType="solid">
        <fgColor rgb="FF21262D"/>
        <bgColor rgb="FF21262D"/>
      </patternFill>
    </fill>
    <fill>
      <patternFill patternType="solid">
        <fgColor rgb="FF4A0E0A"/>
        <bgColor rgb="FF4A0E0A"/>
      </patternFill>
    </fill>
    <fill>
      <patternFill patternType="solid">
        <fgColor rgb="FF1A3A5C"/>
        <bgColor rgb="FF1A3A5C"/>
      </patternFill>
    </fill>
    <fill>
      <patternFill patternType="solid">
        <fgColor rgb="FF0F4C2A"/>
        <bgColor rgb="FF0F4C2A"/>
      </patternFill>
    </fill>
  </fills>
  <borders count="3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84C40"/>
      </left>
      <right style="thin">
        <color rgb="FFA84C40"/>
      </right>
      <top style="thin">
        <color rgb="FFA84C40"/>
      </top>
      <bottom style="thin">
        <color rgb="FFA84C40"/>
      </bottom>
    </border>
    <border>
      <left style="thin">
        <color rgb="FF2C3E52"/>
      </left>
      <right style="thin">
        <color rgb="FF2C3E52"/>
      </right>
      <top style="thin">
        <color rgb="FF2C3E52"/>
      </top>
      <bottom style="thin">
        <color rgb="FF2C3E52"/>
      </bottom>
    </border>
    <border>
      <left style="thin">
        <color rgb="FF2C3E52"/>
      </left>
      <top style="thin">
        <color rgb="FF2C3E52"/>
      </top>
      <bottom style="thin">
        <color rgb="FF2C3E52"/>
      </bottom>
    </border>
    <border>
      <right/>
      <top style="thin">
        <color rgb="FF2C3E52"/>
      </top>
      <bottom style="thin">
        <color rgb="FF2C3E52"/>
      </bottom>
    </border>
    <border>
      <top style="thin">
        <color rgb="FF2C3E52"/>
      </top>
      <bottom style="thin">
        <color rgb="FF2C3E52"/>
      </bottom>
    </border>
    <border>
      <left/>
      <top/>
    </border>
    <border>
      <top/>
    </border>
    <border>
      <right/>
      <top/>
    </border>
    <border>
      <left style="thin">
        <color rgb="FFC9A84C"/>
      </left>
      <top style="thin">
        <color rgb="FFC9A84C"/>
      </top>
    </border>
    <border>
      <right style="thin">
        <color rgb="FFC9A84C"/>
      </right>
      <top style="thin">
        <color rgb="FFC9A84C"/>
      </top>
    </border>
    <border>
      <left style="thin">
        <color rgb="FFC9A84C"/>
      </left>
    </border>
    <border>
      <right style="thin">
        <color rgb="FFC9A84C"/>
      </right>
    </border>
    <border>
      <left style="thin">
        <color rgb="FFC9A84C"/>
      </left>
      <bottom style="thin">
        <color rgb="FF2C3E52"/>
      </bottom>
    </border>
    <border>
      <right style="thin">
        <color rgb="FFC9A84C"/>
      </right>
      <bottom style="thin">
        <color rgb="FF2C3E52"/>
      </bottom>
    </border>
    <border>
      <left style="thin">
        <color rgb="FF2471A3"/>
      </left>
      <top style="thin">
        <color rgb="FF2471A3"/>
      </top>
    </border>
    <border>
      <right style="thin">
        <color rgb="FF2471A3"/>
      </right>
      <top style="thin">
        <color rgb="FF2471A3"/>
      </top>
    </border>
    <border>
      <left style="thin">
        <color rgb="FF2471A3"/>
      </left>
    </border>
    <border>
      <right style="thin">
        <color rgb="FF2471A3"/>
      </right>
    </border>
    <border>
      <left/>
      <bottom/>
    </border>
    <border>
      <bottom/>
    </border>
    <border>
      <right/>
      <bottom/>
    </border>
    <border>
      <right style="thin">
        <color rgb="FF2C3E52"/>
      </right>
      <top style="thin">
        <color rgb="FF2C3E52"/>
      </top>
      <bottom style="thin">
        <color rgb="FF2C3E52"/>
      </bottom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</border>
    <border>
      <left style="medium">
        <color rgb="FFC9A84C"/>
      </left>
      <right style="medium">
        <color rgb="FFC9A84C"/>
      </right>
      <top style="thin">
        <color rgb="FF2C3E52"/>
      </top>
      <bottom style="thin">
        <color rgb="FF2C3E52"/>
      </bottom>
    </border>
    <border>
      <left style="thin">
        <color rgb="FF27AE60"/>
      </left>
      <top style="thin">
        <color rgb="FF27AE60"/>
      </top>
      <bottom style="thin">
        <color rgb="FF27AE60"/>
      </bottom>
    </border>
    <border>
      <top style="thin">
        <color rgb="FF27AE60"/>
      </top>
      <bottom style="thin">
        <color rgb="FF27AE60"/>
      </bottom>
    </border>
    <border>
      <right/>
      <top style="thin">
        <color rgb="FF27AE60"/>
      </top>
      <bottom style="thin">
        <color rgb="FF27AE60"/>
      </bottom>
    </border>
    <border>
      <left style="thin">
        <color rgb="FFC9A84C"/>
      </left>
      <top style="thin">
        <color rgb="FFC9A84C"/>
      </top>
      <bottom style="thin">
        <color rgb="FFC9A84C"/>
      </bottom>
    </border>
    <border>
      <right/>
      <top style="thin">
        <color rgb="FFC9A84C"/>
      </top>
      <bottom style="thin">
        <color rgb="FFC9A84C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left" shrinkToFit="0" vertical="center" wrapText="0"/>
    </xf>
    <xf borderId="5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shrinkToFit="0" vertical="center" wrapText="1"/>
    </xf>
    <xf borderId="6" fillId="4" fontId="7" numFmtId="0" xfId="0" applyAlignment="1" applyBorder="1" applyFont="1">
      <alignment shrinkToFit="0" vertical="center" wrapText="1"/>
    </xf>
    <xf borderId="6" fillId="4" fontId="4" numFmtId="0" xfId="0" applyAlignment="1" applyBorder="1" applyFont="1">
      <alignment shrinkToFit="0" vertical="center" wrapText="1"/>
    </xf>
    <xf borderId="6" fillId="6" fontId="6" numFmtId="0" xfId="0" applyAlignment="1" applyBorder="1" applyFill="1" applyFont="1">
      <alignment shrinkToFit="0" vertical="center" wrapText="1"/>
    </xf>
    <xf borderId="6" fillId="6" fontId="7" numFmtId="0" xfId="0" applyAlignment="1" applyBorder="1" applyFont="1">
      <alignment shrinkToFit="0" vertical="center" wrapText="1"/>
    </xf>
    <xf borderId="6" fillId="6" fontId="4" numFmtId="0" xfId="0" applyAlignment="1" applyBorder="1" applyFont="1">
      <alignment shrinkToFit="0" vertical="center" wrapText="1"/>
    </xf>
    <xf borderId="6" fillId="4" fontId="8" numFmtId="0" xfId="0" applyAlignment="1" applyBorder="1" applyFont="1">
      <alignment horizontal="center" shrinkToFit="0" vertical="center" wrapText="0"/>
    </xf>
    <xf borderId="6" fillId="4" fontId="9" numFmtId="0" xfId="0" applyAlignment="1" applyBorder="1" applyFont="1">
      <alignment shrinkToFit="0" vertical="center" wrapText="1"/>
    </xf>
    <xf borderId="6" fillId="6" fontId="8" numFmtId="0" xfId="0" applyAlignment="1" applyBorder="1" applyFont="1">
      <alignment horizontal="center" shrinkToFit="0" vertical="center" wrapText="0"/>
    </xf>
    <xf borderId="6" fillId="6" fontId="9" numFmtId="0" xfId="0" applyAlignment="1" applyBorder="1" applyFont="1">
      <alignment shrinkToFit="0" vertical="center" wrapText="1"/>
    </xf>
    <xf borderId="6" fillId="4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ont="1">
      <alignment shrinkToFit="0" vertical="center" wrapText="0"/>
    </xf>
    <xf borderId="8" fillId="0" fontId="2" numFmtId="0" xfId="0" applyBorder="1" applyFont="1"/>
    <xf borderId="7" fillId="4" fontId="4" numFmtId="0" xfId="0" applyAlignment="1" applyBorder="1" applyFont="1">
      <alignment shrinkToFit="0" vertical="center" wrapText="1"/>
    </xf>
    <xf borderId="9" fillId="0" fontId="2" numFmtId="0" xfId="0" applyBorder="1" applyFont="1"/>
    <xf borderId="6" fillId="6" fontId="12" numFmtId="0" xfId="0" applyAlignment="1" applyBorder="1" applyFont="1">
      <alignment horizontal="center" shrinkToFit="0" vertical="center" wrapText="0"/>
    </xf>
    <xf borderId="7" fillId="6" fontId="6" numFmtId="0" xfId="0" applyAlignment="1" applyBorder="1" applyFont="1">
      <alignment shrinkToFit="0" vertical="center" wrapText="0"/>
    </xf>
    <xf borderId="7" fillId="6" fontId="4" numFmtId="0" xfId="0" applyAlignment="1" applyBorder="1" applyFont="1">
      <alignment shrinkToFit="0" vertical="center" wrapText="1"/>
    </xf>
    <xf borderId="6" fillId="4" fontId="13" numFmtId="0" xfId="0" applyAlignment="1" applyBorder="1" applyFont="1">
      <alignment horizontal="center" shrinkToFit="0" vertical="center" wrapText="0"/>
    </xf>
    <xf borderId="7" fillId="4" fontId="14" numFmtId="0" xfId="0" applyAlignment="1" applyBorder="1" applyFont="1">
      <alignment shrinkToFit="0" vertical="center" wrapText="0"/>
    </xf>
    <xf borderId="6" fillId="6" fontId="15" numFmtId="0" xfId="0" applyAlignment="1" applyBorder="1" applyFont="1">
      <alignment horizontal="center" shrinkToFit="0" vertical="center" wrapText="0"/>
    </xf>
    <xf borderId="7" fillId="6" fontId="16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10" fillId="5" fontId="5" numFmtId="0" xfId="0" applyAlignment="1" applyBorder="1" applyFont="1">
      <alignment horizontal="left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4" fontId="17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5" fillId="3" fontId="12" numFmtId="3" xfId="0" applyAlignment="1" applyBorder="1" applyFont="1" applyNumberFormat="1">
      <alignment horizontal="center" shrinkToFit="0" vertical="center" wrapText="0"/>
    </xf>
    <xf borderId="16" fillId="0" fontId="2" numFmtId="0" xfId="0" applyBorder="1" applyFont="1"/>
    <xf borderId="15" fillId="3" fontId="12" numFmtId="164" xfId="0" applyAlignment="1" applyBorder="1" applyFont="1" applyNumberFormat="1">
      <alignment horizontal="center" shrinkToFit="0" vertical="center" wrapText="0"/>
    </xf>
    <xf borderId="15" fillId="3" fontId="12" numFmtId="165" xfId="0" applyAlignment="1" applyBorder="1" applyFont="1" applyNumberFormat="1">
      <alignment horizontal="center" shrinkToFit="0" vertical="center" wrapText="0"/>
    </xf>
    <xf borderId="17" fillId="4" fontId="18" numFmtId="0" xfId="0" applyAlignment="1" applyBorder="1" applyFont="1">
      <alignment horizontal="center" shrinkToFit="0" vertical="center" wrapText="0"/>
    </xf>
    <xf borderId="18" fillId="0" fontId="2" numFmtId="0" xfId="0" applyBorder="1" applyFont="1"/>
    <xf borderId="19" fillId="4" fontId="17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3" fontId="19" numFmtId="3" xfId="0" applyAlignment="1" applyBorder="1" applyFont="1" applyNumberFormat="1">
      <alignment horizontal="center" shrinkToFit="0" vertical="center" wrapText="0"/>
    </xf>
    <xf borderId="22" fillId="0" fontId="2" numFmtId="0" xfId="0" applyBorder="1" applyFont="1"/>
    <xf borderId="21" fillId="3" fontId="19" numFmtId="165" xfId="0" applyAlignment="1" applyBorder="1" applyFont="1" applyNumberFormat="1">
      <alignment horizontal="center" shrinkToFit="0" vertical="center" wrapText="0"/>
    </xf>
    <xf borderId="23" fillId="5" fontId="5" numFmtId="0" xfId="0" applyAlignment="1" applyBorder="1" applyFont="1">
      <alignment horizontal="left" shrinkToFit="0" vertical="center" wrapText="0"/>
    </xf>
    <xf borderId="24" fillId="0" fontId="2" numFmtId="0" xfId="0" applyBorder="1" applyFont="1"/>
    <xf borderId="25" fillId="0" fontId="2" numFmtId="0" xfId="0" applyBorder="1" applyFont="1"/>
    <xf borderId="6" fillId="6" fontId="20" numFmtId="49" xfId="0" applyAlignment="1" applyBorder="1" applyFont="1" applyNumberFormat="1">
      <alignment horizontal="center" shrinkToFit="0" vertical="center" wrapText="0"/>
    </xf>
    <xf borderId="6" fillId="6" fontId="4" numFmtId="49" xfId="0" applyAlignment="1" applyBorder="1" applyFont="1" applyNumberFormat="1">
      <alignment horizontal="left" shrinkToFit="0" vertical="center" wrapText="0"/>
    </xf>
    <xf borderId="6" fillId="6" fontId="4" numFmtId="3" xfId="0" applyAlignment="1" applyBorder="1" applyFont="1" applyNumberFormat="1">
      <alignment horizontal="right" shrinkToFit="0" vertical="center" wrapText="0"/>
    </xf>
    <xf borderId="6" fillId="6" fontId="21" numFmtId="3" xfId="0" applyAlignment="1" applyBorder="1" applyFont="1" applyNumberFormat="1">
      <alignment horizontal="right" shrinkToFit="0" vertical="center" wrapText="0"/>
    </xf>
    <xf borderId="6" fillId="6" fontId="22" numFmtId="3" xfId="0" applyAlignment="1" applyBorder="1" applyFont="1" applyNumberFormat="1">
      <alignment horizontal="right" shrinkToFit="0" vertical="center" wrapText="0"/>
    </xf>
    <xf borderId="6" fillId="6" fontId="23" numFmtId="164" xfId="0" applyAlignment="1" applyBorder="1" applyFont="1" applyNumberFormat="1">
      <alignment horizontal="right" shrinkToFit="0" vertical="center" wrapText="0"/>
    </xf>
    <xf borderId="6" fillId="6" fontId="23" numFmtId="165" xfId="0" applyAlignment="1" applyBorder="1" applyFont="1" applyNumberFormat="1">
      <alignment horizontal="right" shrinkToFit="0" vertical="center" wrapText="0"/>
    </xf>
    <xf borderId="6" fillId="6" fontId="23" numFmtId="49" xfId="0" applyAlignment="1" applyBorder="1" applyFont="1" applyNumberFormat="1">
      <alignment horizontal="center" shrinkToFit="0" vertical="center" wrapText="0"/>
    </xf>
    <xf borderId="6" fillId="4" fontId="20" numFmtId="49" xfId="0" applyAlignment="1" applyBorder="1" applyFont="1" applyNumberFormat="1">
      <alignment horizontal="center" shrinkToFit="0" vertical="center" wrapText="0"/>
    </xf>
    <xf borderId="6" fillId="4" fontId="4" numFmtId="49" xfId="0" applyAlignment="1" applyBorder="1" applyFont="1" applyNumberFormat="1">
      <alignment horizontal="left" shrinkToFit="0" vertical="center" wrapText="0"/>
    </xf>
    <xf borderId="6" fillId="4" fontId="4" numFmtId="3" xfId="0" applyAlignment="1" applyBorder="1" applyFont="1" applyNumberFormat="1">
      <alignment horizontal="right" shrinkToFit="0" vertical="center" wrapText="0"/>
    </xf>
    <xf borderId="6" fillId="4" fontId="21" numFmtId="3" xfId="0" applyAlignment="1" applyBorder="1" applyFont="1" applyNumberFormat="1">
      <alignment horizontal="right" shrinkToFit="0" vertical="center" wrapText="0"/>
    </xf>
    <xf borderId="6" fillId="4" fontId="22" numFmtId="3" xfId="0" applyAlignment="1" applyBorder="1" applyFont="1" applyNumberFormat="1">
      <alignment horizontal="right" shrinkToFit="0" vertical="center" wrapText="0"/>
    </xf>
    <xf borderId="6" fillId="4" fontId="23" numFmtId="164" xfId="0" applyAlignment="1" applyBorder="1" applyFont="1" applyNumberFormat="1">
      <alignment horizontal="right" shrinkToFit="0" vertical="center" wrapText="0"/>
    </xf>
    <xf borderId="6" fillId="4" fontId="23" numFmtId="165" xfId="0" applyAlignment="1" applyBorder="1" applyFont="1" applyNumberFormat="1">
      <alignment horizontal="right" shrinkToFit="0" vertical="center" wrapText="0"/>
    </xf>
    <xf borderId="6" fillId="4" fontId="23" numFmtId="49" xfId="0" applyAlignment="1" applyBorder="1" applyFont="1" applyNumberFormat="1">
      <alignment horizontal="center" shrinkToFit="0" vertical="center" wrapText="0"/>
    </xf>
    <xf borderId="7" fillId="7" fontId="24" numFmtId="49" xfId="0" applyAlignment="1" applyBorder="1" applyFill="1" applyFont="1" applyNumberFormat="1">
      <alignment horizontal="center" shrinkToFit="0" vertical="center" wrapText="0"/>
    </xf>
    <xf borderId="26" fillId="0" fontId="2" numFmtId="0" xfId="0" applyBorder="1" applyFont="1"/>
    <xf borderId="7" fillId="8" fontId="25" numFmtId="49" xfId="0" applyAlignment="1" applyBorder="1" applyFill="1" applyFont="1" applyNumberFormat="1">
      <alignment horizontal="left" shrinkToFit="0" vertical="center" wrapText="0"/>
    </xf>
    <xf borderId="7" fillId="9" fontId="24" numFmtId="164" xfId="0" applyAlignment="1" applyBorder="1" applyFill="1" applyFont="1" applyNumberFormat="1">
      <alignment horizontal="center" shrinkToFit="0" vertical="center" wrapText="0"/>
    </xf>
    <xf borderId="7" fillId="10" fontId="26" numFmtId="3" xfId="0" applyAlignment="1" applyBorder="1" applyFill="1" applyFont="1" applyNumberFormat="1">
      <alignment horizontal="left" shrinkToFit="0" vertical="center" wrapText="1"/>
    </xf>
    <xf borderId="27" fillId="7" fontId="27" numFmtId="0" xfId="0" applyAlignment="1" applyBorder="1" applyFont="1">
      <alignment horizontal="center" shrinkToFit="0" vertical="center" wrapText="0"/>
    </xf>
    <xf borderId="28" fillId="9" fontId="28" numFmtId="0" xfId="0" applyAlignment="1" applyBorder="1" applyFont="1">
      <alignment horizontal="center" shrinkToFit="0" vertical="center" wrapText="0"/>
    </xf>
    <xf borderId="28" fillId="9" fontId="28" numFmtId="0" xfId="0" applyAlignment="1" applyBorder="1" applyFont="1">
      <alignment horizontal="left" shrinkToFit="0" vertical="center" wrapText="0"/>
    </xf>
    <xf borderId="28" fillId="9" fontId="28" numFmtId="164" xfId="0" applyAlignment="1" applyBorder="1" applyFont="1" applyNumberFormat="1">
      <alignment horizontal="center" shrinkToFit="0" vertical="center" wrapText="0"/>
    </xf>
    <xf borderId="28" fillId="9" fontId="29" numFmtId="166" xfId="0" applyAlignment="1" applyBorder="1" applyFont="1" applyNumberFormat="1">
      <alignment horizontal="center" shrinkToFit="0" vertical="center" wrapText="0"/>
    </xf>
    <xf borderId="28" fillId="9" fontId="30" numFmtId="0" xfId="0" applyAlignment="1" applyBorder="1" applyFont="1">
      <alignment horizontal="center" shrinkToFit="0" vertical="center" wrapText="0"/>
    </xf>
    <xf borderId="28" fillId="10" fontId="28" numFmtId="0" xfId="0" applyAlignment="1" applyBorder="1" applyFont="1">
      <alignment horizontal="center" shrinkToFit="0" vertical="center" wrapText="0"/>
    </xf>
    <xf borderId="28" fillId="10" fontId="28" numFmtId="0" xfId="0" applyAlignment="1" applyBorder="1" applyFont="1">
      <alignment horizontal="left" shrinkToFit="0" vertical="center" wrapText="0"/>
    </xf>
    <xf borderId="28" fillId="10" fontId="28" numFmtId="164" xfId="0" applyAlignment="1" applyBorder="1" applyFont="1" applyNumberFormat="1">
      <alignment horizontal="center" shrinkToFit="0" vertical="center" wrapText="0"/>
    </xf>
    <xf borderId="28" fillId="10" fontId="29" numFmtId="166" xfId="0" applyAlignment="1" applyBorder="1" applyFont="1" applyNumberFormat="1">
      <alignment horizontal="center" shrinkToFit="0" vertical="center" wrapText="0"/>
    </xf>
    <xf borderId="28" fillId="10" fontId="30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bottom" wrapText="0"/>
    </xf>
    <xf borderId="6" fillId="4" fontId="11" numFmtId="0" xfId="0" applyAlignment="1" applyBorder="1" applyFont="1">
      <alignment horizontal="center" shrinkToFit="0" vertical="center" wrapText="0"/>
    </xf>
    <xf borderId="6" fillId="4" fontId="4" numFmtId="0" xfId="0" applyAlignment="1" applyBorder="1" applyFont="1">
      <alignment horizontal="left"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6" fillId="4" fontId="20" numFmtId="3" xfId="0" applyAlignment="1" applyBorder="1" applyFont="1" applyNumberFormat="1">
      <alignment horizontal="center" shrinkToFit="0" vertical="center" wrapText="0"/>
    </xf>
    <xf borderId="6" fillId="4" fontId="14" numFmtId="0" xfId="0" applyAlignment="1" applyBorder="1" applyFont="1">
      <alignment horizontal="center" shrinkToFit="0" vertical="center" wrapText="0"/>
    </xf>
    <xf borderId="6" fillId="4" fontId="31" numFmtId="0" xfId="0" applyAlignment="1" applyBorder="1" applyFont="1">
      <alignment horizontal="left" shrinkToFit="0" vertical="center" wrapText="0"/>
    </xf>
    <xf borderId="6" fillId="6" fontId="11" numFmtId="0" xfId="0" applyAlignment="1" applyBorder="1" applyFont="1">
      <alignment horizontal="center" shrinkToFit="0" vertical="center" wrapText="0"/>
    </xf>
    <xf borderId="6" fillId="6" fontId="4" numFmtId="0" xfId="0" applyAlignment="1" applyBorder="1" applyFont="1">
      <alignment horizontal="left" shrinkToFit="0" vertical="center" wrapText="0"/>
    </xf>
    <xf borderId="6" fillId="6" fontId="4" numFmtId="0" xfId="0" applyAlignment="1" applyBorder="1" applyFont="1">
      <alignment horizontal="center" shrinkToFit="0" vertical="center" wrapText="0"/>
    </xf>
    <xf borderId="6" fillId="6" fontId="20" numFmtId="3" xfId="0" applyAlignment="1" applyBorder="1" applyFont="1" applyNumberFormat="1">
      <alignment horizontal="center" shrinkToFit="0" vertical="center" wrapText="0"/>
    </xf>
    <xf borderId="6" fillId="6" fontId="14" numFmtId="0" xfId="0" applyAlignment="1" applyBorder="1" applyFont="1">
      <alignment horizontal="center" shrinkToFit="0" vertical="center" wrapText="0"/>
    </xf>
    <xf borderId="6" fillId="6" fontId="31" numFmtId="0" xfId="0" applyAlignment="1" applyBorder="1" applyFont="1">
      <alignment horizontal="left" shrinkToFit="0" vertical="center" wrapText="0"/>
    </xf>
    <xf borderId="6" fillId="6" fontId="31" numFmtId="0" xfId="0" applyAlignment="1" applyBorder="1" applyFont="1">
      <alignment horizontal="center" shrinkToFit="0" vertical="center" wrapText="0"/>
    </xf>
    <xf borderId="6" fillId="4" fontId="3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1" fillId="11" fontId="32" numFmtId="0" xfId="0" applyAlignment="1" applyBorder="1" applyFill="1" applyFont="1">
      <alignment horizontal="center" shrinkToFit="0" vertical="center" wrapText="0"/>
    </xf>
    <xf borderId="6" fillId="9" fontId="25" numFmtId="0" xfId="0" applyAlignment="1" applyBorder="1" applyFont="1">
      <alignment horizontal="left" shrinkToFit="0" vertical="center" wrapText="0"/>
    </xf>
    <xf borderId="29" fillId="12" fontId="33" numFmtId="165" xfId="0" applyAlignment="1" applyBorder="1" applyFill="1" applyFont="1" applyNumberFormat="1">
      <alignment horizontal="center" shrinkToFit="0" vertical="center" wrapText="0"/>
    </xf>
    <xf borderId="6" fillId="9" fontId="34" numFmtId="0" xfId="0" applyAlignment="1" applyBorder="1" applyFont="1">
      <alignment horizontal="center" shrinkToFit="0" vertical="center" wrapText="1"/>
    </xf>
    <xf borderId="6" fillId="9" fontId="34" numFmtId="0" xfId="0" applyAlignment="1" applyBorder="1" applyFont="1">
      <alignment horizontal="left" shrinkToFit="0" vertical="center" wrapText="1"/>
    </xf>
    <xf borderId="6" fillId="10" fontId="25" numFmtId="0" xfId="0" applyAlignment="1" applyBorder="1" applyFont="1">
      <alignment horizontal="left" shrinkToFit="0" vertical="center" wrapText="0"/>
    </xf>
    <xf borderId="6" fillId="10" fontId="34" numFmtId="0" xfId="0" applyAlignment="1" applyBorder="1" applyFont="1">
      <alignment horizontal="center" shrinkToFit="0" vertical="center" wrapText="1"/>
    </xf>
    <xf borderId="6" fillId="10" fontId="34" numFmtId="0" xfId="0" applyAlignment="1" applyBorder="1" applyFont="1">
      <alignment horizontal="left" shrinkToFit="0" vertical="center" wrapText="1"/>
    </xf>
    <xf borderId="29" fillId="12" fontId="33" numFmtId="9" xfId="0" applyAlignment="1" applyBorder="1" applyFont="1" applyNumberFormat="1">
      <alignment horizontal="center" shrinkToFit="0" vertical="center" wrapText="0"/>
    </xf>
    <xf borderId="30" fillId="7" fontId="27" numFmtId="0" xfId="0" applyAlignment="1" applyBorder="1" applyFont="1">
      <alignment horizontal="center" shrinkToFit="0" vertical="center" wrapText="0"/>
    </xf>
    <xf borderId="31" fillId="0" fontId="2" numFmtId="0" xfId="0" applyBorder="1" applyFont="1"/>
    <xf borderId="32" fillId="0" fontId="2" numFmtId="0" xfId="0" applyBorder="1" applyFont="1"/>
    <xf borderId="1" fillId="8" fontId="35" numFmtId="0" xfId="0" applyAlignment="1" applyBorder="1" applyFont="1">
      <alignment shrinkToFit="0" vertical="center" wrapText="0"/>
    </xf>
    <xf borderId="0" fillId="0" fontId="36" numFmtId="0" xfId="0" applyAlignment="1" applyFont="1">
      <alignment vertical="center"/>
    </xf>
    <xf borderId="28" fillId="9" fontId="37" numFmtId="0" xfId="0" applyAlignment="1" applyBorder="1" applyFont="1">
      <alignment horizontal="center" shrinkToFit="0" vertical="center" wrapText="0"/>
    </xf>
    <xf borderId="28" fillId="9" fontId="28" numFmtId="3" xfId="0" applyAlignment="1" applyBorder="1" applyFont="1" applyNumberFormat="1">
      <alignment horizontal="center" shrinkToFit="0" vertical="center" wrapText="0"/>
    </xf>
    <xf borderId="28" fillId="9" fontId="30" numFmtId="164" xfId="0" applyAlignment="1" applyBorder="1" applyFont="1" applyNumberFormat="1">
      <alignment horizontal="center" shrinkToFit="0" vertical="center" wrapText="0"/>
    </xf>
    <xf borderId="28" fillId="9" fontId="37" numFmtId="164" xfId="0" applyAlignment="1" applyBorder="1" applyFont="1" applyNumberFormat="1">
      <alignment horizontal="center" shrinkToFit="0" vertical="center" wrapText="0"/>
    </xf>
    <xf borderId="28" fillId="10" fontId="37" numFmtId="0" xfId="0" applyAlignment="1" applyBorder="1" applyFont="1">
      <alignment horizontal="center" shrinkToFit="0" vertical="center" wrapText="0"/>
    </xf>
    <xf borderId="28" fillId="10" fontId="28" numFmtId="3" xfId="0" applyAlignment="1" applyBorder="1" applyFont="1" applyNumberFormat="1">
      <alignment horizontal="center" shrinkToFit="0" vertical="center" wrapText="0"/>
    </xf>
    <xf borderId="28" fillId="10" fontId="30" numFmtId="164" xfId="0" applyAlignment="1" applyBorder="1" applyFont="1" applyNumberFormat="1">
      <alignment horizontal="center" shrinkToFit="0" vertical="center" wrapText="0"/>
    </xf>
    <xf borderId="28" fillId="10" fontId="37" numFmtId="164" xfId="0" applyAlignment="1" applyBorder="1" applyFont="1" applyNumberFormat="1">
      <alignment horizontal="center" shrinkToFit="0" vertical="center" wrapText="0"/>
    </xf>
    <xf borderId="28" fillId="9" fontId="28" numFmtId="3" xfId="0" applyAlignment="1" applyBorder="1" applyFont="1" applyNumberFormat="1">
      <alignment horizontal="center" readingOrder="0" shrinkToFit="0" vertical="center" wrapText="0"/>
    </xf>
    <xf borderId="28" fillId="9" fontId="28" numFmtId="164" xfId="0" applyAlignment="1" applyBorder="1" applyFont="1" applyNumberFormat="1">
      <alignment horizontal="center" readingOrder="0" shrinkToFit="0" vertical="center" wrapText="0"/>
    </xf>
    <xf borderId="28" fillId="9" fontId="30" numFmtId="167" xfId="0" applyAlignment="1" applyBorder="1" applyFont="1" applyNumberFormat="1">
      <alignment horizontal="center" shrinkToFit="0" vertical="center" wrapText="0"/>
    </xf>
    <xf borderId="28" fillId="10" fontId="28" numFmtId="168" xfId="0" applyAlignment="1" applyBorder="1" applyFont="1" applyNumberFormat="1">
      <alignment horizontal="center" shrinkToFit="0" vertical="center" wrapText="0"/>
    </xf>
    <xf borderId="28" fillId="10" fontId="30" numFmtId="167" xfId="0" applyAlignment="1" applyBorder="1" applyFont="1" applyNumberFormat="1">
      <alignment horizontal="center" shrinkToFit="0" vertical="center" wrapText="0"/>
    </xf>
    <xf borderId="28" fillId="9" fontId="28" numFmtId="168" xfId="0" applyAlignment="1" applyBorder="1" applyFont="1" applyNumberFormat="1">
      <alignment horizontal="center" shrinkToFit="0" vertical="center" wrapText="0"/>
    </xf>
    <xf borderId="28" fillId="10" fontId="28" numFmtId="3" xfId="0" applyAlignment="1" applyBorder="1" applyFont="1" applyNumberFormat="1">
      <alignment horizontal="center" readingOrder="0" shrinkToFit="0" vertical="center" wrapText="0"/>
    </xf>
    <xf borderId="6" fillId="4" fontId="31" numFmtId="3" xfId="0" applyAlignment="1" applyBorder="1" applyFont="1" applyNumberFormat="1">
      <alignment horizontal="center" shrinkToFit="0" vertical="center" wrapText="0"/>
    </xf>
    <xf borderId="6" fillId="4" fontId="31" numFmtId="168" xfId="0" applyAlignment="1" applyBorder="1" applyFont="1" applyNumberFormat="1">
      <alignment horizontal="left" shrinkToFit="0" vertical="center" wrapText="0"/>
    </xf>
    <xf borderId="6" fillId="4" fontId="20" numFmtId="0" xfId="0" applyAlignment="1" applyBorder="1" applyFont="1">
      <alignment horizontal="center" shrinkToFit="0" vertical="center" wrapText="0"/>
    </xf>
    <xf borderId="6" fillId="4" fontId="23" numFmtId="165" xfId="0" applyAlignment="1" applyBorder="1" applyFont="1" applyNumberFormat="1">
      <alignment horizontal="center" shrinkToFit="0" vertical="center" wrapText="0"/>
    </xf>
    <xf borderId="6" fillId="4" fontId="23" numFmtId="0" xfId="0" applyAlignment="1" applyBorder="1" applyFont="1">
      <alignment horizontal="center" shrinkToFit="0" vertical="center" wrapText="0"/>
    </xf>
    <xf borderId="28" fillId="9" fontId="28" numFmtId="169" xfId="0" applyAlignment="1" applyBorder="1" applyFont="1" applyNumberFormat="1">
      <alignment horizontal="center" shrinkToFit="0" vertical="center" wrapText="0"/>
    </xf>
    <xf borderId="28" fillId="9" fontId="30" numFmtId="166" xfId="0" applyAlignment="1" applyBorder="1" applyFont="1" applyNumberFormat="1">
      <alignment horizontal="center" shrinkToFit="0" vertical="center" wrapText="0"/>
    </xf>
    <xf borderId="28" fillId="10" fontId="28" numFmtId="169" xfId="0" applyAlignment="1" applyBorder="1" applyFont="1" applyNumberFormat="1">
      <alignment horizontal="center" shrinkToFit="0" vertical="center" wrapText="0"/>
    </xf>
    <xf borderId="28" fillId="10" fontId="37" numFmtId="0" xfId="0" applyAlignment="1" applyBorder="1" applyFont="1">
      <alignment horizontal="left" shrinkToFit="0" vertical="center" wrapText="0"/>
    </xf>
    <xf borderId="28" fillId="10" fontId="30" numFmtId="166" xfId="0" applyAlignment="1" applyBorder="1" applyFont="1" applyNumberFormat="1">
      <alignment horizontal="center" shrinkToFit="0" vertical="center" wrapText="0"/>
    </xf>
    <xf borderId="28" fillId="9" fontId="37" numFmtId="0" xfId="0" applyAlignment="1" applyBorder="1" applyFont="1">
      <alignment horizontal="left" shrinkToFit="0" vertical="center" wrapText="0"/>
    </xf>
    <xf borderId="6" fillId="4" fontId="31" numFmtId="168" xfId="0" applyAlignment="1" applyBorder="1" applyFont="1" applyNumberFormat="1">
      <alignment horizontal="center" shrinkToFit="0" vertical="center" wrapText="0"/>
    </xf>
    <xf borderId="6" fillId="4" fontId="21" numFmtId="0" xfId="0" applyAlignment="1" applyBorder="1" applyFont="1">
      <alignment horizontal="left" shrinkToFit="0" vertical="center" wrapText="0"/>
    </xf>
    <xf borderId="6" fillId="4" fontId="23" numFmtId="3" xfId="0" applyAlignment="1" applyBorder="1" applyFont="1" applyNumberFormat="1">
      <alignment horizontal="right" shrinkToFit="0" vertical="center" wrapText="0"/>
    </xf>
    <xf borderId="6" fillId="4" fontId="21" numFmtId="3" xfId="0" applyAlignment="1" applyBorder="1" applyFont="1" applyNumberFormat="1">
      <alignment horizontal="center" shrinkToFit="0" vertical="center" wrapText="0"/>
    </xf>
    <xf borderId="6" fillId="4" fontId="31" numFmtId="3" xfId="0" applyAlignment="1" applyBorder="1" applyFont="1" applyNumberFormat="1">
      <alignment horizontal="right" shrinkToFit="0" vertical="center" wrapText="0"/>
    </xf>
    <xf borderId="6" fillId="4" fontId="31" numFmtId="0" xfId="0" applyAlignment="1" applyBorder="1" applyFont="1">
      <alignment horizontal="right" shrinkToFit="0" vertical="center" wrapText="0"/>
    </xf>
    <xf borderId="6" fillId="4" fontId="6" numFmtId="164" xfId="0" applyAlignment="1" applyBorder="1" applyFont="1" applyNumberFormat="1">
      <alignment horizontal="right" shrinkToFit="0" vertical="center" wrapText="0"/>
    </xf>
    <xf borderId="6" fillId="6" fontId="6" numFmtId="0" xfId="0" applyAlignment="1" applyBorder="1" applyFont="1">
      <alignment shrinkToFit="0" vertical="center" wrapText="0"/>
    </xf>
    <xf borderId="29" fillId="3" fontId="38" numFmtId="3" xfId="0" applyAlignment="1" applyBorder="1" applyFont="1" applyNumberFormat="1">
      <alignment horizontal="center" shrinkToFit="0" vertical="center" wrapText="0"/>
    </xf>
    <xf borderId="6" fillId="6" fontId="6" numFmtId="0" xfId="0" applyAlignment="1" applyBorder="1" applyFont="1">
      <alignment horizontal="center" shrinkToFit="0" vertical="center" wrapText="0"/>
    </xf>
    <xf borderId="6" fillId="6" fontId="39" numFmtId="0" xfId="0" applyAlignment="1" applyBorder="1" applyFont="1">
      <alignment shrinkToFit="0" vertical="center" wrapText="1"/>
    </xf>
    <xf borderId="6" fillId="4" fontId="6" numFmtId="0" xfId="0" applyAlignment="1" applyBorder="1" applyFont="1">
      <alignment shrinkToFit="0" vertical="center" wrapText="0"/>
    </xf>
    <xf borderId="29" fillId="3" fontId="38" numFmtId="164" xfId="0" applyAlignment="1" applyBorder="1" applyFont="1" applyNumberFormat="1">
      <alignment horizontal="center" shrinkToFit="0" vertical="center" wrapText="0"/>
    </xf>
    <xf borderId="6" fillId="4" fontId="6" numFmtId="0" xfId="0" applyAlignment="1" applyBorder="1" applyFont="1">
      <alignment horizontal="center" shrinkToFit="0" vertical="center" wrapText="0"/>
    </xf>
    <xf borderId="6" fillId="4" fontId="39" numFmtId="0" xfId="0" applyAlignment="1" applyBorder="1" applyFont="1">
      <alignment shrinkToFit="0" vertical="center" wrapText="1"/>
    </xf>
    <xf borderId="29" fillId="3" fontId="38" numFmtId="165" xfId="0" applyAlignment="1" applyBorder="1" applyFont="1" applyNumberFormat="1">
      <alignment horizontal="center" shrinkToFit="0" vertical="center" wrapText="0"/>
    </xf>
    <xf borderId="6" fillId="4" fontId="40" numFmtId="9" xfId="0" applyAlignment="1" applyBorder="1" applyFont="1" applyNumberFormat="1">
      <alignment horizontal="center" shrinkToFit="0" vertical="center" wrapText="0"/>
    </xf>
    <xf borderId="6" fillId="3" fontId="38" numFmtId="164" xfId="0" applyAlignment="1" applyBorder="1" applyFont="1" applyNumberFormat="1">
      <alignment horizontal="center" shrinkToFit="0" vertical="center" wrapText="0"/>
    </xf>
    <xf borderId="6" fillId="6" fontId="40" numFmtId="9" xfId="0" applyAlignment="1" applyBorder="1" applyFont="1" applyNumberFormat="1">
      <alignment horizontal="center" shrinkToFit="0" vertical="center" wrapText="0"/>
    </xf>
    <xf borderId="33" fillId="4" fontId="41" numFmtId="0" xfId="0" applyAlignment="1" applyBorder="1" applyFont="1">
      <alignment horizontal="center" shrinkToFit="0" vertical="center" wrapText="0"/>
    </xf>
    <xf borderId="34" fillId="0" fontId="2" numFmtId="0" xfId="0" applyBorder="1" applyFont="1"/>
    <xf borderId="27" fillId="4" fontId="38" numFmtId="164" xfId="0" applyAlignment="1" applyBorder="1" applyFont="1" applyNumberFormat="1">
      <alignment horizontal="center" shrinkToFit="0" vertical="center" wrapText="0"/>
    </xf>
    <xf borderId="30" fillId="13" fontId="42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6">
    <dxf>
      <font>
        <b/>
        <sz val="9.0"/>
        <color rgb="FF27AE60"/>
        <name val="Aptos"/>
      </font>
      <fill>
        <patternFill patternType="solid">
          <fgColor rgb="FF0F4C2A"/>
          <bgColor rgb="FF0F4C2A"/>
        </patternFill>
      </fill>
      <border/>
    </dxf>
    <dxf>
      <font>
        <b/>
        <sz val="9.0"/>
        <color rgb="FF5DADE2"/>
        <name val="Aptos"/>
      </font>
      <fill>
        <patternFill patternType="solid">
          <fgColor rgb="FF0A2840"/>
          <bgColor rgb="FF0A2840"/>
        </patternFill>
      </fill>
      <border/>
    </dxf>
    <dxf>
      <font>
        <b/>
        <sz val="9.0"/>
        <color rgb="FFF39C12"/>
        <name val="Aptos"/>
      </font>
      <fill>
        <patternFill patternType="solid">
          <fgColor rgb="FF4A3000"/>
          <bgColor rgb="FF4A3000"/>
        </patternFill>
      </fill>
      <border/>
    </dxf>
    <dxf>
      <font>
        <b/>
        <sz val="9.0"/>
        <color rgb="FFE74C3C"/>
        <name val="Aptos"/>
      </font>
      <fill>
        <patternFill patternType="solid">
          <fgColor rgb="FF4A0E0A"/>
          <bgColor rgb="FF4A0E0A"/>
        </patternFill>
      </fill>
      <border/>
    </dxf>
    <dxf>
      <font>
        <sz val="9.0"/>
        <color rgb="FF27AE60"/>
        <name val="Aptos"/>
      </font>
      <fill>
        <patternFill patternType="solid">
          <fgColor rgb="FF0F4C2A"/>
          <bgColor rgb="FF0F4C2A"/>
        </patternFill>
      </fill>
      <border/>
    </dxf>
    <dxf>
      <font>
        <sz val="9.0"/>
        <color rgb="FFE74C3C"/>
        <name val="Aptos"/>
      </font>
      <fill>
        <patternFill patternType="solid">
          <fgColor rgb="FF4A0E0A"/>
          <bgColor rgb="FF4A0E0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84C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3" width="35.0"/>
    <col customWidth="1" min="4" max="4" width="14.0"/>
    <col customWidth="1" min="5" max="5" width="30.0"/>
    <col customWidth="1" min="6" max="7" width="12.0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</row>
    <row r="2" ht="19.5" customHeight="1">
      <c r="A2" s="5" t="s">
        <v>1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</row>
    <row r="3" ht="7.5" customHeight="1">
      <c r="A3" s="4"/>
      <c r="B3" s="4"/>
      <c r="C3" s="4"/>
      <c r="D3" s="4"/>
      <c r="E3" s="4"/>
      <c r="F3" s="4"/>
      <c r="G3" s="4"/>
    </row>
    <row r="4" ht="21.75" customHeight="1">
      <c r="A4" s="6" t="s">
        <v>2</v>
      </c>
      <c r="B4" s="2"/>
      <c r="C4" s="2"/>
      <c r="D4" s="2"/>
      <c r="E4" s="2"/>
      <c r="F4" s="2"/>
      <c r="G4" s="3"/>
    </row>
    <row r="5" ht="27.75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19.5" customHeight="1">
      <c r="A6" s="8" t="s">
        <v>10</v>
      </c>
      <c r="B6" s="9" t="s">
        <v>11</v>
      </c>
      <c r="C6" s="10" t="s">
        <v>12</v>
      </c>
      <c r="D6" s="10" t="s">
        <v>13</v>
      </c>
      <c r="E6" s="10" t="s">
        <v>13</v>
      </c>
      <c r="F6" s="10" t="s">
        <v>14</v>
      </c>
      <c r="G6" s="10" t="s">
        <v>13</v>
      </c>
    </row>
    <row r="7" ht="19.5" customHeight="1">
      <c r="A7" s="11" t="s">
        <v>15</v>
      </c>
      <c r="B7" s="12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</row>
    <row r="8" ht="19.5" customHeight="1">
      <c r="A8" s="8" t="s">
        <v>22</v>
      </c>
      <c r="B8" s="9" t="s">
        <v>23</v>
      </c>
      <c r="C8" s="10" t="s">
        <v>24</v>
      </c>
      <c r="D8" s="10" t="s">
        <v>25</v>
      </c>
      <c r="E8" s="10" t="s">
        <v>26</v>
      </c>
      <c r="F8" s="10" t="s">
        <v>27</v>
      </c>
      <c r="G8" s="10" t="s">
        <v>28</v>
      </c>
    </row>
    <row r="9" ht="19.5" customHeight="1">
      <c r="A9" s="11" t="s">
        <v>29</v>
      </c>
      <c r="B9" s="12" t="s">
        <v>30</v>
      </c>
      <c r="C9" s="13" t="s">
        <v>31</v>
      </c>
      <c r="D9" s="13" t="s">
        <v>32</v>
      </c>
      <c r="E9" s="13" t="s">
        <v>33</v>
      </c>
      <c r="F9" s="13" t="s">
        <v>34</v>
      </c>
      <c r="G9" s="13" t="s">
        <v>35</v>
      </c>
    </row>
    <row r="10" ht="19.5" customHeight="1">
      <c r="A10" s="8" t="s">
        <v>36</v>
      </c>
      <c r="B10" s="9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  <c r="G10" s="10" t="s">
        <v>42</v>
      </c>
    </row>
    <row r="11" ht="19.5" customHeight="1">
      <c r="A11" s="11" t="s">
        <v>43</v>
      </c>
      <c r="B11" s="12" t="s">
        <v>44</v>
      </c>
      <c r="C11" s="13" t="s">
        <v>45</v>
      </c>
      <c r="D11" s="13" t="s">
        <v>39</v>
      </c>
      <c r="E11" s="13" t="s">
        <v>46</v>
      </c>
      <c r="F11" s="13" t="s">
        <v>47</v>
      </c>
      <c r="G11" s="13" t="s">
        <v>48</v>
      </c>
    </row>
    <row r="12" ht="19.5" customHeight="1">
      <c r="A12" s="8" t="s">
        <v>49</v>
      </c>
      <c r="B12" s="9" t="s">
        <v>50</v>
      </c>
      <c r="C12" s="10" t="s">
        <v>51</v>
      </c>
      <c r="D12" s="10" t="s">
        <v>52</v>
      </c>
      <c r="E12" s="10" t="s">
        <v>53</v>
      </c>
      <c r="F12" s="10" t="s">
        <v>54</v>
      </c>
      <c r="G12" s="10" t="s">
        <v>55</v>
      </c>
    </row>
    <row r="13" ht="19.5" customHeight="1">
      <c r="A13" s="11" t="s">
        <v>56</v>
      </c>
      <c r="B13" s="12" t="s">
        <v>57</v>
      </c>
      <c r="C13" s="13" t="s">
        <v>58</v>
      </c>
      <c r="D13" s="13" t="s">
        <v>39</v>
      </c>
      <c r="E13" s="13" t="s">
        <v>59</v>
      </c>
      <c r="F13" s="13" t="s">
        <v>60</v>
      </c>
      <c r="G13" s="13" t="s">
        <v>61</v>
      </c>
    </row>
    <row r="14" ht="19.5" customHeight="1">
      <c r="A14" s="8" t="s">
        <v>62</v>
      </c>
      <c r="B14" s="9" t="s">
        <v>63</v>
      </c>
      <c r="C14" s="10" t="s">
        <v>64</v>
      </c>
      <c r="D14" s="10" t="s">
        <v>52</v>
      </c>
      <c r="E14" s="10" t="s">
        <v>65</v>
      </c>
      <c r="F14" s="10" t="s">
        <v>66</v>
      </c>
      <c r="G14" s="10" t="s">
        <v>67</v>
      </c>
    </row>
    <row r="15" ht="19.5" customHeight="1">
      <c r="A15" s="11" t="s">
        <v>68</v>
      </c>
      <c r="B15" s="12" t="s">
        <v>69</v>
      </c>
      <c r="C15" s="13" t="s">
        <v>12</v>
      </c>
      <c r="D15" s="13" t="s">
        <v>13</v>
      </c>
      <c r="E15" s="13" t="s">
        <v>70</v>
      </c>
      <c r="F15" s="13" t="s">
        <v>71</v>
      </c>
      <c r="G15" s="13" t="s">
        <v>72</v>
      </c>
    </row>
    <row r="16" ht="19.5" customHeight="1">
      <c r="A16" s="8" t="s">
        <v>73</v>
      </c>
      <c r="B16" s="9" t="s">
        <v>74</v>
      </c>
      <c r="C16" s="10" t="s">
        <v>12</v>
      </c>
      <c r="D16" s="10" t="s">
        <v>13</v>
      </c>
      <c r="E16" s="10" t="s">
        <v>70</v>
      </c>
      <c r="F16" s="10" t="s">
        <v>14</v>
      </c>
      <c r="G16" s="10" t="s">
        <v>75</v>
      </c>
    </row>
    <row r="17" ht="7.5" customHeight="1">
      <c r="A17" s="4"/>
      <c r="B17" s="4"/>
      <c r="C17" s="4"/>
      <c r="D17" s="4"/>
      <c r="E17" s="4"/>
      <c r="F17" s="4"/>
      <c r="G17" s="4"/>
    </row>
    <row r="18" ht="21.75" customHeight="1">
      <c r="A18" s="6" t="s">
        <v>76</v>
      </c>
      <c r="B18" s="2"/>
      <c r="C18" s="2"/>
      <c r="D18" s="2"/>
      <c r="E18" s="2"/>
      <c r="F18" s="2"/>
      <c r="G18" s="3"/>
    </row>
    <row r="19" ht="27.75" customHeight="1">
      <c r="A19" s="7" t="s">
        <v>77</v>
      </c>
      <c r="B19" s="7" t="s">
        <v>78</v>
      </c>
      <c r="C19" s="7" t="s">
        <v>79</v>
      </c>
      <c r="D19" s="7" t="s">
        <v>80</v>
      </c>
      <c r="E19" s="7" t="s">
        <v>81</v>
      </c>
      <c r="F19" s="7" t="s">
        <v>82</v>
      </c>
      <c r="G19" s="7" t="s">
        <v>83</v>
      </c>
    </row>
    <row r="20" ht="21.75" customHeight="1">
      <c r="A20" s="14" t="s">
        <v>21</v>
      </c>
      <c r="B20" s="15" t="s">
        <v>84</v>
      </c>
      <c r="C20" s="10" t="s">
        <v>85</v>
      </c>
      <c r="D20" s="10" t="s">
        <v>43</v>
      </c>
      <c r="E20" s="10" t="s">
        <v>86</v>
      </c>
      <c r="F20" s="10" t="s">
        <v>87</v>
      </c>
      <c r="G20" s="10" t="s">
        <v>88</v>
      </c>
    </row>
    <row r="21" ht="21.75" customHeight="1">
      <c r="A21" s="16" t="s">
        <v>28</v>
      </c>
      <c r="B21" s="17" t="s">
        <v>89</v>
      </c>
      <c r="C21" s="13" t="s">
        <v>90</v>
      </c>
      <c r="D21" s="13" t="s">
        <v>36</v>
      </c>
      <c r="E21" s="13" t="s">
        <v>91</v>
      </c>
      <c r="F21" s="13" t="s">
        <v>92</v>
      </c>
      <c r="G21" s="13" t="s">
        <v>93</v>
      </c>
    </row>
    <row r="22" ht="21.75" customHeight="1">
      <c r="A22" s="14" t="s">
        <v>35</v>
      </c>
      <c r="B22" s="15" t="s">
        <v>94</v>
      </c>
      <c r="C22" s="10" t="s">
        <v>95</v>
      </c>
      <c r="D22" s="10" t="s">
        <v>43</v>
      </c>
      <c r="E22" s="10" t="s">
        <v>96</v>
      </c>
      <c r="F22" s="10" t="s">
        <v>97</v>
      </c>
      <c r="G22" s="10" t="s">
        <v>98</v>
      </c>
    </row>
    <row r="23" ht="21.75" customHeight="1">
      <c r="A23" s="16" t="s">
        <v>42</v>
      </c>
      <c r="B23" s="17" t="s">
        <v>99</v>
      </c>
      <c r="C23" s="13" t="s">
        <v>100</v>
      </c>
      <c r="D23" s="13" t="s">
        <v>49</v>
      </c>
      <c r="E23" s="13" t="s">
        <v>101</v>
      </c>
      <c r="F23" s="13" t="s">
        <v>102</v>
      </c>
      <c r="G23" s="13" t="s">
        <v>88</v>
      </c>
    </row>
    <row r="24" ht="21.75" customHeight="1">
      <c r="A24" s="14" t="s">
        <v>48</v>
      </c>
      <c r="B24" s="15" t="s">
        <v>103</v>
      </c>
      <c r="C24" s="10" t="s">
        <v>104</v>
      </c>
      <c r="D24" s="10" t="s">
        <v>62</v>
      </c>
      <c r="E24" s="10" t="s">
        <v>105</v>
      </c>
      <c r="F24" s="10" t="s">
        <v>106</v>
      </c>
      <c r="G24" s="10" t="s">
        <v>107</v>
      </c>
    </row>
    <row r="25" ht="21.75" customHeight="1">
      <c r="A25" s="16" t="s">
        <v>55</v>
      </c>
      <c r="B25" s="17" t="s">
        <v>108</v>
      </c>
      <c r="C25" s="13" t="s">
        <v>109</v>
      </c>
      <c r="D25" s="13" t="s">
        <v>110</v>
      </c>
      <c r="E25" s="13" t="s">
        <v>13</v>
      </c>
      <c r="F25" s="13" t="s">
        <v>111</v>
      </c>
      <c r="G25" s="13" t="s">
        <v>13</v>
      </c>
    </row>
    <row r="26" ht="21.75" customHeight="1">
      <c r="A26" s="14" t="s">
        <v>61</v>
      </c>
      <c r="B26" s="15" t="s">
        <v>112</v>
      </c>
      <c r="C26" s="10" t="s">
        <v>113</v>
      </c>
      <c r="D26" s="10" t="s">
        <v>15</v>
      </c>
      <c r="E26" s="10" t="s">
        <v>114</v>
      </c>
      <c r="F26" s="10" t="s">
        <v>115</v>
      </c>
      <c r="G26" s="10" t="s">
        <v>88</v>
      </c>
    </row>
    <row r="27" ht="21.75" customHeight="1">
      <c r="A27" s="16" t="s">
        <v>67</v>
      </c>
      <c r="B27" s="17" t="s">
        <v>116</v>
      </c>
      <c r="C27" s="13" t="s">
        <v>117</v>
      </c>
      <c r="D27" s="13" t="s">
        <v>29</v>
      </c>
      <c r="E27" s="13" t="s">
        <v>118</v>
      </c>
      <c r="F27" s="13" t="s">
        <v>119</v>
      </c>
      <c r="G27" s="13" t="s">
        <v>98</v>
      </c>
    </row>
    <row r="28" ht="15.0" customHeight="1">
      <c r="A28" s="4"/>
      <c r="B28" s="4"/>
      <c r="C28" s="4"/>
      <c r="D28" s="4"/>
      <c r="E28" s="4"/>
      <c r="F28" s="4"/>
      <c r="G28" s="4"/>
    </row>
    <row r="29" ht="7.5" customHeight="1">
      <c r="A29" s="4"/>
      <c r="B29" s="4"/>
      <c r="C29" s="4"/>
      <c r="D29" s="4"/>
      <c r="E29" s="4"/>
      <c r="F29" s="4"/>
      <c r="G29" s="4"/>
    </row>
    <row r="30" ht="21.75" customHeight="1">
      <c r="A30" s="6" t="s">
        <v>120</v>
      </c>
      <c r="B30" s="2"/>
      <c r="C30" s="2"/>
      <c r="D30" s="2"/>
      <c r="E30" s="2"/>
      <c r="F30" s="2"/>
      <c r="G30" s="3"/>
    </row>
    <row r="31" ht="19.5" customHeight="1">
      <c r="A31" s="18" t="s">
        <v>121</v>
      </c>
      <c r="B31" s="19" t="s">
        <v>122</v>
      </c>
      <c r="C31" s="20"/>
      <c r="D31" s="21" t="s">
        <v>123</v>
      </c>
      <c r="E31" s="22"/>
      <c r="F31" s="22"/>
      <c r="G31" s="20"/>
    </row>
    <row r="32" ht="19.5" customHeight="1">
      <c r="A32" s="23" t="s">
        <v>121</v>
      </c>
      <c r="B32" s="24" t="s">
        <v>124</v>
      </c>
      <c r="C32" s="20"/>
      <c r="D32" s="25" t="s">
        <v>125</v>
      </c>
      <c r="E32" s="22"/>
      <c r="F32" s="22"/>
      <c r="G32" s="20"/>
    </row>
    <row r="33" ht="19.5" customHeight="1">
      <c r="A33" s="26" t="s">
        <v>121</v>
      </c>
      <c r="B33" s="27" t="s">
        <v>126</v>
      </c>
      <c r="C33" s="20"/>
      <c r="D33" s="21" t="s">
        <v>127</v>
      </c>
      <c r="E33" s="22"/>
      <c r="F33" s="22"/>
      <c r="G33" s="20"/>
    </row>
    <row r="34" ht="19.5" customHeight="1">
      <c r="A34" s="28" t="s">
        <v>121</v>
      </c>
      <c r="B34" s="29" t="s">
        <v>128</v>
      </c>
      <c r="C34" s="20"/>
      <c r="D34" s="25" t="s">
        <v>129</v>
      </c>
      <c r="E34" s="22"/>
      <c r="F34" s="22"/>
      <c r="G34" s="20"/>
    </row>
    <row r="35" ht="15.75" customHeight="1">
      <c r="A35" s="30"/>
      <c r="B35" s="30"/>
      <c r="C35" s="30"/>
      <c r="D35" s="30"/>
      <c r="E35" s="30"/>
      <c r="F35" s="30"/>
      <c r="G35" s="30"/>
    </row>
    <row r="36" ht="15.75" customHeight="1">
      <c r="A36" s="30"/>
      <c r="B36" s="30"/>
      <c r="C36" s="30"/>
      <c r="D36" s="30"/>
      <c r="E36" s="30"/>
      <c r="F36" s="30"/>
      <c r="G36" s="30"/>
    </row>
    <row r="37" ht="15.75" customHeight="1">
      <c r="A37" s="30"/>
      <c r="B37" s="30"/>
      <c r="C37" s="30"/>
      <c r="D37" s="30"/>
      <c r="E37" s="30"/>
      <c r="F37" s="30"/>
      <c r="G37" s="30"/>
    </row>
    <row r="38" ht="15.75" customHeight="1">
      <c r="A38" s="30"/>
      <c r="B38" s="30"/>
      <c r="C38" s="30"/>
      <c r="D38" s="30"/>
      <c r="E38" s="30"/>
      <c r="F38" s="30"/>
      <c r="G38" s="30"/>
    </row>
    <row r="39" ht="15.75" customHeight="1">
      <c r="A39" s="30"/>
      <c r="B39" s="30"/>
      <c r="C39" s="30"/>
      <c r="D39" s="30"/>
      <c r="E39" s="30"/>
      <c r="F39" s="30"/>
      <c r="G39" s="30"/>
    </row>
    <row r="40" ht="15.75" customHeight="1">
      <c r="A40" s="30"/>
      <c r="B40" s="30"/>
      <c r="C40" s="30"/>
      <c r="D40" s="30"/>
      <c r="E40" s="30"/>
      <c r="F40" s="30"/>
      <c r="G40" s="30"/>
    </row>
    <row r="41" ht="15.75" customHeight="1">
      <c r="A41" s="30"/>
      <c r="B41" s="30"/>
      <c r="C41" s="30"/>
      <c r="D41" s="30"/>
      <c r="E41" s="30"/>
      <c r="F41" s="30"/>
      <c r="G41" s="30"/>
    </row>
    <row r="42" ht="15.75" customHeight="1">
      <c r="A42" s="30"/>
      <c r="B42" s="30"/>
      <c r="C42" s="30"/>
      <c r="D42" s="30"/>
      <c r="E42" s="30"/>
      <c r="F42" s="30"/>
      <c r="G42" s="30"/>
    </row>
    <row r="43" ht="15.75" customHeight="1">
      <c r="A43" s="30"/>
      <c r="B43" s="30"/>
      <c r="C43" s="30"/>
      <c r="D43" s="30"/>
      <c r="E43" s="30"/>
      <c r="F43" s="30"/>
      <c r="G43" s="30"/>
    </row>
    <row r="44" ht="15.75" customHeight="1">
      <c r="A44" s="30"/>
      <c r="B44" s="30"/>
      <c r="C44" s="30"/>
      <c r="D44" s="30"/>
      <c r="E44" s="30"/>
      <c r="F44" s="30"/>
      <c r="G44" s="30"/>
    </row>
    <row r="45" ht="15.75" customHeight="1">
      <c r="A45" s="30"/>
      <c r="B45" s="30"/>
      <c r="C45" s="30"/>
      <c r="D45" s="30"/>
      <c r="E45" s="30"/>
      <c r="F45" s="30"/>
      <c r="G45" s="30"/>
    </row>
    <row r="46" ht="15.75" customHeight="1">
      <c r="A46" s="30"/>
      <c r="B46" s="30"/>
      <c r="C46" s="30"/>
      <c r="D46" s="30"/>
      <c r="E46" s="30"/>
      <c r="F46" s="30"/>
      <c r="G46" s="30"/>
    </row>
    <row r="47" ht="15.75" customHeight="1">
      <c r="A47" s="30"/>
      <c r="B47" s="30"/>
      <c r="C47" s="30"/>
      <c r="D47" s="30"/>
      <c r="E47" s="30"/>
      <c r="F47" s="30"/>
      <c r="G47" s="30"/>
    </row>
    <row r="48" ht="15.75" customHeight="1">
      <c r="A48" s="30"/>
      <c r="B48" s="30"/>
      <c r="C48" s="30"/>
      <c r="D48" s="30"/>
      <c r="E48" s="30"/>
      <c r="F48" s="30"/>
      <c r="G48" s="30"/>
    </row>
    <row r="49" ht="15.75" customHeight="1">
      <c r="A49" s="30"/>
      <c r="B49" s="30"/>
      <c r="C49" s="30"/>
      <c r="D49" s="30"/>
      <c r="E49" s="30"/>
      <c r="F49" s="30"/>
      <c r="G49" s="30"/>
    </row>
    <row r="50" ht="15.75" customHeight="1">
      <c r="A50" s="30"/>
      <c r="B50" s="30"/>
      <c r="C50" s="30"/>
      <c r="D50" s="30"/>
      <c r="E50" s="30"/>
      <c r="F50" s="30"/>
      <c r="G50" s="30"/>
    </row>
    <row r="51" ht="15.75" customHeight="1">
      <c r="A51" s="30"/>
      <c r="B51" s="30"/>
      <c r="C51" s="30"/>
      <c r="D51" s="30"/>
      <c r="E51" s="30"/>
      <c r="F51" s="30"/>
      <c r="G51" s="30"/>
    </row>
    <row r="52" ht="15.75" customHeight="1">
      <c r="A52" s="30"/>
      <c r="B52" s="30"/>
      <c r="C52" s="30"/>
      <c r="D52" s="30"/>
      <c r="E52" s="30"/>
      <c r="F52" s="30"/>
      <c r="G52" s="30"/>
    </row>
    <row r="53" ht="15.75" customHeight="1">
      <c r="A53" s="30"/>
      <c r="B53" s="30"/>
      <c r="C53" s="30"/>
      <c r="D53" s="30"/>
      <c r="E53" s="30"/>
      <c r="F53" s="30"/>
      <c r="G53" s="30"/>
    </row>
    <row r="54" ht="15.75" customHeight="1">
      <c r="A54" s="30"/>
      <c r="B54" s="30"/>
      <c r="C54" s="30"/>
      <c r="D54" s="30"/>
      <c r="E54" s="30"/>
      <c r="F54" s="30"/>
      <c r="G54" s="30"/>
    </row>
    <row r="55" ht="15.75" customHeight="1">
      <c r="A55" s="30"/>
      <c r="B55" s="30"/>
      <c r="C55" s="30"/>
      <c r="D55" s="30"/>
      <c r="E55" s="30"/>
      <c r="F55" s="30"/>
      <c r="G55" s="30"/>
    </row>
    <row r="56" ht="15.75" customHeight="1">
      <c r="A56" s="30"/>
      <c r="B56" s="30"/>
      <c r="C56" s="30"/>
      <c r="D56" s="30"/>
      <c r="E56" s="30"/>
      <c r="F56" s="30"/>
      <c r="G56" s="30"/>
    </row>
    <row r="57" ht="15.75" customHeight="1">
      <c r="A57" s="30"/>
      <c r="B57" s="30"/>
      <c r="C57" s="30"/>
      <c r="D57" s="30"/>
      <c r="E57" s="30"/>
      <c r="F57" s="30"/>
      <c r="G57" s="30"/>
    </row>
    <row r="58" ht="15.75" customHeight="1">
      <c r="A58" s="30"/>
      <c r="B58" s="30"/>
      <c r="C58" s="30"/>
      <c r="D58" s="30"/>
      <c r="E58" s="30"/>
      <c r="F58" s="30"/>
      <c r="G58" s="30"/>
    </row>
    <row r="59" ht="15.75" customHeight="1">
      <c r="A59" s="30"/>
      <c r="B59" s="30"/>
      <c r="C59" s="30"/>
      <c r="D59" s="30"/>
      <c r="E59" s="30"/>
      <c r="F59" s="30"/>
      <c r="G59" s="30"/>
    </row>
    <row r="60" ht="15.75" customHeight="1">
      <c r="A60" s="30"/>
      <c r="B60" s="30"/>
      <c r="C60" s="30"/>
      <c r="D60" s="30"/>
      <c r="E60" s="30"/>
      <c r="F60" s="30"/>
      <c r="G60" s="30"/>
    </row>
    <row r="61" ht="15.75" customHeight="1">
      <c r="A61" s="30"/>
      <c r="B61" s="30"/>
      <c r="C61" s="30"/>
      <c r="D61" s="30"/>
      <c r="E61" s="30"/>
      <c r="F61" s="30"/>
      <c r="G61" s="30"/>
    </row>
    <row r="62" ht="15.75" customHeight="1">
      <c r="A62" s="30"/>
      <c r="B62" s="30"/>
      <c r="C62" s="30"/>
      <c r="D62" s="30"/>
      <c r="E62" s="30"/>
      <c r="F62" s="30"/>
      <c r="G62" s="30"/>
    </row>
    <row r="63" ht="15.75" customHeight="1">
      <c r="A63" s="30"/>
      <c r="B63" s="30"/>
      <c r="C63" s="30"/>
      <c r="D63" s="30"/>
      <c r="E63" s="30"/>
      <c r="F63" s="30"/>
      <c r="G63" s="30"/>
    </row>
    <row r="64" ht="15.75" customHeight="1">
      <c r="A64" s="30"/>
      <c r="B64" s="30"/>
      <c r="C64" s="30"/>
      <c r="D64" s="30"/>
      <c r="E64" s="30"/>
      <c r="F64" s="30"/>
      <c r="G64" s="30"/>
    </row>
    <row r="65" ht="15.75" customHeight="1">
      <c r="A65" s="30"/>
      <c r="B65" s="30"/>
      <c r="C65" s="30"/>
      <c r="D65" s="30"/>
      <c r="E65" s="30"/>
      <c r="F65" s="30"/>
      <c r="G65" s="30"/>
    </row>
    <row r="66" ht="15.75" customHeight="1">
      <c r="A66" s="30"/>
      <c r="B66" s="30"/>
      <c r="C66" s="30"/>
      <c r="D66" s="30"/>
      <c r="E66" s="30"/>
      <c r="F66" s="30"/>
      <c r="G66" s="30"/>
    </row>
    <row r="67" ht="15.75" customHeight="1">
      <c r="A67" s="30"/>
      <c r="B67" s="30"/>
      <c r="C67" s="30"/>
      <c r="D67" s="30"/>
      <c r="E67" s="30"/>
      <c r="F67" s="30"/>
      <c r="G67" s="30"/>
    </row>
    <row r="68" ht="15.75" customHeight="1">
      <c r="A68" s="30"/>
      <c r="B68" s="30"/>
      <c r="C68" s="30"/>
      <c r="D68" s="30"/>
      <c r="E68" s="30"/>
      <c r="F68" s="30"/>
      <c r="G68" s="30"/>
    </row>
    <row r="69" ht="15.75" customHeight="1">
      <c r="A69" s="30"/>
      <c r="B69" s="30"/>
      <c r="C69" s="30"/>
      <c r="D69" s="30"/>
      <c r="E69" s="30"/>
      <c r="F69" s="30"/>
      <c r="G69" s="30"/>
    </row>
    <row r="70" ht="15.75" customHeight="1">
      <c r="A70" s="30"/>
      <c r="B70" s="30"/>
      <c r="C70" s="30"/>
      <c r="D70" s="30"/>
      <c r="E70" s="30"/>
      <c r="F70" s="30"/>
      <c r="G70" s="30"/>
    </row>
    <row r="71" ht="15.75" customHeight="1">
      <c r="A71" s="30"/>
      <c r="B71" s="30"/>
      <c r="C71" s="30"/>
      <c r="D71" s="30"/>
      <c r="E71" s="30"/>
      <c r="F71" s="30"/>
      <c r="G71" s="30"/>
    </row>
    <row r="72" ht="15.75" customHeight="1">
      <c r="A72" s="30"/>
      <c r="B72" s="30"/>
      <c r="C72" s="30"/>
      <c r="D72" s="30"/>
      <c r="E72" s="30"/>
      <c r="F72" s="30"/>
      <c r="G72" s="30"/>
    </row>
    <row r="73" ht="15.75" customHeight="1">
      <c r="A73" s="30"/>
      <c r="B73" s="30"/>
      <c r="C73" s="30"/>
      <c r="D73" s="30"/>
      <c r="E73" s="30"/>
      <c r="F73" s="30"/>
      <c r="G73" s="30"/>
    </row>
    <row r="74" ht="15.75" customHeight="1">
      <c r="A74" s="30"/>
      <c r="B74" s="30"/>
      <c r="C74" s="30"/>
      <c r="D74" s="30"/>
      <c r="E74" s="30"/>
      <c r="F74" s="30"/>
      <c r="G74" s="30"/>
    </row>
    <row r="75" ht="15.75" customHeight="1">
      <c r="A75" s="30"/>
      <c r="B75" s="30"/>
      <c r="C75" s="30"/>
      <c r="D75" s="30"/>
      <c r="E75" s="30"/>
      <c r="F75" s="30"/>
      <c r="G75" s="30"/>
    </row>
    <row r="76" ht="15.75" customHeight="1">
      <c r="A76" s="30"/>
      <c r="B76" s="30"/>
      <c r="C76" s="30"/>
      <c r="D76" s="30"/>
      <c r="E76" s="30"/>
      <c r="F76" s="30"/>
      <c r="G76" s="30"/>
    </row>
    <row r="77" ht="15.75" customHeight="1">
      <c r="A77" s="30"/>
      <c r="B77" s="30"/>
      <c r="C77" s="30"/>
      <c r="D77" s="30"/>
      <c r="E77" s="30"/>
      <c r="F77" s="30"/>
      <c r="G77" s="30"/>
    </row>
    <row r="78" ht="15.75" customHeight="1">
      <c r="A78" s="30"/>
      <c r="B78" s="30"/>
      <c r="C78" s="30"/>
      <c r="D78" s="30"/>
      <c r="E78" s="30"/>
      <c r="F78" s="30"/>
      <c r="G78" s="30"/>
    </row>
    <row r="79" ht="15.75" customHeight="1">
      <c r="A79" s="30"/>
      <c r="B79" s="30"/>
      <c r="C79" s="30"/>
      <c r="D79" s="30"/>
      <c r="E79" s="30"/>
      <c r="F79" s="30"/>
      <c r="G79" s="30"/>
    </row>
    <row r="80" ht="15.75" customHeight="1">
      <c r="A80" s="30"/>
      <c r="B80" s="30"/>
      <c r="C80" s="30"/>
      <c r="D80" s="30"/>
      <c r="E80" s="30"/>
      <c r="F80" s="30"/>
      <c r="G80" s="30"/>
    </row>
    <row r="81" ht="15.75" customHeight="1">
      <c r="A81" s="30"/>
      <c r="B81" s="30"/>
      <c r="C81" s="30"/>
      <c r="D81" s="30"/>
      <c r="E81" s="30"/>
      <c r="F81" s="30"/>
      <c r="G81" s="30"/>
    </row>
    <row r="82" ht="15.75" customHeight="1">
      <c r="A82" s="30"/>
      <c r="B82" s="30"/>
      <c r="C82" s="30"/>
      <c r="D82" s="30"/>
      <c r="E82" s="30"/>
      <c r="F82" s="30"/>
      <c r="G82" s="30"/>
    </row>
    <row r="83" ht="15.75" customHeight="1">
      <c r="A83" s="30"/>
      <c r="B83" s="30"/>
      <c r="C83" s="30"/>
      <c r="D83" s="30"/>
      <c r="E83" s="30"/>
      <c r="F83" s="30"/>
      <c r="G83" s="30"/>
    </row>
    <row r="84" ht="15.75" customHeight="1">
      <c r="A84" s="30"/>
      <c r="B84" s="30"/>
      <c r="C84" s="30"/>
      <c r="D84" s="30"/>
      <c r="E84" s="30"/>
      <c r="F84" s="30"/>
      <c r="G84" s="30"/>
    </row>
    <row r="85" ht="15.75" customHeight="1">
      <c r="A85" s="30"/>
      <c r="B85" s="30"/>
      <c r="C85" s="30"/>
      <c r="D85" s="30"/>
      <c r="E85" s="30"/>
      <c r="F85" s="30"/>
      <c r="G85" s="30"/>
    </row>
    <row r="86" ht="15.75" customHeight="1">
      <c r="A86" s="30"/>
      <c r="B86" s="30"/>
      <c r="C86" s="30"/>
      <c r="D86" s="30"/>
      <c r="E86" s="30"/>
      <c r="F86" s="30"/>
      <c r="G86" s="30"/>
    </row>
    <row r="87" ht="15.75" customHeight="1">
      <c r="A87" s="30"/>
      <c r="B87" s="30"/>
      <c r="C87" s="30"/>
      <c r="D87" s="30"/>
      <c r="E87" s="30"/>
      <c r="F87" s="30"/>
      <c r="G87" s="30"/>
    </row>
    <row r="88" ht="15.75" customHeight="1">
      <c r="A88" s="30"/>
      <c r="B88" s="30"/>
      <c r="C88" s="30"/>
      <c r="D88" s="30"/>
      <c r="E88" s="30"/>
      <c r="F88" s="30"/>
      <c r="G88" s="30"/>
    </row>
    <row r="89" ht="15.75" customHeight="1">
      <c r="A89" s="30"/>
      <c r="B89" s="30"/>
      <c r="C89" s="30"/>
      <c r="D89" s="30"/>
      <c r="E89" s="30"/>
      <c r="F89" s="30"/>
      <c r="G89" s="30"/>
    </row>
    <row r="90" ht="15.75" customHeight="1">
      <c r="A90" s="30"/>
      <c r="B90" s="30"/>
      <c r="C90" s="30"/>
      <c r="D90" s="30"/>
      <c r="E90" s="30"/>
      <c r="F90" s="30"/>
      <c r="G90" s="30"/>
    </row>
    <row r="91" ht="15.75" customHeight="1">
      <c r="A91" s="30"/>
      <c r="B91" s="30"/>
      <c r="C91" s="30"/>
      <c r="D91" s="30"/>
      <c r="E91" s="30"/>
      <c r="F91" s="30"/>
      <c r="G91" s="30"/>
    </row>
    <row r="92" ht="15.75" customHeight="1">
      <c r="A92" s="30"/>
      <c r="B92" s="30"/>
      <c r="C92" s="30"/>
      <c r="D92" s="30"/>
      <c r="E92" s="30"/>
      <c r="F92" s="30"/>
      <c r="G92" s="30"/>
    </row>
    <row r="93" ht="15.75" customHeight="1">
      <c r="A93" s="30"/>
      <c r="B93" s="30"/>
      <c r="C93" s="30"/>
      <c r="D93" s="30"/>
      <c r="E93" s="30"/>
      <c r="F93" s="30"/>
      <c r="G93" s="30"/>
    </row>
    <row r="94" ht="15.75" customHeight="1">
      <c r="A94" s="30"/>
      <c r="B94" s="30"/>
      <c r="C94" s="30"/>
      <c r="D94" s="30"/>
      <c r="E94" s="30"/>
      <c r="F94" s="30"/>
      <c r="G94" s="30"/>
    </row>
    <row r="95" ht="15.75" customHeight="1">
      <c r="A95" s="30"/>
      <c r="B95" s="30"/>
      <c r="C95" s="30"/>
      <c r="D95" s="30"/>
      <c r="E95" s="30"/>
      <c r="F95" s="30"/>
      <c r="G95" s="30"/>
    </row>
    <row r="96" ht="15.75" customHeight="1">
      <c r="A96" s="30"/>
      <c r="B96" s="30"/>
      <c r="C96" s="30"/>
      <c r="D96" s="30"/>
      <c r="E96" s="30"/>
      <c r="F96" s="30"/>
      <c r="G96" s="30"/>
    </row>
    <row r="97" ht="15.75" customHeight="1">
      <c r="A97" s="30"/>
      <c r="B97" s="30"/>
      <c r="C97" s="30"/>
      <c r="D97" s="30"/>
      <c r="E97" s="30"/>
      <c r="F97" s="30"/>
      <c r="G97" s="30"/>
    </row>
    <row r="98" ht="15.75" customHeight="1">
      <c r="A98" s="30"/>
      <c r="B98" s="30"/>
      <c r="C98" s="30"/>
      <c r="D98" s="30"/>
      <c r="E98" s="30"/>
      <c r="F98" s="30"/>
      <c r="G98" s="30"/>
    </row>
    <row r="99" ht="15.75" customHeight="1">
      <c r="A99" s="30"/>
      <c r="B99" s="30"/>
      <c r="C99" s="30"/>
      <c r="D99" s="30"/>
      <c r="E99" s="30"/>
      <c r="F99" s="30"/>
      <c r="G99" s="30"/>
    </row>
    <row r="100" ht="15.75" customHeight="1">
      <c r="A100" s="30"/>
      <c r="B100" s="30"/>
      <c r="C100" s="30"/>
      <c r="D100" s="30"/>
      <c r="E100" s="30"/>
      <c r="F100" s="30"/>
      <c r="G100" s="30"/>
    </row>
    <row r="101" ht="15.75" customHeight="1">
      <c r="A101" s="30"/>
      <c r="B101" s="30"/>
      <c r="C101" s="30"/>
      <c r="D101" s="30"/>
      <c r="E101" s="30"/>
      <c r="F101" s="30"/>
      <c r="G101" s="30"/>
    </row>
    <row r="102" ht="15.75" customHeight="1">
      <c r="A102" s="30"/>
      <c r="B102" s="30"/>
      <c r="C102" s="30"/>
      <c r="D102" s="30"/>
      <c r="E102" s="30"/>
      <c r="F102" s="30"/>
      <c r="G102" s="30"/>
    </row>
    <row r="103" ht="15.75" customHeight="1">
      <c r="A103" s="30"/>
      <c r="B103" s="30"/>
      <c r="C103" s="30"/>
      <c r="D103" s="30"/>
      <c r="E103" s="30"/>
      <c r="F103" s="30"/>
      <c r="G103" s="30"/>
    </row>
    <row r="104" ht="15.75" customHeight="1">
      <c r="A104" s="30"/>
      <c r="B104" s="30"/>
      <c r="C104" s="30"/>
      <c r="D104" s="30"/>
      <c r="E104" s="30"/>
      <c r="F104" s="30"/>
      <c r="G104" s="30"/>
    </row>
    <row r="105" ht="15.75" customHeight="1">
      <c r="A105" s="30"/>
      <c r="B105" s="30"/>
      <c r="C105" s="30"/>
      <c r="D105" s="30"/>
      <c r="E105" s="30"/>
      <c r="F105" s="30"/>
      <c r="G105" s="30"/>
    </row>
    <row r="106" ht="15.75" customHeight="1">
      <c r="A106" s="30"/>
      <c r="B106" s="30"/>
      <c r="C106" s="30"/>
      <c r="D106" s="30"/>
      <c r="E106" s="30"/>
      <c r="F106" s="30"/>
      <c r="G106" s="30"/>
    </row>
    <row r="107" ht="15.75" customHeight="1">
      <c r="A107" s="30"/>
      <c r="B107" s="30"/>
      <c r="C107" s="30"/>
      <c r="D107" s="30"/>
      <c r="E107" s="30"/>
      <c r="F107" s="30"/>
      <c r="G107" s="30"/>
    </row>
    <row r="108" ht="15.75" customHeight="1">
      <c r="A108" s="30"/>
      <c r="B108" s="30"/>
      <c r="C108" s="30"/>
      <c r="D108" s="30"/>
      <c r="E108" s="30"/>
      <c r="F108" s="30"/>
      <c r="G108" s="30"/>
    </row>
    <row r="109" ht="15.75" customHeight="1">
      <c r="A109" s="30"/>
      <c r="B109" s="30"/>
      <c r="C109" s="30"/>
      <c r="D109" s="30"/>
      <c r="E109" s="30"/>
      <c r="F109" s="30"/>
      <c r="G109" s="30"/>
    </row>
    <row r="110" ht="15.75" customHeight="1">
      <c r="A110" s="30"/>
      <c r="B110" s="30"/>
      <c r="C110" s="30"/>
      <c r="D110" s="30"/>
      <c r="E110" s="30"/>
      <c r="F110" s="30"/>
      <c r="G110" s="30"/>
    </row>
    <row r="111" ht="15.75" customHeight="1">
      <c r="A111" s="30"/>
      <c r="B111" s="30"/>
      <c r="C111" s="30"/>
      <c r="D111" s="30"/>
      <c r="E111" s="30"/>
      <c r="F111" s="30"/>
      <c r="G111" s="30"/>
    </row>
    <row r="112" ht="15.75" customHeight="1">
      <c r="A112" s="30"/>
      <c r="B112" s="30"/>
      <c r="C112" s="30"/>
      <c r="D112" s="30"/>
      <c r="E112" s="30"/>
      <c r="F112" s="30"/>
      <c r="G112" s="30"/>
    </row>
    <row r="113" ht="15.75" customHeight="1">
      <c r="A113" s="30"/>
      <c r="B113" s="30"/>
      <c r="C113" s="30"/>
      <c r="D113" s="30"/>
      <c r="E113" s="30"/>
      <c r="F113" s="30"/>
      <c r="G113" s="30"/>
    </row>
    <row r="114" ht="15.75" customHeight="1">
      <c r="A114" s="30"/>
      <c r="B114" s="30"/>
      <c r="C114" s="30"/>
      <c r="D114" s="30"/>
      <c r="E114" s="30"/>
      <c r="F114" s="30"/>
      <c r="G114" s="30"/>
    </row>
    <row r="115" ht="15.75" customHeight="1">
      <c r="A115" s="30"/>
      <c r="B115" s="30"/>
      <c r="C115" s="30"/>
      <c r="D115" s="30"/>
      <c r="E115" s="30"/>
      <c r="F115" s="30"/>
      <c r="G115" s="30"/>
    </row>
    <row r="116" ht="15.75" customHeight="1">
      <c r="A116" s="30"/>
      <c r="B116" s="30"/>
      <c r="C116" s="30"/>
      <c r="D116" s="30"/>
      <c r="E116" s="30"/>
      <c r="F116" s="30"/>
      <c r="G116" s="30"/>
    </row>
    <row r="117" ht="15.75" customHeight="1">
      <c r="A117" s="30"/>
      <c r="B117" s="30"/>
      <c r="C117" s="30"/>
      <c r="D117" s="30"/>
      <c r="E117" s="30"/>
      <c r="F117" s="30"/>
      <c r="G117" s="30"/>
    </row>
    <row r="118" ht="15.75" customHeight="1">
      <c r="A118" s="30"/>
      <c r="B118" s="30"/>
      <c r="C118" s="30"/>
      <c r="D118" s="30"/>
      <c r="E118" s="30"/>
      <c r="F118" s="30"/>
      <c r="G118" s="30"/>
    </row>
    <row r="119" ht="15.75" customHeight="1">
      <c r="A119" s="30"/>
      <c r="B119" s="30"/>
      <c r="C119" s="30"/>
      <c r="D119" s="30"/>
      <c r="E119" s="30"/>
      <c r="F119" s="30"/>
      <c r="G119" s="30"/>
    </row>
    <row r="120" ht="15.75" customHeight="1">
      <c r="A120" s="30"/>
      <c r="B120" s="30"/>
      <c r="C120" s="30"/>
      <c r="D120" s="30"/>
      <c r="E120" s="30"/>
      <c r="F120" s="30"/>
      <c r="G120" s="30"/>
    </row>
    <row r="121" ht="15.75" customHeight="1">
      <c r="A121" s="30"/>
      <c r="B121" s="30"/>
      <c r="C121" s="30"/>
      <c r="D121" s="30"/>
      <c r="E121" s="30"/>
      <c r="F121" s="30"/>
      <c r="G121" s="30"/>
    </row>
    <row r="122" ht="15.75" customHeight="1">
      <c r="A122" s="30"/>
      <c r="B122" s="30"/>
      <c r="C122" s="30"/>
      <c r="D122" s="30"/>
      <c r="E122" s="30"/>
      <c r="F122" s="30"/>
      <c r="G122" s="30"/>
    </row>
    <row r="123" ht="15.75" customHeight="1">
      <c r="A123" s="30"/>
      <c r="B123" s="30"/>
      <c r="C123" s="30"/>
      <c r="D123" s="30"/>
      <c r="E123" s="30"/>
      <c r="F123" s="30"/>
      <c r="G123" s="30"/>
    </row>
    <row r="124" ht="15.75" customHeight="1">
      <c r="A124" s="30"/>
      <c r="B124" s="30"/>
      <c r="C124" s="30"/>
      <c r="D124" s="30"/>
      <c r="E124" s="30"/>
      <c r="F124" s="30"/>
      <c r="G124" s="30"/>
    </row>
    <row r="125" ht="15.75" customHeight="1">
      <c r="A125" s="30"/>
      <c r="B125" s="30"/>
      <c r="C125" s="30"/>
      <c r="D125" s="30"/>
      <c r="E125" s="30"/>
      <c r="F125" s="30"/>
      <c r="G125" s="30"/>
    </row>
    <row r="126" ht="15.75" customHeight="1">
      <c r="A126" s="30"/>
      <c r="B126" s="30"/>
      <c r="C126" s="30"/>
      <c r="D126" s="30"/>
      <c r="E126" s="30"/>
      <c r="F126" s="30"/>
      <c r="G126" s="30"/>
    </row>
    <row r="127" ht="15.75" customHeight="1">
      <c r="A127" s="30"/>
      <c r="B127" s="30"/>
      <c r="C127" s="30"/>
      <c r="D127" s="30"/>
      <c r="E127" s="30"/>
      <c r="F127" s="30"/>
      <c r="G127" s="30"/>
    </row>
    <row r="128" ht="15.75" customHeight="1">
      <c r="A128" s="30"/>
      <c r="B128" s="30"/>
      <c r="C128" s="30"/>
      <c r="D128" s="30"/>
      <c r="E128" s="30"/>
      <c r="F128" s="30"/>
      <c r="G128" s="30"/>
    </row>
    <row r="129" ht="15.75" customHeight="1">
      <c r="A129" s="30"/>
      <c r="B129" s="30"/>
      <c r="C129" s="30"/>
      <c r="D129" s="30"/>
      <c r="E129" s="30"/>
      <c r="F129" s="30"/>
      <c r="G129" s="30"/>
    </row>
    <row r="130" ht="15.75" customHeight="1">
      <c r="A130" s="30"/>
      <c r="B130" s="30"/>
      <c r="C130" s="30"/>
      <c r="D130" s="30"/>
      <c r="E130" s="30"/>
      <c r="F130" s="30"/>
      <c r="G130" s="30"/>
    </row>
    <row r="131" ht="15.75" customHeight="1">
      <c r="A131" s="30"/>
      <c r="B131" s="30"/>
      <c r="C131" s="30"/>
      <c r="D131" s="30"/>
      <c r="E131" s="30"/>
      <c r="F131" s="30"/>
      <c r="G131" s="30"/>
    </row>
    <row r="132" ht="15.75" customHeight="1">
      <c r="A132" s="30"/>
      <c r="B132" s="30"/>
      <c r="C132" s="30"/>
      <c r="D132" s="30"/>
      <c r="E132" s="30"/>
      <c r="F132" s="30"/>
      <c r="G132" s="30"/>
    </row>
    <row r="133" ht="15.75" customHeight="1">
      <c r="A133" s="30"/>
      <c r="B133" s="30"/>
      <c r="C133" s="30"/>
      <c r="D133" s="30"/>
      <c r="E133" s="30"/>
      <c r="F133" s="30"/>
      <c r="G133" s="30"/>
    </row>
    <row r="134" ht="15.75" customHeight="1">
      <c r="A134" s="30"/>
      <c r="B134" s="30"/>
      <c r="C134" s="30"/>
      <c r="D134" s="30"/>
      <c r="E134" s="30"/>
      <c r="F134" s="30"/>
      <c r="G134" s="30"/>
    </row>
    <row r="135" ht="15.75" customHeight="1">
      <c r="A135" s="30"/>
      <c r="B135" s="30"/>
      <c r="C135" s="30"/>
      <c r="D135" s="30"/>
      <c r="E135" s="30"/>
      <c r="F135" s="30"/>
      <c r="G135" s="30"/>
    </row>
    <row r="136" ht="15.75" customHeight="1">
      <c r="A136" s="30"/>
      <c r="B136" s="30"/>
      <c r="C136" s="30"/>
      <c r="D136" s="30"/>
      <c r="E136" s="30"/>
      <c r="F136" s="30"/>
      <c r="G136" s="30"/>
    </row>
    <row r="137" ht="15.75" customHeight="1">
      <c r="A137" s="30"/>
      <c r="B137" s="30"/>
      <c r="C137" s="30"/>
      <c r="D137" s="30"/>
      <c r="E137" s="30"/>
      <c r="F137" s="30"/>
      <c r="G137" s="30"/>
    </row>
    <row r="138" ht="15.75" customHeight="1">
      <c r="A138" s="30"/>
      <c r="B138" s="30"/>
      <c r="C138" s="30"/>
      <c r="D138" s="30"/>
      <c r="E138" s="30"/>
      <c r="F138" s="30"/>
      <c r="G138" s="30"/>
    </row>
    <row r="139" ht="15.75" customHeight="1">
      <c r="A139" s="30"/>
      <c r="B139" s="30"/>
      <c r="C139" s="30"/>
      <c r="D139" s="30"/>
      <c r="E139" s="30"/>
      <c r="F139" s="30"/>
      <c r="G139" s="30"/>
    </row>
    <row r="140" ht="15.75" customHeight="1">
      <c r="A140" s="30"/>
      <c r="B140" s="30"/>
      <c r="C140" s="30"/>
      <c r="D140" s="30"/>
      <c r="E140" s="30"/>
      <c r="F140" s="30"/>
      <c r="G140" s="30"/>
    </row>
    <row r="141" ht="15.75" customHeight="1">
      <c r="A141" s="30"/>
      <c r="B141" s="30"/>
      <c r="C141" s="30"/>
      <c r="D141" s="30"/>
      <c r="E141" s="30"/>
      <c r="F141" s="30"/>
      <c r="G141" s="30"/>
    </row>
    <row r="142" ht="15.75" customHeight="1">
      <c r="A142" s="30"/>
      <c r="B142" s="30"/>
      <c r="C142" s="30"/>
      <c r="D142" s="30"/>
      <c r="E142" s="30"/>
      <c r="F142" s="30"/>
      <c r="G142" s="30"/>
    </row>
    <row r="143" ht="15.75" customHeight="1">
      <c r="A143" s="30"/>
      <c r="B143" s="30"/>
      <c r="C143" s="30"/>
      <c r="D143" s="30"/>
      <c r="E143" s="30"/>
      <c r="F143" s="30"/>
      <c r="G143" s="30"/>
    </row>
    <row r="144" ht="15.75" customHeight="1">
      <c r="A144" s="30"/>
      <c r="B144" s="30"/>
      <c r="C144" s="30"/>
      <c r="D144" s="30"/>
      <c r="E144" s="30"/>
      <c r="F144" s="30"/>
      <c r="G144" s="30"/>
    </row>
    <row r="145" ht="15.75" customHeight="1">
      <c r="A145" s="30"/>
      <c r="B145" s="30"/>
      <c r="C145" s="30"/>
      <c r="D145" s="30"/>
      <c r="E145" s="30"/>
      <c r="F145" s="30"/>
      <c r="G145" s="30"/>
    </row>
    <row r="146" ht="15.75" customHeight="1">
      <c r="A146" s="30"/>
      <c r="B146" s="30"/>
      <c r="C146" s="30"/>
      <c r="D146" s="30"/>
      <c r="E146" s="30"/>
      <c r="F146" s="30"/>
      <c r="G146" s="30"/>
    </row>
    <row r="147" ht="15.75" customHeight="1">
      <c r="A147" s="30"/>
      <c r="B147" s="30"/>
      <c r="C147" s="30"/>
      <c r="D147" s="30"/>
      <c r="E147" s="30"/>
      <c r="F147" s="30"/>
      <c r="G147" s="30"/>
    </row>
    <row r="148" ht="15.75" customHeight="1">
      <c r="A148" s="30"/>
      <c r="B148" s="30"/>
      <c r="C148" s="30"/>
      <c r="D148" s="30"/>
      <c r="E148" s="30"/>
      <c r="F148" s="30"/>
      <c r="G148" s="30"/>
    </row>
    <row r="149" ht="15.75" customHeight="1">
      <c r="A149" s="30"/>
      <c r="B149" s="30"/>
      <c r="C149" s="30"/>
      <c r="D149" s="30"/>
      <c r="E149" s="30"/>
      <c r="F149" s="30"/>
      <c r="G149" s="30"/>
    </row>
    <row r="150" ht="15.75" customHeight="1">
      <c r="A150" s="30"/>
      <c r="B150" s="30"/>
      <c r="C150" s="30"/>
      <c r="D150" s="30"/>
      <c r="E150" s="30"/>
      <c r="F150" s="30"/>
      <c r="G150" s="30"/>
    </row>
    <row r="151" ht="15.75" customHeight="1">
      <c r="A151" s="30"/>
      <c r="B151" s="30"/>
      <c r="C151" s="30"/>
      <c r="D151" s="30"/>
      <c r="E151" s="30"/>
      <c r="F151" s="30"/>
      <c r="G151" s="30"/>
    </row>
    <row r="152" ht="15.75" customHeight="1">
      <c r="A152" s="30"/>
      <c r="B152" s="30"/>
      <c r="C152" s="30"/>
      <c r="D152" s="30"/>
      <c r="E152" s="30"/>
      <c r="F152" s="30"/>
      <c r="G152" s="30"/>
    </row>
    <row r="153" ht="15.75" customHeight="1">
      <c r="A153" s="30"/>
      <c r="B153" s="30"/>
      <c r="C153" s="30"/>
      <c r="D153" s="30"/>
      <c r="E153" s="30"/>
      <c r="F153" s="30"/>
      <c r="G153" s="30"/>
    </row>
    <row r="154" ht="15.75" customHeight="1">
      <c r="A154" s="30"/>
      <c r="B154" s="30"/>
      <c r="C154" s="30"/>
      <c r="D154" s="30"/>
      <c r="E154" s="30"/>
      <c r="F154" s="30"/>
      <c r="G154" s="30"/>
    </row>
    <row r="155" ht="15.75" customHeight="1">
      <c r="A155" s="30"/>
      <c r="B155" s="30"/>
      <c r="C155" s="30"/>
      <c r="D155" s="30"/>
      <c r="E155" s="30"/>
      <c r="F155" s="30"/>
      <c r="G155" s="30"/>
    </row>
    <row r="156" ht="15.75" customHeight="1">
      <c r="A156" s="30"/>
      <c r="B156" s="30"/>
      <c r="C156" s="30"/>
      <c r="D156" s="30"/>
      <c r="E156" s="30"/>
      <c r="F156" s="30"/>
      <c r="G156" s="30"/>
    </row>
    <row r="157" ht="15.75" customHeight="1">
      <c r="A157" s="30"/>
      <c r="B157" s="30"/>
      <c r="C157" s="30"/>
      <c r="D157" s="30"/>
      <c r="E157" s="30"/>
      <c r="F157" s="30"/>
      <c r="G157" s="30"/>
    </row>
    <row r="158" ht="15.75" customHeight="1">
      <c r="A158" s="30"/>
      <c r="B158" s="30"/>
      <c r="C158" s="30"/>
      <c r="D158" s="30"/>
      <c r="E158" s="30"/>
      <c r="F158" s="30"/>
      <c r="G158" s="30"/>
    </row>
    <row r="159" ht="15.75" customHeight="1">
      <c r="A159" s="30"/>
      <c r="B159" s="30"/>
      <c r="C159" s="30"/>
      <c r="D159" s="30"/>
      <c r="E159" s="30"/>
      <c r="F159" s="30"/>
      <c r="G159" s="30"/>
    </row>
    <row r="160" ht="15.75" customHeight="1">
      <c r="A160" s="30"/>
      <c r="B160" s="30"/>
      <c r="C160" s="30"/>
      <c r="D160" s="30"/>
      <c r="E160" s="30"/>
      <c r="F160" s="30"/>
      <c r="G160" s="30"/>
    </row>
    <row r="161" ht="15.75" customHeight="1">
      <c r="A161" s="30"/>
      <c r="B161" s="30"/>
      <c r="C161" s="30"/>
      <c r="D161" s="30"/>
      <c r="E161" s="30"/>
      <c r="F161" s="30"/>
      <c r="G161" s="30"/>
    </row>
    <row r="162" ht="15.75" customHeight="1">
      <c r="A162" s="30"/>
      <c r="B162" s="30"/>
      <c r="C162" s="30"/>
      <c r="D162" s="30"/>
      <c r="E162" s="30"/>
      <c r="F162" s="30"/>
      <c r="G162" s="30"/>
    </row>
    <row r="163" ht="15.75" customHeight="1">
      <c r="A163" s="30"/>
      <c r="B163" s="30"/>
      <c r="C163" s="30"/>
      <c r="D163" s="30"/>
      <c r="E163" s="30"/>
      <c r="F163" s="30"/>
      <c r="G163" s="30"/>
    </row>
    <row r="164" ht="15.75" customHeight="1">
      <c r="A164" s="30"/>
      <c r="B164" s="30"/>
      <c r="C164" s="30"/>
      <c r="D164" s="30"/>
      <c r="E164" s="30"/>
      <c r="F164" s="30"/>
      <c r="G164" s="30"/>
    </row>
    <row r="165" ht="15.75" customHeight="1">
      <c r="A165" s="30"/>
      <c r="B165" s="30"/>
      <c r="C165" s="30"/>
      <c r="D165" s="30"/>
      <c r="E165" s="30"/>
      <c r="F165" s="30"/>
      <c r="G165" s="30"/>
    </row>
    <row r="166" ht="15.75" customHeight="1">
      <c r="A166" s="30"/>
      <c r="B166" s="30"/>
      <c r="C166" s="30"/>
      <c r="D166" s="30"/>
      <c r="E166" s="30"/>
      <c r="F166" s="30"/>
      <c r="G166" s="30"/>
    </row>
    <row r="167" ht="15.75" customHeight="1">
      <c r="A167" s="30"/>
      <c r="B167" s="30"/>
      <c r="C167" s="30"/>
      <c r="D167" s="30"/>
      <c r="E167" s="30"/>
      <c r="F167" s="30"/>
      <c r="G167" s="30"/>
    </row>
    <row r="168" ht="15.75" customHeight="1">
      <c r="A168" s="30"/>
      <c r="B168" s="30"/>
      <c r="C168" s="30"/>
      <c r="D168" s="30"/>
      <c r="E168" s="30"/>
      <c r="F168" s="30"/>
      <c r="G168" s="30"/>
    </row>
    <row r="169" ht="15.75" customHeight="1">
      <c r="A169" s="30"/>
      <c r="B169" s="30"/>
      <c r="C169" s="30"/>
      <c r="D169" s="30"/>
      <c r="E169" s="30"/>
      <c r="F169" s="30"/>
      <c r="G169" s="30"/>
    </row>
    <row r="170" ht="15.75" customHeight="1">
      <c r="A170" s="30"/>
      <c r="B170" s="30"/>
      <c r="C170" s="30"/>
      <c r="D170" s="30"/>
      <c r="E170" s="30"/>
      <c r="F170" s="30"/>
      <c r="G170" s="30"/>
    </row>
    <row r="171" ht="15.75" customHeight="1">
      <c r="A171" s="30"/>
      <c r="B171" s="30"/>
      <c r="C171" s="30"/>
      <c r="D171" s="30"/>
      <c r="E171" s="30"/>
      <c r="F171" s="30"/>
      <c r="G171" s="30"/>
    </row>
    <row r="172" ht="15.75" customHeight="1">
      <c r="A172" s="30"/>
      <c r="B172" s="30"/>
      <c r="C172" s="30"/>
      <c r="D172" s="30"/>
      <c r="E172" s="30"/>
      <c r="F172" s="30"/>
      <c r="G172" s="30"/>
    </row>
    <row r="173" ht="15.75" customHeight="1">
      <c r="A173" s="30"/>
      <c r="B173" s="30"/>
      <c r="C173" s="30"/>
      <c r="D173" s="30"/>
      <c r="E173" s="30"/>
      <c r="F173" s="30"/>
      <c r="G173" s="30"/>
    </row>
    <row r="174" ht="15.75" customHeight="1">
      <c r="A174" s="30"/>
      <c r="B174" s="30"/>
      <c r="C174" s="30"/>
      <c r="D174" s="30"/>
      <c r="E174" s="30"/>
      <c r="F174" s="30"/>
      <c r="G174" s="30"/>
    </row>
    <row r="175" ht="15.75" customHeight="1">
      <c r="A175" s="30"/>
      <c r="B175" s="30"/>
      <c r="C175" s="30"/>
      <c r="D175" s="30"/>
      <c r="E175" s="30"/>
      <c r="F175" s="30"/>
      <c r="G175" s="30"/>
    </row>
    <row r="176" ht="15.75" customHeight="1">
      <c r="A176" s="30"/>
      <c r="B176" s="30"/>
      <c r="C176" s="30"/>
      <c r="D176" s="30"/>
      <c r="E176" s="30"/>
      <c r="F176" s="30"/>
      <c r="G176" s="30"/>
    </row>
    <row r="177" ht="15.75" customHeight="1">
      <c r="A177" s="30"/>
      <c r="B177" s="30"/>
      <c r="C177" s="30"/>
      <c r="D177" s="30"/>
      <c r="E177" s="30"/>
      <c r="F177" s="30"/>
      <c r="G177" s="30"/>
    </row>
    <row r="178" ht="15.75" customHeight="1">
      <c r="A178" s="30"/>
      <c r="B178" s="30"/>
      <c r="C178" s="30"/>
      <c r="D178" s="30"/>
      <c r="E178" s="30"/>
      <c r="F178" s="30"/>
      <c r="G178" s="30"/>
    </row>
    <row r="179" ht="15.75" customHeight="1">
      <c r="A179" s="30"/>
      <c r="B179" s="30"/>
      <c r="C179" s="30"/>
      <c r="D179" s="30"/>
      <c r="E179" s="30"/>
      <c r="F179" s="30"/>
      <c r="G179" s="30"/>
    </row>
    <row r="180" ht="15.75" customHeight="1">
      <c r="A180" s="30"/>
      <c r="B180" s="30"/>
      <c r="C180" s="30"/>
      <c r="D180" s="30"/>
      <c r="E180" s="30"/>
      <c r="F180" s="30"/>
      <c r="G180" s="30"/>
    </row>
    <row r="181" ht="15.75" customHeight="1">
      <c r="A181" s="30"/>
      <c r="B181" s="30"/>
      <c r="C181" s="30"/>
      <c r="D181" s="30"/>
      <c r="E181" s="30"/>
      <c r="F181" s="30"/>
      <c r="G181" s="30"/>
    </row>
    <row r="182" ht="15.75" customHeight="1">
      <c r="A182" s="30"/>
      <c r="B182" s="30"/>
      <c r="C182" s="30"/>
      <c r="D182" s="30"/>
      <c r="E182" s="30"/>
      <c r="F182" s="30"/>
      <c r="G182" s="30"/>
    </row>
    <row r="183" ht="15.75" customHeight="1">
      <c r="A183" s="30"/>
      <c r="B183" s="30"/>
      <c r="C183" s="30"/>
      <c r="D183" s="30"/>
      <c r="E183" s="30"/>
      <c r="F183" s="30"/>
      <c r="G183" s="30"/>
    </row>
    <row r="184" ht="15.75" customHeight="1">
      <c r="A184" s="30"/>
      <c r="B184" s="30"/>
      <c r="C184" s="30"/>
      <c r="D184" s="30"/>
      <c r="E184" s="30"/>
      <c r="F184" s="30"/>
      <c r="G184" s="30"/>
    </row>
    <row r="185" ht="15.75" customHeight="1">
      <c r="A185" s="30"/>
      <c r="B185" s="30"/>
      <c r="C185" s="30"/>
      <c r="D185" s="30"/>
      <c r="E185" s="30"/>
      <c r="F185" s="30"/>
      <c r="G185" s="30"/>
    </row>
    <row r="186" ht="15.75" customHeight="1">
      <c r="A186" s="30"/>
      <c r="B186" s="30"/>
      <c r="C186" s="30"/>
      <c r="D186" s="30"/>
      <c r="E186" s="30"/>
      <c r="F186" s="30"/>
      <c r="G186" s="30"/>
    </row>
    <row r="187" ht="15.75" customHeight="1">
      <c r="A187" s="30"/>
      <c r="B187" s="30"/>
      <c r="C187" s="30"/>
      <c r="D187" s="30"/>
      <c r="E187" s="30"/>
      <c r="F187" s="30"/>
      <c r="G187" s="30"/>
    </row>
    <row r="188" ht="15.75" customHeight="1">
      <c r="A188" s="30"/>
      <c r="B188" s="30"/>
      <c r="C188" s="30"/>
      <c r="D188" s="30"/>
      <c r="E188" s="30"/>
      <c r="F188" s="30"/>
      <c r="G188" s="30"/>
    </row>
    <row r="189" ht="15.75" customHeight="1">
      <c r="A189" s="30"/>
      <c r="B189" s="30"/>
      <c r="C189" s="30"/>
      <c r="D189" s="30"/>
      <c r="E189" s="30"/>
      <c r="F189" s="30"/>
      <c r="G189" s="30"/>
    </row>
    <row r="190" ht="15.75" customHeight="1">
      <c r="A190" s="30"/>
      <c r="B190" s="30"/>
      <c r="C190" s="30"/>
      <c r="D190" s="30"/>
      <c r="E190" s="30"/>
      <c r="F190" s="30"/>
      <c r="G190" s="30"/>
    </row>
    <row r="191" ht="15.75" customHeight="1">
      <c r="A191" s="30"/>
      <c r="B191" s="30"/>
      <c r="C191" s="30"/>
      <c r="D191" s="30"/>
      <c r="E191" s="30"/>
      <c r="F191" s="30"/>
      <c r="G191" s="30"/>
    </row>
    <row r="192" ht="15.75" customHeight="1">
      <c r="A192" s="30"/>
      <c r="B192" s="30"/>
      <c r="C192" s="30"/>
      <c r="D192" s="30"/>
      <c r="E192" s="30"/>
      <c r="F192" s="30"/>
      <c r="G192" s="30"/>
    </row>
    <row r="193" ht="15.75" customHeight="1">
      <c r="A193" s="30"/>
      <c r="B193" s="30"/>
      <c r="C193" s="30"/>
      <c r="D193" s="30"/>
      <c r="E193" s="30"/>
      <c r="F193" s="30"/>
      <c r="G193" s="30"/>
    </row>
    <row r="194" ht="15.75" customHeight="1">
      <c r="A194" s="30"/>
      <c r="B194" s="30"/>
      <c r="C194" s="30"/>
      <c r="D194" s="30"/>
      <c r="E194" s="30"/>
      <c r="F194" s="30"/>
      <c r="G194" s="30"/>
    </row>
    <row r="195" ht="15.75" customHeight="1">
      <c r="A195" s="30"/>
      <c r="B195" s="30"/>
      <c r="C195" s="30"/>
      <c r="D195" s="30"/>
      <c r="E195" s="30"/>
      <c r="F195" s="30"/>
      <c r="G195" s="30"/>
    </row>
    <row r="196" ht="15.75" customHeight="1">
      <c r="A196" s="30"/>
      <c r="B196" s="30"/>
      <c r="C196" s="30"/>
      <c r="D196" s="30"/>
      <c r="E196" s="30"/>
      <c r="F196" s="30"/>
      <c r="G196" s="30"/>
    </row>
    <row r="197" ht="15.75" customHeight="1">
      <c r="A197" s="30"/>
      <c r="B197" s="30"/>
      <c r="C197" s="30"/>
      <c r="D197" s="30"/>
      <c r="E197" s="30"/>
      <c r="F197" s="30"/>
      <c r="G197" s="30"/>
    </row>
    <row r="198" ht="15.75" customHeight="1">
      <c r="A198" s="30"/>
      <c r="B198" s="30"/>
      <c r="C198" s="30"/>
      <c r="D198" s="30"/>
      <c r="E198" s="30"/>
      <c r="F198" s="30"/>
      <c r="G198" s="30"/>
    </row>
    <row r="199" ht="15.75" customHeight="1">
      <c r="A199" s="30"/>
      <c r="B199" s="30"/>
      <c r="C199" s="30"/>
      <c r="D199" s="30"/>
      <c r="E199" s="30"/>
      <c r="F199" s="30"/>
      <c r="G199" s="30"/>
    </row>
    <row r="200" ht="15.75" customHeight="1">
      <c r="A200" s="30"/>
      <c r="B200" s="30"/>
      <c r="C200" s="30"/>
      <c r="D200" s="30"/>
      <c r="E200" s="30"/>
      <c r="F200" s="30"/>
      <c r="G200" s="30"/>
    </row>
    <row r="201" ht="15.75" customHeight="1">
      <c r="A201" s="30"/>
      <c r="B201" s="30"/>
      <c r="C201" s="30"/>
      <c r="D201" s="30"/>
      <c r="E201" s="30"/>
      <c r="F201" s="30"/>
      <c r="G201" s="30"/>
    </row>
    <row r="202" ht="15.75" customHeight="1">
      <c r="A202" s="30"/>
      <c r="B202" s="30"/>
      <c r="C202" s="30"/>
      <c r="D202" s="30"/>
      <c r="E202" s="30"/>
      <c r="F202" s="30"/>
      <c r="G202" s="30"/>
    </row>
    <row r="203" ht="15.75" customHeight="1">
      <c r="A203" s="30"/>
      <c r="B203" s="30"/>
      <c r="C203" s="30"/>
      <c r="D203" s="30"/>
      <c r="E203" s="30"/>
      <c r="F203" s="30"/>
      <c r="G203" s="30"/>
    </row>
    <row r="204" ht="15.75" customHeight="1">
      <c r="A204" s="30"/>
      <c r="B204" s="30"/>
      <c r="C204" s="30"/>
      <c r="D204" s="30"/>
      <c r="E204" s="30"/>
      <c r="F204" s="30"/>
      <c r="G204" s="30"/>
    </row>
    <row r="205" ht="15.75" customHeight="1">
      <c r="A205" s="30"/>
      <c r="B205" s="30"/>
      <c r="C205" s="30"/>
      <c r="D205" s="30"/>
      <c r="E205" s="30"/>
      <c r="F205" s="30"/>
      <c r="G205" s="30"/>
    </row>
    <row r="206" ht="15.75" customHeight="1">
      <c r="A206" s="30"/>
      <c r="B206" s="30"/>
      <c r="C206" s="30"/>
      <c r="D206" s="30"/>
      <c r="E206" s="30"/>
      <c r="F206" s="30"/>
      <c r="G206" s="30"/>
    </row>
    <row r="207" ht="15.75" customHeight="1">
      <c r="A207" s="30"/>
      <c r="B207" s="30"/>
      <c r="C207" s="30"/>
      <c r="D207" s="30"/>
      <c r="E207" s="30"/>
      <c r="F207" s="30"/>
      <c r="G207" s="30"/>
    </row>
    <row r="208" ht="15.75" customHeight="1">
      <c r="A208" s="30"/>
      <c r="B208" s="30"/>
      <c r="C208" s="30"/>
      <c r="D208" s="30"/>
      <c r="E208" s="30"/>
      <c r="F208" s="30"/>
      <c r="G208" s="30"/>
    </row>
    <row r="209" ht="15.75" customHeight="1">
      <c r="A209" s="30"/>
      <c r="B209" s="30"/>
      <c r="C209" s="30"/>
      <c r="D209" s="30"/>
      <c r="E209" s="30"/>
      <c r="F209" s="30"/>
      <c r="G209" s="30"/>
    </row>
    <row r="210" ht="15.75" customHeight="1">
      <c r="A210" s="30"/>
      <c r="B210" s="30"/>
      <c r="C210" s="30"/>
      <c r="D210" s="30"/>
      <c r="E210" s="30"/>
      <c r="F210" s="30"/>
      <c r="G210" s="30"/>
    </row>
    <row r="211" ht="15.75" customHeight="1">
      <c r="A211" s="30"/>
      <c r="B211" s="30"/>
      <c r="C211" s="30"/>
      <c r="D211" s="30"/>
      <c r="E211" s="30"/>
      <c r="F211" s="30"/>
      <c r="G211" s="30"/>
    </row>
    <row r="212" ht="15.75" customHeight="1">
      <c r="A212" s="30"/>
      <c r="B212" s="30"/>
      <c r="C212" s="30"/>
      <c r="D212" s="30"/>
      <c r="E212" s="30"/>
      <c r="F212" s="30"/>
      <c r="G212" s="30"/>
    </row>
    <row r="213" ht="15.75" customHeight="1">
      <c r="A213" s="30"/>
      <c r="B213" s="30"/>
      <c r="C213" s="30"/>
      <c r="D213" s="30"/>
      <c r="E213" s="30"/>
      <c r="F213" s="30"/>
      <c r="G213" s="30"/>
    </row>
    <row r="214" ht="15.75" customHeight="1">
      <c r="A214" s="30"/>
      <c r="B214" s="30"/>
      <c r="C214" s="30"/>
      <c r="D214" s="30"/>
      <c r="E214" s="30"/>
      <c r="F214" s="30"/>
      <c r="G214" s="30"/>
    </row>
    <row r="215" ht="15.75" customHeight="1">
      <c r="A215" s="30"/>
      <c r="B215" s="30"/>
      <c r="C215" s="30"/>
      <c r="D215" s="30"/>
      <c r="E215" s="30"/>
      <c r="F215" s="30"/>
      <c r="G215" s="30"/>
    </row>
    <row r="216" ht="15.75" customHeight="1">
      <c r="A216" s="30"/>
      <c r="B216" s="30"/>
      <c r="C216" s="30"/>
      <c r="D216" s="30"/>
      <c r="E216" s="30"/>
      <c r="F216" s="30"/>
      <c r="G216" s="30"/>
    </row>
    <row r="217" ht="15.75" customHeight="1">
      <c r="A217" s="30"/>
      <c r="B217" s="30"/>
      <c r="C217" s="30"/>
      <c r="D217" s="30"/>
      <c r="E217" s="30"/>
      <c r="F217" s="30"/>
      <c r="G217" s="30"/>
    </row>
    <row r="218" ht="15.75" customHeight="1">
      <c r="A218" s="30"/>
      <c r="B218" s="30"/>
      <c r="C218" s="30"/>
      <c r="D218" s="30"/>
      <c r="E218" s="30"/>
      <c r="F218" s="30"/>
      <c r="G218" s="30"/>
    </row>
    <row r="219" ht="15.75" customHeight="1">
      <c r="A219" s="30"/>
      <c r="B219" s="30"/>
      <c r="C219" s="30"/>
      <c r="D219" s="30"/>
      <c r="E219" s="30"/>
      <c r="F219" s="30"/>
      <c r="G219" s="30"/>
    </row>
    <row r="220" ht="15.75" customHeight="1">
      <c r="A220" s="30"/>
      <c r="B220" s="30"/>
      <c r="C220" s="30"/>
      <c r="D220" s="30"/>
      <c r="E220" s="30"/>
      <c r="F220" s="30"/>
      <c r="G220" s="30"/>
    </row>
    <row r="221" ht="15.75" customHeight="1">
      <c r="A221" s="30"/>
      <c r="B221" s="30"/>
      <c r="C221" s="30"/>
      <c r="D221" s="30"/>
      <c r="E221" s="30"/>
      <c r="F221" s="30"/>
      <c r="G221" s="30"/>
    </row>
    <row r="222" ht="15.75" customHeight="1">
      <c r="A222" s="30"/>
      <c r="B222" s="30"/>
      <c r="C222" s="30"/>
      <c r="D222" s="30"/>
      <c r="E222" s="30"/>
      <c r="F222" s="30"/>
      <c r="G222" s="30"/>
    </row>
    <row r="223" ht="15.75" customHeight="1">
      <c r="A223" s="30"/>
      <c r="B223" s="30"/>
      <c r="C223" s="30"/>
      <c r="D223" s="30"/>
      <c r="E223" s="30"/>
      <c r="F223" s="30"/>
      <c r="G223" s="30"/>
    </row>
    <row r="224" ht="15.75" customHeight="1">
      <c r="A224" s="30"/>
      <c r="B224" s="30"/>
      <c r="C224" s="30"/>
      <c r="D224" s="30"/>
      <c r="E224" s="30"/>
      <c r="F224" s="30"/>
      <c r="G224" s="30"/>
    </row>
    <row r="225" ht="15.75" customHeight="1">
      <c r="A225" s="30"/>
      <c r="B225" s="30"/>
      <c r="C225" s="30"/>
      <c r="D225" s="30"/>
      <c r="E225" s="30"/>
      <c r="F225" s="30"/>
      <c r="G225" s="30"/>
    </row>
    <row r="226" ht="15.75" customHeight="1">
      <c r="A226" s="30"/>
      <c r="B226" s="30"/>
      <c r="C226" s="30"/>
      <c r="D226" s="30"/>
      <c r="E226" s="30"/>
      <c r="F226" s="30"/>
      <c r="G226" s="30"/>
    </row>
    <row r="227" ht="15.75" customHeight="1">
      <c r="A227" s="30"/>
      <c r="B227" s="30"/>
      <c r="C227" s="30"/>
      <c r="D227" s="30"/>
      <c r="E227" s="30"/>
      <c r="F227" s="30"/>
      <c r="G227" s="30"/>
    </row>
    <row r="228" ht="15.75" customHeight="1">
      <c r="A228" s="30"/>
      <c r="B228" s="30"/>
      <c r="C228" s="30"/>
      <c r="D228" s="30"/>
      <c r="E228" s="30"/>
      <c r="F228" s="30"/>
      <c r="G228" s="30"/>
    </row>
    <row r="229" ht="15.75" customHeight="1">
      <c r="A229" s="30"/>
      <c r="B229" s="30"/>
      <c r="C229" s="30"/>
      <c r="D229" s="30"/>
      <c r="E229" s="30"/>
      <c r="F229" s="30"/>
      <c r="G229" s="30"/>
    </row>
    <row r="230" ht="15.75" customHeight="1">
      <c r="A230" s="30"/>
      <c r="B230" s="30"/>
      <c r="C230" s="30"/>
      <c r="D230" s="30"/>
      <c r="E230" s="30"/>
      <c r="F230" s="30"/>
      <c r="G230" s="30"/>
    </row>
    <row r="231" ht="15.75" customHeight="1">
      <c r="A231" s="30"/>
      <c r="B231" s="30"/>
      <c r="C231" s="30"/>
      <c r="D231" s="30"/>
      <c r="E231" s="30"/>
      <c r="F231" s="30"/>
      <c r="G231" s="30"/>
    </row>
    <row r="232" ht="15.75" customHeight="1">
      <c r="A232" s="30"/>
      <c r="B232" s="30"/>
      <c r="C232" s="30"/>
      <c r="D232" s="30"/>
      <c r="E232" s="30"/>
      <c r="F232" s="30"/>
      <c r="G232" s="30"/>
    </row>
    <row r="233" ht="15.75" customHeight="1">
      <c r="A233" s="30"/>
      <c r="B233" s="30"/>
      <c r="C233" s="30"/>
      <c r="D233" s="30"/>
      <c r="E233" s="30"/>
      <c r="F233" s="30"/>
      <c r="G233" s="30"/>
    </row>
    <row r="234" ht="15.75" customHeight="1">
      <c r="A234" s="30"/>
      <c r="B234" s="30"/>
      <c r="C234" s="30"/>
      <c r="D234" s="30"/>
      <c r="E234" s="30"/>
      <c r="F234" s="30"/>
      <c r="G234" s="30"/>
    </row>
    <row r="235" ht="15.75" customHeight="1">
      <c r="A235" s="30"/>
      <c r="B235" s="30"/>
      <c r="C235" s="30"/>
      <c r="D235" s="30"/>
      <c r="E235" s="30"/>
      <c r="F235" s="30"/>
      <c r="G235" s="30"/>
    </row>
    <row r="236" ht="15.75" customHeight="1">
      <c r="A236" s="30"/>
      <c r="B236" s="30"/>
      <c r="C236" s="30"/>
      <c r="D236" s="30"/>
      <c r="E236" s="30"/>
      <c r="F236" s="30"/>
      <c r="G236" s="30"/>
    </row>
    <row r="237" ht="15.75" customHeight="1">
      <c r="A237" s="30"/>
      <c r="B237" s="30"/>
      <c r="C237" s="30"/>
      <c r="D237" s="30"/>
      <c r="E237" s="30"/>
      <c r="F237" s="30"/>
      <c r="G237" s="30"/>
    </row>
    <row r="238" ht="15.75" customHeight="1">
      <c r="A238" s="30"/>
      <c r="B238" s="30"/>
      <c r="C238" s="30"/>
      <c r="D238" s="30"/>
      <c r="E238" s="30"/>
      <c r="F238" s="30"/>
      <c r="G238" s="30"/>
    </row>
    <row r="239" ht="15.75" customHeight="1">
      <c r="A239" s="30"/>
      <c r="B239" s="30"/>
      <c r="C239" s="30"/>
      <c r="D239" s="30"/>
      <c r="E239" s="30"/>
      <c r="F239" s="30"/>
      <c r="G239" s="30"/>
    </row>
    <row r="240" ht="15.75" customHeight="1">
      <c r="A240" s="30"/>
      <c r="B240" s="30"/>
      <c r="C240" s="30"/>
      <c r="D240" s="30"/>
      <c r="E240" s="30"/>
      <c r="F240" s="30"/>
      <c r="G240" s="30"/>
    </row>
    <row r="241" ht="15.75" customHeight="1">
      <c r="A241" s="30"/>
      <c r="B241" s="30"/>
      <c r="C241" s="30"/>
      <c r="D241" s="30"/>
      <c r="E241" s="30"/>
      <c r="F241" s="30"/>
      <c r="G241" s="30"/>
    </row>
    <row r="242" ht="15.75" customHeight="1">
      <c r="A242" s="30"/>
      <c r="B242" s="30"/>
      <c r="C242" s="30"/>
      <c r="D242" s="30"/>
      <c r="E242" s="30"/>
      <c r="F242" s="30"/>
      <c r="G242" s="30"/>
    </row>
    <row r="243" ht="15.75" customHeight="1">
      <c r="A243" s="30"/>
      <c r="B243" s="30"/>
      <c r="C243" s="30"/>
      <c r="D243" s="30"/>
      <c r="E243" s="30"/>
      <c r="F243" s="30"/>
      <c r="G243" s="30"/>
    </row>
    <row r="244" ht="15.75" customHeight="1">
      <c r="A244" s="30"/>
      <c r="B244" s="30"/>
      <c r="C244" s="30"/>
      <c r="D244" s="30"/>
      <c r="E244" s="30"/>
      <c r="F244" s="30"/>
      <c r="G244" s="30"/>
    </row>
    <row r="245" ht="15.75" customHeight="1">
      <c r="A245" s="30"/>
      <c r="B245" s="30"/>
      <c r="C245" s="30"/>
      <c r="D245" s="30"/>
      <c r="E245" s="30"/>
      <c r="F245" s="30"/>
      <c r="G245" s="30"/>
    </row>
    <row r="246" ht="15.75" customHeight="1">
      <c r="A246" s="30"/>
      <c r="B246" s="30"/>
      <c r="C246" s="30"/>
      <c r="D246" s="30"/>
      <c r="E246" s="30"/>
      <c r="F246" s="30"/>
      <c r="G246" s="30"/>
    </row>
    <row r="247" ht="15.75" customHeight="1">
      <c r="A247" s="30"/>
      <c r="B247" s="30"/>
      <c r="C247" s="30"/>
      <c r="D247" s="30"/>
      <c r="E247" s="30"/>
      <c r="F247" s="30"/>
      <c r="G247" s="30"/>
    </row>
    <row r="248" ht="15.75" customHeight="1">
      <c r="A248" s="30"/>
      <c r="B248" s="30"/>
      <c r="C248" s="30"/>
      <c r="D248" s="30"/>
      <c r="E248" s="30"/>
      <c r="F248" s="30"/>
      <c r="G248" s="30"/>
    </row>
    <row r="249" ht="15.75" customHeight="1">
      <c r="A249" s="30"/>
      <c r="B249" s="30"/>
      <c r="C249" s="30"/>
      <c r="D249" s="30"/>
      <c r="E249" s="30"/>
      <c r="F249" s="30"/>
      <c r="G249" s="30"/>
    </row>
    <row r="250" ht="15.75" customHeight="1">
      <c r="A250" s="30"/>
      <c r="B250" s="30"/>
      <c r="C250" s="30"/>
      <c r="D250" s="30"/>
      <c r="E250" s="30"/>
      <c r="F250" s="30"/>
      <c r="G250" s="30"/>
    </row>
    <row r="251" ht="15.75" customHeight="1">
      <c r="A251" s="30"/>
      <c r="B251" s="30"/>
      <c r="C251" s="30"/>
      <c r="D251" s="30"/>
      <c r="E251" s="30"/>
      <c r="F251" s="30"/>
      <c r="G251" s="30"/>
    </row>
    <row r="252" ht="15.75" customHeight="1">
      <c r="A252" s="30"/>
      <c r="B252" s="30"/>
      <c r="C252" s="30"/>
      <c r="D252" s="30"/>
      <c r="E252" s="30"/>
      <c r="F252" s="30"/>
      <c r="G252" s="30"/>
    </row>
    <row r="253" ht="15.75" customHeight="1">
      <c r="A253" s="30"/>
      <c r="B253" s="30"/>
      <c r="C253" s="30"/>
      <c r="D253" s="30"/>
      <c r="E253" s="30"/>
      <c r="F253" s="30"/>
      <c r="G253" s="30"/>
    </row>
    <row r="254" ht="15.75" customHeight="1">
      <c r="A254" s="30"/>
      <c r="B254" s="30"/>
      <c r="C254" s="30"/>
      <c r="D254" s="30"/>
      <c r="E254" s="30"/>
      <c r="F254" s="30"/>
      <c r="G254" s="30"/>
    </row>
    <row r="255" ht="15.75" customHeight="1">
      <c r="A255" s="30"/>
      <c r="B255" s="30"/>
      <c r="C255" s="30"/>
      <c r="D255" s="30"/>
      <c r="E255" s="30"/>
      <c r="F255" s="30"/>
      <c r="G255" s="30"/>
    </row>
    <row r="256" ht="15.75" customHeight="1">
      <c r="A256" s="30"/>
      <c r="B256" s="30"/>
      <c r="C256" s="30"/>
      <c r="D256" s="30"/>
      <c r="E256" s="30"/>
      <c r="F256" s="30"/>
      <c r="G256" s="30"/>
    </row>
    <row r="257" ht="15.75" customHeight="1">
      <c r="A257" s="30"/>
      <c r="B257" s="30"/>
      <c r="C257" s="30"/>
      <c r="D257" s="30"/>
      <c r="E257" s="30"/>
      <c r="F257" s="30"/>
      <c r="G257" s="30"/>
    </row>
    <row r="258" ht="15.75" customHeight="1">
      <c r="A258" s="30"/>
      <c r="B258" s="30"/>
      <c r="C258" s="30"/>
      <c r="D258" s="30"/>
      <c r="E258" s="30"/>
      <c r="F258" s="30"/>
      <c r="G258" s="30"/>
    </row>
    <row r="259" ht="15.75" customHeight="1">
      <c r="A259" s="30"/>
      <c r="B259" s="30"/>
      <c r="C259" s="30"/>
      <c r="D259" s="30"/>
      <c r="E259" s="30"/>
      <c r="F259" s="30"/>
      <c r="G259" s="30"/>
    </row>
    <row r="260" ht="15.75" customHeight="1">
      <c r="A260" s="30"/>
      <c r="B260" s="30"/>
      <c r="C260" s="30"/>
      <c r="D260" s="30"/>
      <c r="E260" s="30"/>
      <c r="F260" s="30"/>
      <c r="G260" s="30"/>
    </row>
    <row r="261" ht="15.75" customHeight="1">
      <c r="A261" s="30"/>
      <c r="B261" s="30"/>
      <c r="C261" s="30"/>
      <c r="D261" s="30"/>
      <c r="E261" s="30"/>
      <c r="F261" s="30"/>
      <c r="G261" s="30"/>
    </row>
    <row r="262" ht="15.75" customHeight="1">
      <c r="A262" s="30"/>
      <c r="B262" s="30"/>
      <c r="C262" s="30"/>
      <c r="D262" s="30"/>
      <c r="E262" s="30"/>
      <c r="F262" s="30"/>
      <c r="G262" s="30"/>
    </row>
    <row r="263" ht="15.75" customHeight="1">
      <c r="A263" s="30"/>
      <c r="B263" s="30"/>
      <c r="C263" s="30"/>
      <c r="D263" s="30"/>
      <c r="E263" s="30"/>
      <c r="F263" s="30"/>
      <c r="G263" s="30"/>
    </row>
    <row r="264" ht="15.75" customHeight="1">
      <c r="A264" s="30"/>
      <c r="B264" s="30"/>
      <c r="C264" s="30"/>
      <c r="D264" s="30"/>
      <c r="E264" s="30"/>
      <c r="F264" s="30"/>
      <c r="G264" s="30"/>
    </row>
    <row r="265" ht="15.75" customHeight="1">
      <c r="A265" s="30"/>
      <c r="B265" s="30"/>
      <c r="C265" s="30"/>
      <c r="D265" s="30"/>
      <c r="E265" s="30"/>
      <c r="F265" s="30"/>
      <c r="G265" s="30"/>
    </row>
    <row r="266" ht="15.75" customHeight="1">
      <c r="A266" s="30"/>
      <c r="B266" s="30"/>
      <c r="C266" s="30"/>
      <c r="D266" s="30"/>
      <c r="E266" s="30"/>
      <c r="F266" s="30"/>
      <c r="G266" s="30"/>
    </row>
    <row r="267" ht="15.75" customHeight="1">
      <c r="A267" s="30"/>
      <c r="B267" s="30"/>
      <c r="C267" s="30"/>
      <c r="D267" s="30"/>
      <c r="E267" s="30"/>
      <c r="F267" s="30"/>
      <c r="G267" s="30"/>
    </row>
    <row r="268" ht="15.75" customHeight="1">
      <c r="A268" s="30"/>
      <c r="B268" s="30"/>
      <c r="C268" s="30"/>
      <c r="D268" s="30"/>
      <c r="E268" s="30"/>
      <c r="F268" s="30"/>
      <c r="G268" s="30"/>
    </row>
    <row r="269" ht="15.75" customHeight="1">
      <c r="A269" s="30"/>
      <c r="B269" s="30"/>
      <c r="C269" s="30"/>
      <c r="D269" s="30"/>
      <c r="E269" s="30"/>
      <c r="F269" s="30"/>
      <c r="G269" s="30"/>
    </row>
    <row r="270" ht="15.75" customHeight="1">
      <c r="A270" s="30"/>
      <c r="B270" s="30"/>
      <c r="C270" s="30"/>
      <c r="D270" s="30"/>
      <c r="E270" s="30"/>
      <c r="F270" s="30"/>
      <c r="G270" s="30"/>
    </row>
    <row r="271" ht="15.75" customHeight="1">
      <c r="A271" s="30"/>
      <c r="B271" s="30"/>
      <c r="C271" s="30"/>
      <c r="D271" s="30"/>
      <c r="E271" s="30"/>
      <c r="F271" s="30"/>
      <c r="G271" s="30"/>
    </row>
    <row r="272" ht="15.75" customHeight="1">
      <c r="A272" s="30"/>
      <c r="B272" s="30"/>
      <c r="C272" s="30"/>
      <c r="D272" s="30"/>
      <c r="E272" s="30"/>
      <c r="F272" s="30"/>
      <c r="G272" s="30"/>
    </row>
    <row r="273" ht="15.75" customHeight="1">
      <c r="A273" s="30"/>
      <c r="B273" s="30"/>
      <c r="C273" s="30"/>
      <c r="D273" s="30"/>
      <c r="E273" s="30"/>
      <c r="F273" s="30"/>
      <c r="G273" s="30"/>
    </row>
    <row r="274" ht="15.75" customHeight="1">
      <c r="A274" s="30"/>
      <c r="B274" s="30"/>
      <c r="C274" s="30"/>
      <c r="D274" s="30"/>
      <c r="E274" s="30"/>
      <c r="F274" s="30"/>
      <c r="G274" s="30"/>
    </row>
    <row r="275" ht="15.75" customHeight="1">
      <c r="A275" s="30"/>
      <c r="B275" s="30"/>
      <c r="C275" s="30"/>
      <c r="D275" s="30"/>
      <c r="E275" s="30"/>
      <c r="F275" s="30"/>
      <c r="G275" s="30"/>
    </row>
    <row r="276" ht="15.75" customHeight="1">
      <c r="A276" s="30"/>
      <c r="B276" s="30"/>
      <c r="C276" s="30"/>
      <c r="D276" s="30"/>
      <c r="E276" s="30"/>
      <c r="F276" s="30"/>
      <c r="G276" s="30"/>
    </row>
    <row r="277" ht="15.75" customHeight="1">
      <c r="A277" s="30"/>
      <c r="B277" s="30"/>
      <c r="C277" s="30"/>
      <c r="D277" s="30"/>
      <c r="E277" s="30"/>
      <c r="F277" s="30"/>
      <c r="G277" s="30"/>
    </row>
    <row r="278" ht="15.75" customHeight="1">
      <c r="A278" s="30"/>
      <c r="B278" s="30"/>
      <c r="C278" s="30"/>
      <c r="D278" s="30"/>
      <c r="E278" s="30"/>
      <c r="F278" s="30"/>
      <c r="G278" s="30"/>
    </row>
    <row r="279" ht="15.75" customHeight="1">
      <c r="A279" s="30"/>
      <c r="B279" s="30"/>
      <c r="C279" s="30"/>
      <c r="D279" s="30"/>
      <c r="E279" s="30"/>
      <c r="F279" s="30"/>
      <c r="G279" s="30"/>
    </row>
    <row r="280" ht="15.75" customHeight="1">
      <c r="A280" s="30"/>
      <c r="B280" s="30"/>
      <c r="C280" s="30"/>
      <c r="D280" s="30"/>
      <c r="E280" s="30"/>
      <c r="F280" s="30"/>
      <c r="G280" s="30"/>
    </row>
    <row r="281" ht="15.75" customHeight="1">
      <c r="A281" s="30"/>
      <c r="B281" s="30"/>
      <c r="C281" s="30"/>
      <c r="D281" s="30"/>
      <c r="E281" s="30"/>
      <c r="F281" s="30"/>
      <c r="G281" s="30"/>
    </row>
    <row r="282" ht="15.75" customHeight="1">
      <c r="A282" s="30"/>
      <c r="B282" s="30"/>
      <c r="C282" s="30"/>
      <c r="D282" s="30"/>
      <c r="E282" s="30"/>
      <c r="F282" s="30"/>
      <c r="G282" s="30"/>
    </row>
    <row r="283" ht="15.75" customHeight="1">
      <c r="A283" s="30"/>
      <c r="B283" s="30"/>
      <c r="C283" s="30"/>
      <c r="D283" s="30"/>
      <c r="E283" s="30"/>
      <c r="F283" s="30"/>
      <c r="G283" s="30"/>
    </row>
    <row r="284" ht="15.75" customHeight="1">
      <c r="A284" s="30"/>
      <c r="B284" s="30"/>
      <c r="C284" s="30"/>
      <c r="D284" s="30"/>
      <c r="E284" s="30"/>
      <c r="F284" s="30"/>
      <c r="G284" s="30"/>
    </row>
    <row r="285" ht="15.75" customHeight="1">
      <c r="A285" s="30"/>
      <c r="B285" s="30"/>
      <c r="C285" s="30"/>
      <c r="D285" s="30"/>
      <c r="E285" s="30"/>
      <c r="F285" s="30"/>
      <c r="G285" s="30"/>
    </row>
    <row r="286" ht="15.75" customHeight="1">
      <c r="A286" s="30"/>
      <c r="B286" s="30"/>
      <c r="C286" s="30"/>
      <c r="D286" s="30"/>
      <c r="E286" s="30"/>
      <c r="F286" s="30"/>
      <c r="G286" s="30"/>
    </row>
    <row r="287" ht="15.75" customHeight="1">
      <c r="A287" s="30"/>
      <c r="B287" s="30"/>
      <c r="C287" s="30"/>
      <c r="D287" s="30"/>
      <c r="E287" s="30"/>
      <c r="F287" s="30"/>
      <c r="G287" s="30"/>
    </row>
    <row r="288" ht="15.75" customHeight="1">
      <c r="A288" s="30"/>
      <c r="B288" s="30"/>
      <c r="C288" s="30"/>
      <c r="D288" s="30"/>
      <c r="E288" s="30"/>
      <c r="F288" s="30"/>
      <c r="G288" s="30"/>
    </row>
    <row r="289" ht="15.75" customHeight="1">
      <c r="A289" s="30"/>
      <c r="B289" s="30"/>
      <c r="C289" s="30"/>
      <c r="D289" s="30"/>
      <c r="E289" s="30"/>
      <c r="F289" s="30"/>
      <c r="G289" s="30"/>
    </row>
    <row r="290" ht="15.75" customHeight="1">
      <c r="A290" s="30"/>
      <c r="B290" s="30"/>
      <c r="C290" s="30"/>
      <c r="D290" s="30"/>
      <c r="E290" s="30"/>
      <c r="F290" s="30"/>
      <c r="G290" s="30"/>
    </row>
    <row r="291" ht="15.75" customHeight="1">
      <c r="A291" s="30"/>
      <c r="B291" s="30"/>
      <c r="C291" s="30"/>
      <c r="D291" s="30"/>
      <c r="E291" s="30"/>
      <c r="F291" s="30"/>
      <c r="G291" s="30"/>
    </row>
    <row r="292" ht="15.75" customHeight="1">
      <c r="A292" s="30"/>
      <c r="B292" s="30"/>
      <c r="C292" s="30"/>
      <c r="D292" s="30"/>
      <c r="E292" s="30"/>
      <c r="F292" s="30"/>
      <c r="G292" s="30"/>
    </row>
    <row r="293" ht="15.75" customHeight="1">
      <c r="A293" s="30"/>
      <c r="B293" s="30"/>
      <c r="C293" s="30"/>
      <c r="D293" s="30"/>
      <c r="E293" s="30"/>
      <c r="F293" s="30"/>
      <c r="G293" s="30"/>
    </row>
    <row r="294" ht="15.75" customHeight="1">
      <c r="A294" s="30"/>
      <c r="B294" s="30"/>
      <c r="C294" s="30"/>
      <c r="D294" s="30"/>
      <c r="E294" s="30"/>
      <c r="F294" s="30"/>
      <c r="G294" s="30"/>
    </row>
    <row r="295" ht="15.75" customHeight="1">
      <c r="A295" s="30"/>
      <c r="B295" s="30"/>
      <c r="C295" s="30"/>
      <c r="D295" s="30"/>
      <c r="E295" s="30"/>
      <c r="F295" s="30"/>
      <c r="G295" s="30"/>
    </row>
    <row r="296" ht="15.75" customHeight="1">
      <c r="A296" s="30"/>
      <c r="B296" s="30"/>
      <c r="C296" s="30"/>
      <c r="D296" s="30"/>
      <c r="E296" s="30"/>
      <c r="F296" s="30"/>
      <c r="G296" s="30"/>
    </row>
    <row r="297" ht="15.75" customHeight="1">
      <c r="A297" s="30"/>
      <c r="B297" s="30"/>
      <c r="C297" s="30"/>
      <c r="D297" s="30"/>
      <c r="E297" s="30"/>
      <c r="F297" s="30"/>
      <c r="G297" s="30"/>
    </row>
    <row r="298" ht="15.75" customHeight="1">
      <c r="A298" s="30"/>
      <c r="B298" s="30"/>
      <c r="C298" s="30"/>
      <c r="D298" s="30"/>
      <c r="E298" s="30"/>
      <c r="F298" s="30"/>
      <c r="G298" s="30"/>
    </row>
    <row r="299" ht="15.75" customHeight="1">
      <c r="A299" s="30"/>
      <c r="B299" s="30"/>
      <c r="C299" s="30"/>
      <c r="D299" s="30"/>
      <c r="E299" s="30"/>
      <c r="F299" s="30"/>
      <c r="G299" s="30"/>
    </row>
    <row r="300" ht="15.75" customHeight="1">
      <c r="A300" s="30"/>
      <c r="B300" s="30"/>
      <c r="C300" s="30"/>
      <c r="D300" s="30"/>
      <c r="E300" s="30"/>
      <c r="F300" s="30"/>
      <c r="G300" s="30"/>
    </row>
    <row r="301" ht="15.75" customHeight="1">
      <c r="A301" s="30"/>
      <c r="B301" s="30"/>
      <c r="C301" s="30"/>
      <c r="D301" s="30"/>
      <c r="E301" s="30"/>
      <c r="F301" s="30"/>
      <c r="G301" s="30"/>
    </row>
    <row r="302" ht="15.75" customHeight="1">
      <c r="A302" s="30"/>
      <c r="B302" s="30"/>
      <c r="C302" s="30"/>
      <c r="D302" s="30"/>
      <c r="E302" s="30"/>
      <c r="F302" s="30"/>
      <c r="G302" s="30"/>
    </row>
    <row r="303" ht="15.75" customHeight="1">
      <c r="A303" s="30"/>
      <c r="B303" s="30"/>
      <c r="C303" s="30"/>
      <c r="D303" s="30"/>
      <c r="E303" s="30"/>
      <c r="F303" s="30"/>
      <c r="G303" s="30"/>
    </row>
    <row r="304" ht="15.75" customHeight="1">
      <c r="A304" s="30"/>
      <c r="B304" s="30"/>
      <c r="C304" s="30"/>
      <c r="D304" s="30"/>
      <c r="E304" s="30"/>
      <c r="F304" s="30"/>
      <c r="G304" s="30"/>
    </row>
    <row r="305" ht="15.75" customHeight="1">
      <c r="A305" s="30"/>
      <c r="B305" s="30"/>
      <c r="C305" s="30"/>
      <c r="D305" s="30"/>
      <c r="E305" s="30"/>
      <c r="F305" s="30"/>
      <c r="G305" s="30"/>
    </row>
    <row r="306" ht="15.75" customHeight="1">
      <c r="A306" s="30"/>
      <c r="B306" s="30"/>
      <c r="C306" s="30"/>
      <c r="D306" s="30"/>
      <c r="E306" s="30"/>
      <c r="F306" s="30"/>
      <c r="G306" s="30"/>
    </row>
    <row r="307" ht="15.75" customHeight="1">
      <c r="A307" s="30"/>
      <c r="B307" s="30"/>
      <c r="C307" s="30"/>
      <c r="D307" s="30"/>
      <c r="E307" s="30"/>
      <c r="F307" s="30"/>
      <c r="G307" s="30"/>
    </row>
    <row r="308" ht="15.75" customHeight="1">
      <c r="A308" s="30"/>
      <c r="B308" s="30"/>
      <c r="C308" s="30"/>
      <c r="D308" s="30"/>
      <c r="E308" s="30"/>
      <c r="F308" s="30"/>
      <c r="G308" s="30"/>
    </row>
    <row r="309" ht="15.75" customHeight="1">
      <c r="A309" s="30"/>
      <c r="B309" s="30"/>
      <c r="C309" s="30"/>
      <c r="D309" s="30"/>
      <c r="E309" s="30"/>
      <c r="F309" s="30"/>
      <c r="G309" s="30"/>
    </row>
    <row r="310" ht="15.75" customHeight="1">
      <c r="A310" s="30"/>
      <c r="B310" s="30"/>
      <c r="C310" s="30"/>
      <c r="D310" s="30"/>
      <c r="E310" s="30"/>
      <c r="F310" s="30"/>
      <c r="G310" s="30"/>
    </row>
    <row r="311" ht="15.75" customHeight="1">
      <c r="A311" s="30"/>
      <c r="B311" s="30"/>
      <c r="C311" s="30"/>
      <c r="D311" s="30"/>
      <c r="E311" s="30"/>
      <c r="F311" s="30"/>
      <c r="G311" s="30"/>
    </row>
    <row r="312" ht="15.75" customHeight="1">
      <c r="A312" s="30"/>
      <c r="B312" s="30"/>
      <c r="C312" s="30"/>
      <c r="D312" s="30"/>
      <c r="E312" s="30"/>
      <c r="F312" s="30"/>
      <c r="G312" s="30"/>
    </row>
    <row r="313" ht="15.75" customHeight="1">
      <c r="A313" s="30"/>
      <c r="B313" s="30"/>
      <c r="C313" s="30"/>
      <c r="D313" s="30"/>
      <c r="E313" s="30"/>
      <c r="F313" s="30"/>
      <c r="G313" s="30"/>
    </row>
    <row r="314" ht="15.75" customHeight="1">
      <c r="A314" s="30"/>
      <c r="B314" s="30"/>
      <c r="C314" s="30"/>
      <c r="D314" s="30"/>
      <c r="E314" s="30"/>
      <c r="F314" s="30"/>
      <c r="G314" s="30"/>
    </row>
    <row r="315" ht="15.75" customHeight="1">
      <c r="A315" s="30"/>
      <c r="B315" s="30"/>
      <c r="C315" s="30"/>
      <c r="D315" s="30"/>
      <c r="E315" s="30"/>
      <c r="F315" s="30"/>
      <c r="G315" s="30"/>
    </row>
    <row r="316" ht="15.75" customHeight="1">
      <c r="A316" s="30"/>
      <c r="B316" s="30"/>
      <c r="C316" s="30"/>
      <c r="D316" s="30"/>
      <c r="E316" s="30"/>
      <c r="F316" s="30"/>
      <c r="G316" s="30"/>
    </row>
    <row r="317" ht="15.75" customHeight="1">
      <c r="A317" s="30"/>
      <c r="B317" s="30"/>
      <c r="C317" s="30"/>
      <c r="D317" s="30"/>
      <c r="E317" s="30"/>
      <c r="F317" s="30"/>
      <c r="G317" s="30"/>
    </row>
    <row r="318" ht="15.75" customHeight="1">
      <c r="A318" s="30"/>
      <c r="B318" s="30"/>
      <c r="C318" s="30"/>
      <c r="D318" s="30"/>
      <c r="E318" s="30"/>
      <c r="F318" s="30"/>
      <c r="G318" s="30"/>
    </row>
    <row r="319" ht="15.75" customHeight="1">
      <c r="A319" s="30"/>
      <c r="B319" s="30"/>
      <c r="C319" s="30"/>
      <c r="D319" s="30"/>
      <c r="E319" s="30"/>
      <c r="F319" s="30"/>
      <c r="G319" s="30"/>
    </row>
    <row r="320" ht="15.75" customHeight="1">
      <c r="A320" s="30"/>
      <c r="B320" s="30"/>
      <c r="C320" s="30"/>
      <c r="D320" s="30"/>
      <c r="E320" s="30"/>
      <c r="F320" s="30"/>
      <c r="G320" s="30"/>
    </row>
    <row r="321" ht="15.75" customHeight="1">
      <c r="A321" s="30"/>
      <c r="B321" s="30"/>
      <c r="C321" s="30"/>
      <c r="D321" s="30"/>
      <c r="E321" s="30"/>
      <c r="F321" s="30"/>
      <c r="G321" s="30"/>
    </row>
    <row r="322" ht="15.75" customHeight="1">
      <c r="A322" s="30"/>
      <c r="B322" s="30"/>
      <c r="C322" s="30"/>
      <c r="D322" s="30"/>
      <c r="E322" s="30"/>
      <c r="F322" s="30"/>
      <c r="G322" s="30"/>
    </row>
    <row r="323" ht="15.75" customHeight="1">
      <c r="A323" s="30"/>
      <c r="B323" s="30"/>
      <c r="C323" s="30"/>
      <c r="D323" s="30"/>
      <c r="E323" s="30"/>
      <c r="F323" s="30"/>
      <c r="G323" s="30"/>
    </row>
    <row r="324" ht="15.75" customHeight="1">
      <c r="A324" s="30"/>
      <c r="B324" s="30"/>
      <c r="C324" s="30"/>
      <c r="D324" s="30"/>
      <c r="E324" s="30"/>
      <c r="F324" s="30"/>
      <c r="G324" s="30"/>
    </row>
    <row r="325" ht="15.75" customHeight="1">
      <c r="A325" s="30"/>
      <c r="B325" s="30"/>
      <c r="C325" s="30"/>
      <c r="D325" s="30"/>
      <c r="E325" s="30"/>
      <c r="F325" s="30"/>
      <c r="G325" s="30"/>
    </row>
    <row r="326" ht="15.75" customHeight="1">
      <c r="A326" s="30"/>
      <c r="B326" s="30"/>
      <c r="C326" s="30"/>
      <c r="D326" s="30"/>
      <c r="E326" s="30"/>
      <c r="F326" s="30"/>
      <c r="G326" s="30"/>
    </row>
    <row r="327" ht="15.75" customHeight="1">
      <c r="A327" s="30"/>
      <c r="B327" s="30"/>
      <c r="C327" s="30"/>
      <c r="D327" s="30"/>
      <c r="E327" s="30"/>
      <c r="F327" s="30"/>
      <c r="G327" s="30"/>
    </row>
    <row r="328" ht="15.75" customHeight="1">
      <c r="A328" s="30"/>
      <c r="B328" s="30"/>
      <c r="C328" s="30"/>
      <c r="D328" s="30"/>
      <c r="E328" s="30"/>
      <c r="F328" s="30"/>
      <c r="G328" s="30"/>
    </row>
    <row r="329" ht="15.75" customHeight="1">
      <c r="A329" s="30"/>
      <c r="B329" s="30"/>
      <c r="C329" s="30"/>
      <c r="D329" s="30"/>
      <c r="E329" s="30"/>
      <c r="F329" s="30"/>
      <c r="G329" s="30"/>
    </row>
    <row r="330" ht="15.75" customHeight="1">
      <c r="A330" s="30"/>
      <c r="B330" s="30"/>
      <c r="C330" s="30"/>
      <c r="D330" s="30"/>
      <c r="E330" s="30"/>
      <c r="F330" s="30"/>
      <c r="G330" s="30"/>
    </row>
    <row r="331" ht="15.75" customHeight="1">
      <c r="A331" s="30"/>
      <c r="B331" s="30"/>
      <c r="C331" s="30"/>
      <c r="D331" s="30"/>
      <c r="E331" s="30"/>
      <c r="F331" s="30"/>
      <c r="G331" s="30"/>
    </row>
    <row r="332" ht="15.75" customHeight="1">
      <c r="A332" s="30"/>
      <c r="B332" s="30"/>
      <c r="C332" s="30"/>
      <c r="D332" s="30"/>
      <c r="E332" s="30"/>
      <c r="F332" s="30"/>
      <c r="G332" s="30"/>
    </row>
    <row r="333" ht="15.75" customHeight="1">
      <c r="A333" s="30"/>
      <c r="B333" s="30"/>
      <c r="C333" s="30"/>
      <c r="D333" s="30"/>
      <c r="E333" s="30"/>
      <c r="F333" s="30"/>
      <c r="G333" s="30"/>
    </row>
    <row r="334" ht="15.75" customHeight="1">
      <c r="A334" s="30"/>
      <c r="B334" s="30"/>
      <c r="C334" s="30"/>
      <c r="D334" s="30"/>
      <c r="E334" s="30"/>
      <c r="F334" s="30"/>
      <c r="G334" s="30"/>
    </row>
    <row r="335" ht="15.75" customHeight="1">
      <c r="A335" s="30"/>
      <c r="B335" s="30"/>
      <c r="C335" s="30"/>
      <c r="D335" s="30"/>
      <c r="E335" s="30"/>
      <c r="F335" s="30"/>
      <c r="G335" s="30"/>
    </row>
    <row r="336" ht="15.75" customHeight="1">
      <c r="A336" s="30"/>
      <c r="B336" s="30"/>
      <c r="C336" s="30"/>
      <c r="D336" s="30"/>
      <c r="E336" s="30"/>
      <c r="F336" s="30"/>
      <c r="G336" s="30"/>
    </row>
    <row r="337" ht="15.75" customHeight="1">
      <c r="A337" s="30"/>
      <c r="B337" s="30"/>
      <c r="C337" s="30"/>
      <c r="D337" s="30"/>
      <c r="E337" s="30"/>
      <c r="F337" s="30"/>
      <c r="G337" s="30"/>
    </row>
    <row r="338" ht="15.75" customHeight="1">
      <c r="A338" s="30"/>
      <c r="B338" s="30"/>
      <c r="C338" s="30"/>
      <c r="D338" s="30"/>
      <c r="E338" s="30"/>
      <c r="F338" s="30"/>
      <c r="G338" s="30"/>
    </row>
    <row r="339" ht="15.75" customHeight="1">
      <c r="A339" s="30"/>
      <c r="B339" s="30"/>
      <c r="C339" s="30"/>
      <c r="D339" s="30"/>
      <c r="E339" s="30"/>
      <c r="F339" s="30"/>
      <c r="G339" s="30"/>
    </row>
    <row r="340" ht="15.75" customHeight="1">
      <c r="A340" s="30"/>
      <c r="B340" s="30"/>
      <c r="C340" s="30"/>
      <c r="D340" s="30"/>
      <c r="E340" s="30"/>
      <c r="F340" s="30"/>
      <c r="G340" s="30"/>
    </row>
    <row r="341" ht="15.75" customHeight="1">
      <c r="A341" s="30"/>
      <c r="B341" s="30"/>
      <c r="C341" s="30"/>
      <c r="D341" s="30"/>
      <c r="E341" s="30"/>
      <c r="F341" s="30"/>
      <c r="G341" s="30"/>
    </row>
    <row r="342" ht="15.75" customHeight="1">
      <c r="A342" s="30"/>
      <c r="B342" s="30"/>
      <c r="C342" s="30"/>
      <c r="D342" s="30"/>
      <c r="E342" s="30"/>
      <c r="F342" s="30"/>
      <c r="G342" s="30"/>
    </row>
    <row r="343" ht="15.75" customHeight="1">
      <c r="A343" s="30"/>
      <c r="B343" s="30"/>
      <c r="C343" s="30"/>
      <c r="D343" s="30"/>
      <c r="E343" s="30"/>
      <c r="F343" s="30"/>
      <c r="G343" s="30"/>
    </row>
    <row r="344" ht="15.75" customHeight="1">
      <c r="A344" s="30"/>
      <c r="B344" s="30"/>
      <c r="C344" s="30"/>
      <c r="D344" s="30"/>
      <c r="E344" s="30"/>
      <c r="F344" s="30"/>
      <c r="G344" s="30"/>
    </row>
    <row r="345" ht="15.75" customHeight="1">
      <c r="A345" s="30"/>
      <c r="B345" s="30"/>
      <c r="C345" s="30"/>
      <c r="D345" s="30"/>
      <c r="E345" s="30"/>
      <c r="F345" s="30"/>
      <c r="G345" s="30"/>
    </row>
    <row r="346" ht="15.75" customHeight="1">
      <c r="A346" s="30"/>
      <c r="B346" s="30"/>
      <c r="C346" s="30"/>
      <c r="D346" s="30"/>
      <c r="E346" s="30"/>
      <c r="F346" s="30"/>
      <c r="G346" s="30"/>
    </row>
    <row r="347" ht="15.75" customHeight="1">
      <c r="A347" s="30"/>
      <c r="B347" s="30"/>
      <c r="C347" s="30"/>
      <c r="D347" s="30"/>
      <c r="E347" s="30"/>
      <c r="F347" s="30"/>
      <c r="G347" s="30"/>
    </row>
    <row r="348" ht="15.75" customHeight="1">
      <c r="A348" s="30"/>
      <c r="B348" s="30"/>
      <c r="C348" s="30"/>
      <c r="D348" s="30"/>
      <c r="E348" s="30"/>
      <c r="F348" s="30"/>
      <c r="G348" s="30"/>
    </row>
    <row r="349" ht="15.75" customHeight="1">
      <c r="A349" s="30"/>
      <c r="B349" s="30"/>
      <c r="C349" s="30"/>
      <c r="D349" s="30"/>
      <c r="E349" s="30"/>
      <c r="F349" s="30"/>
      <c r="G349" s="30"/>
    </row>
    <row r="350" ht="15.75" customHeight="1">
      <c r="A350" s="30"/>
      <c r="B350" s="30"/>
      <c r="C350" s="30"/>
      <c r="D350" s="30"/>
      <c r="E350" s="30"/>
      <c r="F350" s="30"/>
      <c r="G350" s="30"/>
    </row>
    <row r="351" ht="15.75" customHeight="1">
      <c r="A351" s="30"/>
      <c r="B351" s="30"/>
      <c r="C351" s="30"/>
      <c r="D351" s="30"/>
      <c r="E351" s="30"/>
      <c r="F351" s="30"/>
      <c r="G351" s="30"/>
    </row>
    <row r="352" ht="15.75" customHeight="1">
      <c r="A352" s="30"/>
      <c r="B352" s="30"/>
      <c r="C352" s="30"/>
      <c r="D352" s="30"/>
      <c r="E352" s="30"/>
      <c r="F352" s="30"/>
      <c r="G352" s="30"/>
    </row>
    <row r="353" ht="15.75" customHeight="1">
      <c r="A353" s="30"/>
      <c r="B353" s="30"/>
      <c r="C353" s="30"/>
      <c r="D353" s="30"/>
      <c r="E353" s="30"/>
      <c r="F353" s="30"/>
      <c r="G353" s="30"/>
    </row>
    <row r="354" ht="15.75" customHeight="1">
      <c r="A354" s="30"/>
      <c r="B354" s="30"/>
      <c r="C354" s="30"/>
      <c r="D354" s="30"/>
      <c r="E354" s="30"/>
      <c r="F354" s="30"/>
      <c r="G354" s="30"/>
    </row>
    <row r="355" ht="15.75" customHeight="1">
      <c r="A355" s="30"/>
      <c r="B355" s="30"/>
      <c r="C355" s="30"/>
      <c r="D355" s="30"/>
      <c r="E355" s="30"/>
      <c r="F355" s="30"/>
      <c r="G355" s="30"/>
    </row>
    <row r="356" ht="15.75" customHeight="1">
      <c r="A356" s="30"/>
      <c r="B356" s="30"/>
      <c r="C356" s="30"/>
      <c r="D356" s="30"/>
      <c r="E356" s="30"/>
      <c r="F356" s="30"/>
      <c r="G356" s="30"/>
    </row>
    <row r="357" ht="15.75" customHeight="1">
      <c r="A357" s="30"/>
      <c r="B357" s="30"/>
      <c r="C357" s="30"/>
      <c r="D357" s="30"/>
      <c r="E357" s="30"/>
      <c r="F357" s="30"/>
      <c r="G357" s="30"/>
    </row>
    <row r="358" ht="15.75" customHeight="1">
      <c r="A358" s="30"/>
      <c r="B358" s="30"/>
      <c r="C358" s="30"/>
      <c r="D358" s="30"/>
      <c r="E358" s="30"/>
      <c r="F358" s="30"/>
      <c r="G358" s="30"/>
    </row>
    <row r="359" ht="15.75" customHeight="1">
      <c r="A359" s="30"/>
      <c r="B359" s="30"/>
      <c r="C359" s="30"/>
      <c r="D359" s="30"/>
      <c r="E359" s="30"/>
      <c r="F359" s="30"/>
      <c r="G359" s="30"/>
    </row>
    <row r="360" ht="15.75" customHeight="1">
      <c r="A360" s="30"/>
      <c r="B360" s="30"/>
      <c r="C360" s="30"/>
      <c r="D360" s="30"/>
      <c r="E360" s="30"/>
      <c r="F360" s="30"/>
      <c r="G360" s="30"/>
    </row>
    <row r="361" ht="15.75" customHeight="1">
      <c r="A361" s="30"/>
      <c r="B361" s="30"/>
      <c r="C361" s="30"/>
      <c r="D361" s="30"/>
      <c r="E361" s="30"/>
      <c r="F361" s="30"/>
      <c r="G361" s="30"/>
    </row>
    <row r="362" ht="15.75" customHeight="1">
      <c r="A362" s="30"/>
      <c r="B362" s="30"/>
      <c r="C362" s="30"/>
      <c r="D362" s="30"/>
      <c r="E362" s="30"/>
      <c r="F362" s="30"/>
      <c r="G362" s="30"/>
    </row>
    <row r="363" ht="15.75" customHeight="1">
      <c r="A363" s="30"/>
      <c r="B363" s="30"/>
      <c r="C363" s="30"/>
      <c r="D363" s="30"/>
      <c r="E363" s="30"/>
      <c r="F363" s="30"/>
      <c r="G363" s="30"/>
    </row>
    <row r="364" ht="15.75" customHeight="1">
      <c r="A364" s="30"/>
      <c r="B364" s="30"/>
      <c r="C364" s="30"/>
      <c r="D364" s="30"/>
      <c r="E364" s="30"/>
      <c r="F364" s="30"/>
      <c r="G364" s="30"/>
    </row>
    <row r="365" ht="15.75" customHeight="1">
      <c r="A365" s="30"/>
      <c r="B365" s="30"/>
      <c r="C365" s="30"/>
      <c r="D365" s="30"/>
      <c r="E365" s="30"/>
      <c r="F365" s="30"/>
      <c r="G365" s="30"/>
    </row>
    <row r="366" ht="15.75" customHeight="1">
      <c r="A366" s="30"/>
      <c r="B366" s="30"/>
      <c r="C366" s="30"/>
      <c r="D366" s="30"/>
      <c r="E366" s="30"/>
      <c r="F366" s="30"/>
      <c r="G366" s="30"/>
    </row>
    <row r="367" ht="15.75" customHeight="1">
      <c r="A367" s="30"/>
      <c r="B367" s="30"/>
      <c r="C367" s="30"/>
      <c r="D367" s="30"/>
      <c r="E367" s="30"/>
      <c r="F367" s="30"/>
      <c r="G367" s="30"/>
    </row>
    <row r="368" ht="15.75" customHeight="1">
      <c r="A368" s="30"/>
      <c r="B368" s="30"/>
      <c r="C368" s="30"/>
      <c r="D368" s="30"/>
      <c r="E368" s="30"/>
      <c r="F368" s="30"/>
      <c r="G368" s="30"/>
    </row>
    <row r="369" ht="15.75" customHeight="1">
      <c r="A369" s="30"/>
      <c r="B369" s="30"/>
      <c r="C369" s="30"/>
      <c r="D369" s="30"/>
      <c r="E369" s="30"/>
      <c r="F369" s="30"/>
      <c r="G369" s="30"/>
    </row>
    <row r="370" ht="15.75" customHeight="1">
      <c r="A370" s="30"/>
      <c r="B370" s="30"/>
      <c r="C370" s="30"/>
      <c r="D370" s="30"/>
      <c r="E370" s="30"/>
      <c r="F370" s="30"/>
      <c r="G370" s="30"/>
    </row>
    <row r="371" ht="15.75" customHeight="1">
      <c r="A371" s="30"/>
      <c r="B371" s="30"/>
      <c r="C371" s="30"/>
      <c r="D371" s="30"/>
      <c r="E371" s="30"/>
      <c r="F371" s="30"/>
      <c r="G371" s="30"/>
    </row>
    <row r="372" ht="15.75" customHeight="1">
      <c r="A372" s="30"/>
      <c r="B372" s="30"/>
      <c r="C372" s="30"/>
      <c r="D372" s="30"/>
      <c r="E372" s="30"/>
      <c r="F372" s="30"/>
      <c r="G372" s="30"/>
    </row>
    <row r="373" ht="15.75" customHeight="1">
      <c r="A373" s="30"/>
      <c r="B373" s="30"/>
      <c r="C373" s="30"/>
      <c r="D373" s="30"/>
      <c r="E373" s="30"/>
      <c r="F373" s="30"/>
      <c r="G373" s="30"/>
    </row>
    <row r="374" ht="15.75" customHeight="1">
      <c r="A374" s="30"/>
      <c r="B374" s="30"/>
      <c r="C374" s="30"/>
      <c r="D374" s="30"/>
      <c r="E374" s="30"/>
      <c r="F374" s="30"/>
      <c r="G374" s="30"/>
    </row>
    <row r="375" ht="15.75" customHeight="1">
      <c r="A375" s="30"/>
      <c r="B375" s="30"/>
      <c r="C375" s="30"/>
      <c r="D375" s="30"/>
      <c r="E375" s="30"/>
      <c r="F375" s="30"/>
      <c r="G375" s="30"/>
    </row>
    <row r="376" ht="15.75" customHeight="1">
      <c r="A376" s="30"/>
      <c r="B376" s="30"/>
      <c r="C376" s="30"/>
      <c r="D376" s="30"/>
      <c r="E376" s="30"/>
      <c r="F376" s="30"/>
      <c r="G376" s="30"/>
    </row>
    <row r="377" ht="15.75" customHeight="1">
      <c r="A377" s="30"/>
      <c r="B377" s="30"/>
      <c r="C377" s="30"/>
      <c r="D377" s="30"/>
      <c r="E377" s="30"/>
      <c r="F377" s="30"/>
      <c r="G377" s="30"/>
    </row>
    <row r="378" ht="15.75" customHeight="1">
      <c r="A378" s="30"/>
      <c r="B378" s="30"/>
      <c r="C378" s="30"/>
      <c r="D378" s="30"/>
      <c r="E378" s="30"/>
      <c r="F378" s="30"/>
      <c r="G378" s="30"/>
    </row>
    <row r="379" ht="15.75" customHeight="1">
      <c r="A379" s="30"/>
      <c r="B379" s="30"/>
      <c r="C379" s="30"/>
      <c r="D379" s="30"/>
      <c r="E379" s="30"/>
      <c r="F379" s="30"/>
      <c r="G379" s="30"/>
    </row>
    <row r="380" ht="15.75" customHeight="1">
      <c r="A380" s="30"/>
      <c r="B380" s="30"/>
      <c r="C380" s="30"/>
      <c r="D380" s="30"/>
      <c r="E380" s="30"/>
      <c r="F380" s="30"/>
      <c r="G380" s="30"/>
    </row>
    <row r="381" ht="15.75" customHeight="1">
      <c r="A381" s="30"/>
      <c r="B381" s="30"/>
      <c r="C381" s="30"/>
      <c r="D381" s="30"/>
      <c r="E381" s="30"/>
      <c r="F381" s="30"/>
      <c r="G381" s="30"/>
    </row>
    <row r="382" ht="15.75" customHeight="1">
      <c r="A382" s="30"/>
      <c r="B382" s="30"/>
      <c r="C382" s="30"/>
      <c r="D382" s="30"/>
      <c r="E382" s="30"/>
      <c r="F382" s="30"/>
      <c r="G382" s="30"/>
    </row>
    <row r="383" ht="15.75" customHeight="1">
      <c r="A383" s="30"/>
      <c r="B383" s="30"/>
      <c r="C383" s="30"/>
      <c r="D383" s="30"/>
      <c r="E383" s="30"/>
      <c r="F383" s="30"/>
      <c r="G383" s="30"/>
    </row>
    <row r="384" ht="15.75" customHeight="1">
      <c r="A384" s="30"/>
      <c r="B384" s="30"/>
      <c r="C384" s="30"/>
      <c r="D384" s="30"/>
      <c r="E384" s="30"/>
      <c r="F384" s="30"/>
      <c r="G384" s="30"/>
    </row>
    <row r="385" ht="15.75" customHeight="1">
      <c r="A385" s="30"/>
      <c r="B385" s="30"/>
      <c r="C385" s="30"/>
      <c r="D385" s="30"/>
      <c r="E385" s="30"/>
      <c r="F385" s="30"/>
      <c r="G385" s="30"/>
    </row>
    <row r="386" ht="15.75" customHeight="1">
      <c r="A386" s="30"/>
      <c r="B386" s="30"/>
      <c r="C386" s="30"/>
      <c r="D386" s="30"/>
      <c r="E386" s="30"/>
      <c r="F386" s="30"/>
      <c r="G386" s="30"/>
    </row>
    <row r="387" ht="15.75" customHeight="1">
      <c r="A387" s="30"/>
      <c r="B387" s="30"/>
      <c r="C387" s="30"/>
      <c r="D387" s="30"/>
      <c r="E387" s="30"/>
      <c r="F387" s="30"/>
      <c r="G387" s="30"/>
    </row>
    <row r="388" ht="15.75" customHeight="1">
      <c r="A388" s="30"/>
      <c r="B388" s="30"/>
      <c r="C388" s="30"/>
      <c r="D388" s="30"/>
      <c r="E388" s="30"/>
      <c r="F388" s="30"/>
      <c r="G388" s="30"/>
    </row>
    <row r="389" ht="15.75" customHeight="1">
      <c r="A389" s="30"/>
      <c r="B389" s="30"/>
      <c r="C389" s="30"/>
      <c r="D389" s="30"/>
      <c r="E389" s="30"/>
      <c r="F389" s="30"/>
      <c r="G389" s="30"/>
    </row>
    <row r="390" ht="15.75" customHeight="1">
      <c r="A390" s="30"/>
      <c r="B390" s="30"/>
      <c r="C390" s="30"/>
      <c r="D390" s="30"/>
      <c r="E390" s="30"/>
      <c r="F390" s="30"/>
      <c r="G390" s="30"/>
    </row>
    <row r="391" ht="15.75" customHeight="1">
      <c r="A391" s="30"/>
      <c r="B391" s="30"/>
      <c r="C391" s="30"/>
      <c r="D391" s="30"/>
      <c r="E391" s="30"/>
      <c r="F391" s="30"/>
      <c r="G391" s="30"/>
    </row>
    <row r="392" ht="15.75" customHeight="1">
      <c r="A392" s="30"/>
      <c r="B392" s="30"/>
      <c r="C392" s="30"/>
      <c r="D392" s="30"/>
      <c r="E392" s="30"/>
      <c r="F392" s="30"/>
      <c r="G392" s="30"/>
    </row>
    <row r="393" ht="15.75" customHeight="1">
      <c r="A393" s="30"/>
      <c r="B393" s="30"/>
      <c r="C393" s="30"/>
      <c r="D393" s="30"/>
      <c r="E393" s="30"/>
      <c r="F393" s="30"/>
      <c r="G393" s="30"/>
    </row>
    <row r="394" ht="15.75" customHeight="1">
      <c r="A394" s="30"/>
      <c r="B394" s="30"/>
      <c r="C394" s="30"/>
      <c r="D394" s="30"/>
      <c r="E394" s="30"/>
      <c r="F394" s="30"/>
      <c r="G394" s="30"/>
    </row>
    <row r="395" ht="15.75" customHeight="1">
      <c r="A395" s="30"/>
      <c r="B395" s="30"/>
      <c r="C395" s="30"/>
      <c r="D395" s="30"/>
      <c r="E395" s="30"/>
      <c r="F395" s="30"/>
      <c r="G395" s="30"/>
    </row>
    <row r="396" ht="15.75" customHeight="1">
      <c r="A396" s="30"/>
      <c r="B396" s="30"/>
      <c r="C396" s="30"/>
      <c r="D396" s="30"/>
      <c r="E396" s="30"/>
      <c r="F396" s="30"/>
      <c r="G396" s="30"/>
    </row>
    <row r="397" ht="15.75" customHeight="1">
      <c r="A397" s="30"/>
      <c r="B397" s="30"/>
      <c r="C397" s="30"/>
      <c r="D397" s="30"/>
      <c r="E397" s="30"/>
      <c r="F397" s="30"/>
      <c r="G397" s="30"/>
    </row>
    <row r="398" ht="15.75" customHeight="1">
      <c r="A398" s="30"/>
      <c r="B398" s="30"/>
      <c r="C398" s="30"/>
      <c r="D398" s="30"/>
      <c r="E398" s="30"/>
      <c r="F398" s="30"/>
      <c r="G398" s="30"/>
    </row>
    <row r="399" ht="15.75" customHeight="1">
      <c r="A399" s="30"/>
      <c r="B399" s="30"/>
      <c r="C399" s="30"/>
      <c r="D399" s="30"/>
      <c r="E399" s="30"/>
      <c r="F399" s="30"/>
      <c r="G399" s="30"/>
    </row>
    <row r="400" ht="15.75" customHeight="1">
      <c r="A400" s="30"/>
      <c r="B400" s="30"/>
      <c r="C400" s="30"/>
      <c r="D400" s="30"/>
      <c r="E400" s="30"/>
      <c r="F400" s="30"/>
      <c r="G400" s="30"/>
    </row>
    <row r="401" ht="15.75" customHeight="1">
      <c r="A401" s="30"/>
      <c r="B401" s="30"/>
      <c r="C401" s="30"/>
      <c r="D401" s="30"/>
      <c r="E401" s="30"/>
      <c r="F401" s="30"/>
      <c r="G401" s="30"/>
    </row>
    <row r="402" ht="15.75" customHeight="1">
      <c r="A402" s="30"/>
      <c r="B402" s="30"/>
      <c r="C402" s="30"/>
      <c r="D402" s="30"/>
      <c r="E402" s="30"/>
      <c r="F402" s="30"/>
      <c r="G402" s="30"/>
    </row>
    <row r="403" ht="15.75" customHeight="1">
      <c r="A403" s="30"/>
      <c r="B403" s="30"/>
      <c r="C403" s="30"/>
      <c r="D403" s="30"/>
      <c r="E403" s="30"/>
      <c r="F403" s="30"/>
      <c r="G403" s="30"/>
    </row>
    <row r="404" ht="15.75" customHeight="1">
      <c r="A404" s="30"/>
      <c r="B404" s="30"/>
      <c r="C404" s="30"/>
      <c r="D404" s="30"/>
      <c r="E404" s="30"/>
      <c r="F404" s="30"/>
      <c r="G404" s="30"/>
    </row>
    <row r="405" ht="15.75" customHeight="1">
      <c r="A405" s="30"/>
      <c r="B405" s="30"/>
      <c r="C405" s="30"/>
      <c r="D405" s="30"/>
      <c r="E405" s="30"/>
      <c r="F405" s="30"/>
      <c r="G405" s="30"/>
    </row>
    <row r="406" ht="15.75" customHeight="1">
      <c r="A406" s="30"/>
      <c r="B406" s="30"/>
      <c r="C406" s="30"/>
      <c r="D406" s="30"/>
      <c r="E406" s="30"/>
      <c r="F406" s="30"/>
      <c r="G406" s="30"/>
    </row>
    <row r="407" ht="15.75" customHeight="1">
      <c r="A407" s="30"/>
      <c r="B407" s="30"/>
      <c r="C407" s="30"/>
      <c r="D407" s="30"/>
      <c r="E407" s="30"/>
      <c r="F407" s="30"/>
      <c r="G407" s="30"/>
    </row>
    <row r="408" ht="15.75" customHeight="1">
      <c r="A408" s="30"/>
      <c r="B408" s="30"/>
      <c r="C408" s="30"/>
      <c r="D408" s="30"/>
      <c r="E408" s="30"/>
      <c r="F408" s="30"/>
      <c r="G408" s="30"/>
    </row>
    <row r="409" ht="15.75" customHeight="1">
      <c r="A409" s="30"/>
      <c r="B409" s="30"/>
      <c r="C409" s="30"/>
      <c r="D409" s="30"/>
      <c r="E409" s="30"/>
      <c r="F409" s="30"/>
      <c r="G409" s="30"/>
    </row>
    <row r="410" ht="15.75" customHeight="1">
      <c r="A410" s="30"/>
      <c r="B410" s="30"/>
      <c r="C410" s="30"/>
      <c r="D410" s="30"/>
      <c r="E410" s="30"/>
      <c r="F410" s="30"/>
      <c r="G410" s="30"/>
    </row>
    <row r="411" ht="15.75" customHeight="1">
      <c r="A411" s="30"/>
      <c r="B411" s="30"/>
      <c r="C411" s="30"/>
      <c r="D411" s="30"/>
      <c r="E411" s="30"/>
      <c r="F411" s="30"/>
      <c r="G411" s="30"/>
    </row>
    <row r="412" ht="15.75" customHeight="1">
      <c r="A412" s="30"/>
      <c r="B412" s="30"/>
      <c r="C412" s="30"/>
      <c r="D412" s="30"/>
      <c r="E412" s="30"/>
      <c r="F412" s="30"/>
      <c r="G412" s="30"/>
    </row>
    <row r="413" ht="15.75" customHeight="1">
      <c r="A413" s="30"/>
      <c r="B413" s="30"/>
      <c r="C413" s="30"/>
      <c r="D413" s="30"/>
      <c r="E413" s="30"/>
      <c r="F413" s="30"/>
      <c r="G413" s="30"/>
    </row>
    <row r="414" ht="15.75" customHeight="1">
      <c r="A414" s="30"/>
      <c r="B414" s="30"/>
      <c r="C414" s="30"/>
      <c r="D414" s="30"/>
      <c r="E414" s="30"/>
      <c r="F414" s="30"/>
      <c r="G414" s="30"/>
    </row>
    <row r="415" ht="15.75" customHeight="1">
      <c r="A415" s="30"/>
      <c r="B415" s="30"/>
      <c r="C415" s="30"/>
      <c r="D415" s="30"/>
      <c r="E415" s="30"/>
      <c r="F415" s="30"/>
      <c r="G415" s="30"/>
    </row>
    <row r="416" ht="15.75" customHeight="1">
      <c r="A416" s="30"/>
      <c r="B416" s="30"/>
      <c r="C416" s="30"/>
      <c r="D416" s="30"/>
      <c r="E416" s="30"/>
      <c r="F416" s="30"/>
      <c r="G416" s="30"/>
    </row>
    <row r="417" ht="15.75" customHeight="1">
      <c r="A417" s="30"/>
      <c r="B417" s="30"/>
      <c r="C417" s="30"/>
      <c r="D417" s="30"/>
      <c r="E417" s="30"/>
      <c r="F417" s="30"/>
      <c r="G417" s="30"/>
    </row>
    <row r="418" ht="15.75" customHeight="1">
      <c r="A418" s="30"/>
      <c r="B418" s="30"/>
      <c r="C418" s="30"/>
      <c r="D418" s="30"/>
      <c r="E418" s="30"/>
      <c r="F418" s="30"/>
      <c r="G418" s="30"/>
    </row>
    <row r="419" ht="15.75" customHeight="1">
      <c r="A419" s="30"/>
      <c r="B419" s="30"/>
      <c r="C419" s="30"/>
      <c r="D419" s="30"/>
      <c r="E419" s="30"/>
      <c r="F419" s="30"/>
      <c r="G419" s="30"/>
    </row>
    <row r="420" ht="15.75" customHeight="1">
      <c r="A420" s="30"/>
      <c r="B420" s="30"/>
      <c r="C420" s="30"/>
      <c r="D420" s="30"/>
      <c r="E420" s="30"/>
      <c r="F420" s="30"/>
      <c r="G420" s="30"/>
    </row>
    <row r="421" ht="15.75" customHeight="1">
      <c r="A421" s="30"/>
      <c r="B421" s="30"/>
      <c r="C421" s="30"/>
      <c r="D421" s="30"/>
      <c r="E421" s="30"/>
      <c r="F421" s="30"/>
      <c r="G421" s="30"/>
    </row>
    <row r="422" ht="15.75" customHeight="1">
      <c r="A422" s="30"/>
      <c r="B422" s="30"/>
      <c r="C422" s="30"/>
      <c r="D422" s="30"/>
      <c r="E422" s="30"/>
      <c r="F422" s="30"/>
      <c r="G422" s="30"/>
    </row>
    <row r="423" ht="15.75" customHeight="1">
      <c r="A423" s="30"/>
      <c r="B423" s="30"/>
      <c r="C423" s="30"/>
      <c r="D423" s="30"/>
      <c r="E423" s="30"/>
      <c r="F423" s="30"/>
      <c r="G423" s="30"/>
    </row>
    <row r="424" ht="15.75" customHeight="1">
      <c r="A424" s="30"/>
      <c r="B424" s="30"/>
      <c r="C424" s="30"/>
      <c r="D424" s="30"/>
      <c r="E424" s="30"/>
      <c r="F424" s="30"/>
      <c r="G424" s="30"/>
    </row>
    <row r="425" ht="15.75" customHeight="1">
      <c r="A425" s="30"/>
      <c r="B425" s="30"/>
      <c r="C425" s="30"/>
      <c r="D425" s="30"/>
      <c r="E425" s="30"/>
      <c r="F425" s="30"/>
      <c r="G425" s="30"/>
    </row>
    <row r="426" ht="15.75" customHeight="1">
      <c r="A426" s="30"/>
      <c r="B426" s="30"/>
      <c r="C426" s="30"/>
      <c r="D426" s="30"/>
      <c r="E426" s="30"/>
      <c r="F426" s="30"/>
      <c r="G426" s="30"/>
    </row>
    <row r="427" ht="15.75" customHeight="1">
      <c r="A427" s="30"/>
      <c r="B427" s="30"/>
      <c r="C427" s="30"/>
      <c r="D427" s="30"/>
      <c r="E427" s="30"/>
      <c r="F427" s="30"/>
      <c r="G427" s="30"/>
    </row>
    <row r="428" ht="15.75" customHeight="1">
      <c r="A428" s="30"/>
      <c r="B428" s="30"/>
      <c r="C428" s="30"/>
      <c r="D428" s="30"/>
      <c r="E428" s="30"/>
      <c r="F428" s="30"/>
      <c r="G428" s="30"/>
    </row>
    <row r="429" ht="15.75" customHeight="1">
      <c r="A429" s="30"/>
      <c r="B429" s="30"/>
      <c r="C429" s="30"/>
      <c r="D429" s="30"/>
      <c r="E429" s="30"/>
      <c r="F429" s="30"/>
      <c r="G429" s="30"/>
    </row>
    <row r="430" ht="15.75" customHeight="1">
      <c r="A430" s="30"/>
      <c r="B430" s="30"/>
      <c r="C430" s="30"/>
      <c r="D430" s="30"/>
      <c r="E430" s="30"/>
      <c r="F430" s="30"/>
      <c r="G430" s="30"/>
    </row>
    <row r="431" ht="15.75" customHeight="1">
      <c r="A431" s="30"/>
      <c r="B431" s="30"/>
      <c r="C431" s="30"/>
      <c r="D431" s="30"/>
      <c r="E431" s="30"/>
      <c r="F431" s="30"/>
      <c r="G431" s="30"/>
    </row>
    <row r="432" ht="15.75" customHeight="1">
      <c r="A432" s="30"/>
      <c r="B432" s="30"/>
      <c r="C432" s="30"/>
      <c r="D432" s="30"/>
      <c r="E432" s="30"/>
      <c r="F432" s="30"/>
      <c r="G432" s="30"/>
    </row>
    <row r="433" ht="15.75" customHeight="1">
      <c r="A433" s="30"/>
      <c r="B433" s="30"/>
      <c r="C433" s="30"/>
      <c r="D433" s="30"/>
      <c r="E433" s="30"/>
      <c r="F433" s="30"/>
      <c r="G433" s="30"/>
    </row>
    <row r="434" ht="15.75" customHeight="1">
      <c r="A434" s="30"/>
      <c r="B434" s="30"/>
      <c r="C434" s="30"/>
      <c r="D434" s="30"/>
      <c r="E434" s="30"/>
      <c r="F434" s="30"/>
      <c r="G434" s="30"/>
    </row>
    <row r="435" ht="15.75" customHeight="1">
      <c r="A435" s="30"/>
      <c r="B435" s="30"/>
      <c r="C435" s="30"/>
      <c r="D435" s="30"/>
      <c r="E435" s="30"/>
      <c r="F435" s="30"/>
      <c r="G435" s="30"/>
    </row>
    <row r="436" ht="15.75" customHeight="1">
      <c r="A436" s="30"/>
      <c r="B436" s="30"/>
      <c r="C436" s="30"/>
      <c r="D436" s="30"/>
      <c r="E436" s="30"/>
      <c r="F436" s="30"/>
      <c r="G436" s="30"/>
    </row>
    <row r="437" ht="15.75" customHeight="1">
      <c r="A437" s="30"/>
      <c r="B437" s="30"/>
      <c r="C437" s="30"/>
      <c r="D437" s="30"/>
      <c r="E437" s="30"/>
      <c r="F437" s="30"/>
      <c r="G437" s="30"/>
    </row>
    <row r="438" ht="15.75" customHeight="1">
      <c r="A438" s="30"/>
      <c r="B438" s="30"/>
      <c r="C438" s="30"/>
      <c r="D438" s="30"/>
      <c r="E438" s="30"/>
      <c r="F438" s="30"/>
      <c r="G438" s="30"/>
    </row>
    <row r="439" ht="15.75" customHeight="1">
      <c r="A439" s="30"/>
      <c r="B439" s="30"/>
      <c r="C439" s="30"/>
      <c r="D439" s="30"/>
      <c r="E439" s="30"/>
      <c r="F439" s="30"/>
      <c r="G439" s="30"/>
    </row>
    <row r="440" ht="15.75" customHeight="1">
      <c r="A440" s="30"/>
      <c r="B440" s="30"/>
      <c r="C440" s="30"/>
      <c r="D440" s="30"/>
      <c r="E440" s="30"/>
      <c r="F440" s="30"/>
      <c r="G440" s="30"/>
    </row>
    <row r="441" ht="15.75" customHeight="1">
      <c r="A441" s="30"/>
      <c r="B441" s="30"/>
      <c r="C441" s="30"/>
      <c r="D441" s="30"/>
      <c r="E441" s="30"/>
      <c r="F441" s="30"/>
      <c r="G441" s="30"/>
    </row>
    <row r="442" ht="15.75" customHeight="1">
      <c r="A442" s="30"/>
      <c r="B442" s="30"/>
      <c r="C442" s="30"/>
      <c r="D442" s="30"/>
      <c r="E442" s="30"/>
      <c r="F442" s="30"/>
      <c r="G442" s="30"/>
    </row>
    <row r="443" ht="15.75" customHeight="1">
      <c r="A443" s="30"/>
      <c r="B443" s="30"/>
      <c r="C443" s="30"/>
      <c r="D443" s="30"/>
      <c r="E443" s="30"/>
      <c r="F443" s="30"/>
      <c r="G443" s="30"/>
    </row>
    <row r="444" ht="15.75" customHeight="1">
      <c r="A444" s="30"/>
      <c r="B444" s="30"/>
      <c r="C444" s="30"/>
      <c r="D444" s="30"/>
      <c r="E444" s="30"/>
      <c r="F444" s="30"/>
      <c r="G444" s="30"/>
    </row>
    <row r="445" ht="15.75" customHeight="1">
      <c r="A445" s="30"/>
      <c r="B445" s="30"/>
      <c r="C445" s="30"/>
      <c r="D445" s="30"/>
      <c r="E445" s="30"/>
      <c r="F445" s="30"/>
      <c r="G445" s="30"/>
    </row>
    <row r="446" ht="15.75" customHeight="1">
      <c r="A446" s="30"/>
      <c r="B446" s="30"/>
      <c r="C446" s="30"/>
      <c r="D446" s="30"/>
      <c r="E446" s="30"/>
      <c r="F446" s="30"/>
      <c r="G446" s="30"/>
    </row>
    <row r="447" ht="15.75" customHeight="1">
      <c r="A447" s="30"/>
      <c r="B447" s="30"/>
      <c r="C447" s="30"/>
      <c r="D447" s="30"/>
      <c r="E447" s="30"/>
      <c r="F447" s="30"/>
      <c r="G447" s="30"/>
    </row>
    <row r="448" ht="15.75" customHeight="1">
      <c r="A448" s="30"/>
      <c r="B448" s="30"/>
      <c r="C448" s="30"/>
      <c r="D448" s="30"/>
      <c r="E448" s="30"/>
      <c r="F448" s="30"/>
      <c r="G448" s="30"/>
    </row>
    <row r="449" ht="15.75" customHeight="1">
      <c r="A449" s="30"/>
      <c r="B449" s="30"/>
      <c r="C449" s="30"/>
      <c r="D449" s="30"/>
      <c r="E449" s="30"/>
      <c r="F449" s="30"/>
      <c r="G449" s="30"/>
    </row>
    <row r="450" ht="15.75" customHeight="1">
      <c r="A450" s="30"/>
      <c r="B450" s="30"/>
      <c r="C450" s="30"/>
      <c r="D450" s="30"/>
      <c r="E450" s="30"/>
      <c r="F450" s="30"/>
      <c r="G450" s="30"/>
    </row>
    <row r="451" ht="15.75" customHeight="1">
      <c r="A451" s="30"/>
      <c r="B451" s="30"/>
      <c r="C451" s="30"/>
      <c r="D451" s="30"/>
      <c r="E451" s="30"/>
      <c r="F451" s="30"/>
      <c r="G451" s="30"/>
    </row>
    <row r="452" ht="15.75" customHeight="1">
      <c r="A452" s="30"/>
      <c r="B452" s="30"/>
      <c r="C452" s="30"/>
      <c r="D452" s="30"/>
      <c r="E452" s="30"/>
      <c r="F452" s="30"/>
      <c r="G452" s="30"/>
    </row>
    <row r="453" ht="15.75" customHeight="1">
      <c r="A453" s="30"/>
      <c r="B453" s="30"/>
      <c r="C453" s="30"/>
      <c r="D453" s="30"/>
      <c r="E453" s="30"/>
      <c r="F453" s="30"/>
      <c r="G453" s="30"/>
    </row>
    <row r="454" ht="15.75" customHeight="1">
      <c r="A454" s="30"/>
      <c r="B454" s="30"/>
      <c r="C454" s="30"/>
      <c r="D454" s="30"/>
      <c r="E454" s="30"/>
      <c r="F454" s="30"/>
      <c r="G454" s="30"/>
    </row>
    <row r="455" ht="15.75" customHeight="1">
      <c r="A455" s="30"/>
      <c r="B455" s="30"/>
      <c r="C455" s="30"/>
      <c r="D455" s="30"/>
      <c r="E455" s="30"/>
      <c r="F455" s="30"/>
      <c r="G455" s="30"/>
    </row>
    <row r="456" ht="15.75" customHeight="1">
      <c r="A456" s="30"/>
      <c r="B456" s="30"/>
      <c r="C456" s="30"/>
      <c r="D456" s="30"/>
      <c r="E456" s="30"/>
      <c r="F456" s="30"/>
      <c r="G456" s="30"/>
    </row>
    <row r="457" ht="15.75" customHeight="1">
      <c r="A457" s="30"/>
      <c r="B457" s="30"/>
      <c r="C457" s="30"/>
      <c r="D457" s="30"/>
      <c r="E457" s="30"/>
      <c r="F457" s="30"/>
      <c r="G457" s="30"/>
    </row>
    <row r="458" ht="15.75" customHeight="1">
      <c r="A458" s="30"/>
      <c r="B458" s="30"/>
      <c r="C458" s="30"/>
      <c r="D458" s="30"/>
      <c r="E458" s="30"/>
      <c r="F458" s="30"/>
      <c r="G458" s="30"/>
    </row>
    <row r="459" ht="15.75" customHeight="1">
      <c r="A459" s="30"/>
      <c r="B459" s="30"/>
      <c r="C459" s="30"/>
      <c r="D459" s="30"/>
      <c r="E459" s="30"/>
      <c r="F459" s="30"/>
      <c r="G459" s="30"/>
    </row>
    <row r="460" ht="15.75" customHeight="1">
      <c r="A460" s="30"/>
      <c r="B460" s="30"/>
      <c r="C460" s="30"/>
      <c r="D460" s="30"/>
      <c r="E460" s="30"/>
      <c r="F460" s="30"/>
      <c r="G460" s="30"/>
    </row>
    <row r="461" ht="15.75" customHeight="1">
      <c r="A461" s="30"/>
      <c r="B461" s="30"/>
      <c r="C461" s="30"/>
      <c r="D461" s="30"/>
      <c r="E461" s="30"/>
      <c r="F461" s="30"/>
      <c r="G461" s="30"/>
    </row>
    <row r="462" ht="15.75" customHeight="1">
      <c r="A462" s="30"/>
      <c r="B462" s="30"/>
      <c r="C462" s="30"/>
      <c r="D462" s="30"/>
      <c r="E462" s="30"/>
      <c r="F462" s="30"/>
      <c r="G462" s="30"/>
    </row>
    <row r="463" ht="15.75" customHeight="1">
      <c r="A463" s="30"/>
      <c r="B463" s="30"/>
      <c r="C463" s="30"/>
      <c r="D463" s="30"/>
      <c r="E463" s="30"/>
      <c r="F463" s="30"/>
      <c r="G463" s="30"/>
    </row>
    <row r="464" ht="15.75" customHeight="1">
      <c r="A464" s="30"/>
      <c r="B464" s="30"/>
      <c r="C464" s="30"/>
      <c r="D464" s="30"/>
      <c r="E464" s="30"/>
      <c r="F464" s="30"/>
      <c r="G464" s="30"/>
    </row>
    <row r="465" ht="15.75" customHeight="1">
      <c r="A465" s="30"/>
      <c r="B465" s="30"/>
      <c r="C465" s="30"/>
      <c r="D465" s="30"/>
      <c r="E465" s="30"/>
      <c r="F465" s="30"/>
      <c r="G465" s="30"/>
    </row>
    <row r="466" ht="15.75" customHeight="1">
      <c r="A466" s="30"/>
      <c r="B466" s="30"/>
      <c r="C466" s="30"/>
      <c r="D466" s="30"/>
      <c r="E466" s="30"/>
      <c r="F466" s="30"/>
      <c r="G466" s="30"/>
    </row>
    <row r="467" ht="15.75" customHeight="1">
      <c r="A467" s="30"/>
      <c r="B467" s="30"/>
      <c r="C467" s="30"/>
      <c r="D467" s="30"/>
      <c r="E467" s="30"/>
      <c r="F467" s="30"/>
      <c r="G467" s="30"/>
    </row>
    <row r="468" ht="15.75" customHeight="1">
      <c r="A468" s="30"/>
      <c r="B468" s="30"/>
      <c r="C468" s="30"/>
      <c r="D468" s="30"/>
      <c r="E468" s="30"/>
      <c r="F468" s="30"/>
      <c r="G468" s="30"/>
    </row>
    <row r="469" ht="15.75" customHeight="1">
      <c r="A469" s="30"/>
      <c r="B469" s="30"/>
      <c r="C469" s="30"/>
      <c r="D469" s="30"/>
      <c r="E469" s="30"/>
      <c r="F469" s="30"/>
      <c r="G469" s="30"/>
    </row>
    <row r="470" ht="15.75" customHeight="1">
      <c r="A470" s="30"/>
      <c r="B470" s="30"/>
      <c r="C470" s="30"/>
      <c r="D470" s="30"/>
      <c r="E470" s="30"/>
      <c r="F470" s="30"/>
      <c r="G470" s="30"/>
    </row>
    <row r="471" ht="15.75" customHeight="1">
      <c r="A471" s="30"/>
      <c r="B471" s="30"/>
      <c r="C471" s="30"/>
      <c r="D471" s="30"/>
      <c r="E471" s="30"/>
      <c r="F471" s="30"/>
      <c r="G471" s="30"/>
    </row>
    <row r="472" ht="15.75" customHeight="1">
      <c r="A472" s="30"/>
      <c r="B472" s="30"/>
      <c r="C472" s="30"/>
      <c r="D472" s="30"/>
      <c r="E472" s="30"/>
      <c r="F472" s="30"/>
      <c r="G472" s="30"/>
    </row>
    <row r="473" ht="15.75" customHeight="1">
      <c r="A473" s="30"/>
      <c r="B473" s="30"/>
      <c r="C473" s="30"/>
      <c r="D473" s="30"/>
      <c r="E473" s="30"/>
      <c r="F473" s="30"/>
      <c r="G473" s="30"/>
    </row>
    <row r="474" ht="15.75" customHeight="1">
      <c r="A474" s="30"/>
      <c r="B474" s="30"/>
      <c r="C474" s="30"/>
      <c r="D474" s="30"/>
      <c r="E474" s="30"/>
      <c r="F474" s="30"/>
      <c r="G474" s="30"/>
    </row>
    <row r="475" ht="15.75" customHeight="1">
      <c r="A475" s="30"/>
      <c r="B475" s="30"/>
      <c r="C475" s="30"/>
      <c r="D475" s="30"/>
      <c r="E475" s="30"/>
      <c r="F475" s="30"/>
      <c r="G475" s="30"/>
    </row>
    <row r="476" ht="15.75" customHeight="1">
      <c r="A476" s="30"/>
      <c r="B476" s="30"/>
      <c r="C476" s="30"/>
      <c r="D476" s="30"/>
      <c r="E476" s="30"/>
      <c r="F476" s="30"/>
      <c r="G476" s="30"/>
    </row>
    <row r="477" ht="15.75" customHeight="1">
      <c r="A477" s="30"/>
      <c r="B477" s="30"/>
      <c r="C477" s="30"/>
      <c r="D477" s="30"/>
      <c r="E477" s="30"/>
      <c r="F477" s="30"/>
      <c r="G477" s="30"/>
    </row>
    <row r="478" ht="15.75" customHeight="1">
      <c r="A478" s="30"/>
      <c r="B478" s="30"/>
      <c r="C478" s="30"/>
      <c r="D478" s="30"/>
      <c r="E478" s="30"/>
      <c r="F478" s="30"/>
      <c r="G478" s="30"/>
    </row>
    <row r="479" ht="15.75" customHeight="1">
      <c r="A479" s="30"/>
      <c r="B479" s="30"/>
      <c r="C479" s="30"/>
      <c r="D479" s="30"/>
      <c r="E479" s="30"/>
      <c r="F479" s="30"/>
      <c r="G479" s="30"/>
    </row>
    <row r="480" ht="15.75" customHeight="1">
      <c r="A480" s="30"/>
      <c r="B480" s="30"/>
      <c r="C480" s="30"/>
      <c r="D480" s="30"/>
      <c r="E480" s="30"/>
      <c r="F480" s="30"/>
      <c r="G480" s="30"/>
    </row>
    <row r="481" ht="15.75" customHeight="1">
      <c r="A481" s="30"/>
      <c r="B481" s="30"/>
      <c r="C481" s="30"/>
      <c r="D481" s="30"/>
      <c r="E481" s="30"/>
      <c r="F481" s="30"/>
      <c r="G481" s="30"/>
    </row>
    <row r="482" ht="15.75" customHeight="1">
      <c r="A482" s="30"/>
      <c r="B482" s="30"/>
      <c r="C482" s="30"/>
      <c r="D482" s="30"/>
      <c r="E482" s="30"/>
      <c r="F482" s="30"/>
      <c r="G482" s="30"/>
    </row>
    <row r="483" ht="15.75" customHeight="1">
      <c r="A483" s="30"/>
      <c r="B483" s="30"/>
      <c r="C483" s="30"/>
      <c r="D483" s="30"/>
      <c r="E483" s="30"/>
      <c r="F483" s="30"/>
      <c r="G483" s="30"/>
    </row>
    <row r="484" ht="15.75" customHeight="1">
      <c r="A484" s="30"/>
      <c r="B484" s="30"/>
      <c r="C484" s="30"/>
      <c r="D484" s="30"/>
      <c r="E484" s="30"/>
      <c r="F484" s="30"/>
      <c r="G484" s="30"/>
    </row>
    <row r="485" ht="15.75" customHeight="1">
      <c r="A485" s="30"/>
      <c r="B485" s="30"/>
      <c r="C485" s="30"/>
      <c r="D485" s="30"/>
      <c r="E485" s="30"/>
      <c r="F485" s="30"/>
      <c r="G485" s="30"/>
    </row>
    <row r="486" ht="15.75" customHeight="1">
      <c r="A486" s="30"/>
      <c r="B486" s="30"/>
      <c r="C486" s="30"/>
      <c r="D486" s="30"/>
      <c r="E486" s="30"/>
      <c r="F486" s="30"/>
      <c r="G486" s="30"/>
    </row>
    <row r="487" ht="15.75" customHeight="1">
      <c r="A487" s="30"/>
      <c r="B487" s="30"/>
      <c r="C487" s="30"/>
      <c r="D487" s="30"/>
      <c r="E487" s="30"/>
      <c r="F487" s="30"/>
      <c r="G487" s="30"/>
    </row>
    <row r="488" ht="15.75" customHeight="1">
      <c r="A488" s="30"/>
      <c r="B488" s="30"/>
      <c r="C488" s="30"/>
      <c r="D488" s="30"/>
      <c r="E488" s="30"/>
      <c r="F488" s="30"/>
      <c r="G488" s="30"/>
    </row>
    <row r="489" ht="15.75" customHeight="1">
      <c r="A489" s="30"/>
      <c r="B489" s="30"/>
      <c r="C489" s="30"/>
      <c r="D489" s="30"/>
      <c r="E489" s="30"/>
      <c r="F489" s="30"/>
      <c r="G489" s="30"/>
    </row>
    <row r="490" ht="15.75" customHeight="1">
      <c r="A490" s="30"/>
      <c r="B490" s="30"/>
      <c r="C490" s="30"/>
      <c r="D490" s="30"/>
      <c r="E490" s="30"/>
      <c r="F490" s="30"/>
      <c r="G490" s="30"/>
    </row>
    <row r="491" ht="15.75" customHeight="1">
      <c r="A491" s="30"/>
      <c r="B491" s="30"/>
      <c r="C491" s="30"/>
      <c r="D491" s="30"/>
      <c r="E491" s="30"/>
      <c r="F491" s="30"/>
      <c r="G491" s="30"/>
    </row>
    <row r="492" ht="15.75" customHeight="1">
      <c r="A492" s="30"/>
      <c r="B492" s="30"/>
      <c r="C492" s="30"/>
      <c r="D492" s="30"/>
      <c r="E492" s="30"/>
      <c r="F492" s="30"/>
      <c r="G492" s="30"/>
    </row>
    <row r="493" ht="15.75" customHeight="1">
      <c r="A493" s="30"/>
      <c r="B493" s="30"/>
      <c r="C493" s="30"/>
      <c r="D493" s="30"/>
      <c r="E493" s="30"/>
      <c r="F493" s="30"/>
      <c r="G493" s="30"/>
    </row>
    <row r="494" ht="15.75" customHeight="1">
      <c r="A494" s="30"/>
      <c r="B494" s="30"/>
      <c r="C494" s="30"/>
      <c r="D494" s="30"/>
      <c r="E494" s="30"/>
      <c r="F494" s="30"/>
      <c r="G494" s="30"/>
    </row>
    <row r="495" ht="15.75" customHeight="1">
      <c r="A495" s="30"/>
      <c r="B495" s="30"/>
      <c r="C495" s="30"/>
      <c r="D495" s="30"/>
      <c r="E495" s="30"/>
      <c r="F495" s="30"/>
      <c r="G495" s="30"/>
    </row>
    <row r="496" ht="15.75" customHeight="1">
      <c r="A496" s="30"/>
      <c r="B496" s="30"/>
      <c r="C496" s="30"/>
      <c r="D496" s="30"/>
      <c r="E496" s="30"/>
      <c r="F496" s="30"/>
      <c r="G496" s="30"/>
    </row>
    <row r="497" ht="15.75" customHeight="1">
      <c r="A497" s="30"/>
      <c r="B497" s="30"/>
      <c r="C497" s="30"/>
      <c r="D497" s="30"/>
      <c r="E497" s="30"/>
      <c r="F497" s="30"/>
      <c r="G497" s="30"/>
    </row>
    <row r="498" ht="15.75" customHeight="1">
      <c r="A498" s="30"/>
      <c r="B498" s="30"/>
      <c r="C498" s="30"/>
      <c r="D498" s="30"/>
      <c r="E498" s="30"/>
      <c r="F498" s="30"/>
      <c r="G498" s="30"/>
    </row>
    <row r="499" ht="15.75" customHeight="1">
      <c r="A499" s="30"/>
      <c r="B499" s="30"/>
      <c r="C499" s="30"/>
      <c r="D499" s="30"/>
      <c r="E499" s="30"/>
      <c r="F499" s="30"/>
      <c r="G499" s="30"/>
    </row>
    <row r="500" ht="15.75" customHeight="1">
      <c r="A500" s="30"/>
      <c r="B500" s="30"/>
      <c r="C500" s="30"/>
      <c r="D500" s="30"/>
      <c r="E500" s="30"/>
      <c r="F500" s="30"/>
      <c r="G500" s="30"/>
    </row>
    <row r="501" ht="15.75" customHeight="1">
      <c r="A501" s="30"/>
      <c r="B501" s="30"/>
      <c r="C501" s="30"/>
      <c r="D501" s="30"/>
      <c r="E501" s="30"/>
      <c r="F501" s="30"/>
      <c r="G501" s="30"/>
    </row>
    <row r="502" ht="15.75" customHeight="1">
      <c r="A502" s="30"/>
      <c r="B502" s="30"/>
      <c r="C502" s="30"/>
      <c r="D502" s="30"/>
      <c r="E502" s="30"/>
      <c r="F502" s="30"/>
      <c r="G502" s="30"/>
    </row>
    <row r="503" ht="15.75" customHeight="1">
      <c r="A503" s="30"/>
      <c r="B503" s="30"/>
      <c r="C503" s="30"/>
      <c r="D503" s="30"/>
      <c r="E503" s="30"/>
      <c r="F503" s="30"/>
      <c r="G503" s="30"/>
    </row>
    <row r="504" ht="15.75" customHeight="1">
      <c r="A504" s="30"/>
      <c r="B504" s="30"/>
      <c r="C504" s="30"/>
      <c r="D504" s="30"/>
      <c r="E504" s="30"/>
      <c r="F504" s="30"/>
      <c r="G504" s="30"/>
    </row>
    <row r="505" ht="15.75" customHeight="1">
      <c r="A505" s="30"/>
      <c r="B505" s="30"/>
      <c r="C505" s="30"/>
      <c r="D505" s="30"/>
      <c r="E505" s="30"/>
      <c r="F505" s="30"/>
      <c r="G505" s="30"/>
    </row>
    <row r="506" ht="15.75" customHeight="1">
      <c r="A506" s="30"/>
      <c r="B506" s="30"/>
      <c r="C506" s="30"/>
      <c r="D506" s="30"/>
      <c r="E506" s="30"/>
      <c r="F506" s="30"/>
      <c r="G506" s="30"/>
    </row>
    <row r="507" ht="15.75" customHeight="1">
      <c r="A507" s="30"/>
      <c r="B507" s="30"/>
      <c r="C507" s="30"/>
      <c r="D507" s="30"/>
      <c r="E507" s="30"/>
      <c r="F507" s="30"/>
      <c r="G507" s="30"/>
    </row>
    <row r="508" ht="15.75" customHeight="1">
      <c r="A508" s="30"/>
      <c r="B508" s="30"/>
      <c r="C508" s="30"/>
      <c r="D508" s="30"/>
      <c r="E508" s="30"/>
      <c r="F508" s="30"/>
      <c r="G508" s="30"/>
    </row>
    <row r="509" ht="15.75" customHeight="1">
      <c r="A509" s="30"/>
      <c r="B509" s="30"/>
      <c r="C509" s="30"/>
      <c r="D509" s="30"/>
      <c r="E509" s="30"/>
      <c r="F509" s="30"/>
      <c r="G509" s="30"/>
    </row>
    <row r="510" ht="15.75" customHeight="1">
      <c r="A510" s="30"/>
      <c r="B510" s="30"/>
      <c r="C510" s="30"/>
      <c r="D510" s="30"/>
      <c r="E510" s="30"/>
      <c r="F510" s="30"/>
      <c r="G510" s="30"/>
    </row>
    <row r="511" ht="15.75" customHeight="1">
      <c r="A511" s="30"/>
      <c r="B511" s="30"/>
      <c r="C511" s="30"/>
      <c r="D511" s="30"/>
      <c r="E511" s="30"/>
      <c r="F511" s="30"/>
      <c r="G511" s="30"/>
    </row>
    <row r="512" ht="15.75" customHeight="1">
      <c r="A512" s="30"/>
      <c r="B512" s="30"/>
      <c r="C512" s="30"/>
      <c r="D512" s="30"/>
      <c r="E512" s="30"/>
      <c r="F512" s="30"/>
      <c r="G512" s="30"/>
    </row>
    <row r="513" ht="15.75" customHeight="1">
      <c r="A513" s="30"/>
      <c r="B513" s="30"/>
      <c r="C513" s="30"/>
      <c r="D513" s="30"/>
      <c r="E513" s="30"/>
      <c r="F513" s="30"/>
      <c r="G513" s="30"/>
    </row>
    <row r="514" ht="15.75" customHeight="1">
      <c r="A514" s="30"/>
      <c r="B514" s="30"/>
      <c r="C514" s="30"/>
      <c r="D514" s="30"/>
      <c r="E514" s="30"/>
      <c r="F514" s="30"/>
      <c r="G514" s="30"/>
    </row>
    <row r="515" ht="15.75" customHeight="1">
      <c r="A515" s="30"/>
      <c r="B515" s="30"/>
      <c r="C515" s="30"/>
      <c r="D515" s="30"/>
      <c r="E515" s="30"/>
      <c r="F515" s="30"/>
      <c r="G515" s="30"/>
    </row>
    <row r="516" ht="15.75" customHeight="1">
      <c r="A516" s="30"/>
      <c r="B516" s="30"/>
      <c r="C516" s="30"/>
      <c r="D516" s="30"/>
      <c r="E516" s="30"/>
      <c r="F516" s="30"/>
      <c r="G516" s="30"/>
    </row>
    <row r="517" ht="15.75" customHeight="1">
      <c r="A517" s="30"/>
      <c r="B517" s="30"/>
      <c r="C517" s="30"/>
      <c r="D517" s="30"/>
      <c r="E517" s="30"/>
      <c r="F517" s="30"/>
      <c r="G517" s="30"/>
    </row>
    <row r="518" ht="15.75" customHeight="1">
      <c r="A518" s="30"/>
      <c r="B518" s="30"/>
      <c r="C518" s="30"/>
      <c r="D518" s="30"/>
      <c r="E518" s="30"/>
      <c r="F518" s="30"/>
      <c r="G518" s="30"/>
    </row>
    <row r="519" ht="15.75" customHeight="1">
      <c r="A519" s="30"/>
      <c r="B519" s="30"/>
      <c r="C519" s="30"/>
      <c r="D519" s="30"/>
      <c r="E519" s="30"/>
      <c r="F519" s="30"/>
      <c r="G519" s="30"/>
    </row>
    <row r="520" ht="15.75" customHeight="1">
      <c r="A520" s="30"/>
      <c r="B520" s="30"/>
      <c r="C520" s="30"/>
      <c r="D520" s="30"/>
      <c r="E520" s="30"/>
      <c r="F520" s="30"/>
      <c r="G520" s="30"/>
    </row>
    <row r="521" ht="15.75" customHeight="1">
      <c r="A521" s="30"/>
      <c r="B521" s="30"/>
      <c r="C521" s="30"/>
      <c r="D521" s="30"/>
      <c r="E521" s="30"/>
      <c r="F521" s="30"/>
      <c r="G521" s="30"/>
    </row>
    <row r="522" ht="15.75" customHeight="1">
      <c r="A522" s="30"/>
      <c r="B522" s="30"/>
      <c r="C522" s="30"/>
      <c r="D522" s="30"/>
      <c r="E522" s="30"/>
      <c r="F522" s="30"/>
      <c r="G522" s="30"/>
    </row>
    <row r="523" ht="15.75" customHeight="1">
      <c r="A523" s="30"/>
      <c r="B523" s="30"/>
      <c r="C523" s="30"/>
      <c r="D523" s="30"/>
      <c r="E523" s="30"/>
      <c r="F523" s="30"/>
      <c r="G523" s="30"/>
    </row>
    <row r="524" ht="15.75" customHeight="1">
      <c r="A524" s="30"/>
      <c r="B524" s="30"/>
      <c r="C524" s="30"/>
      <c r="D524" s="30"/>
      <c r="E524" s="30"/>
      <c r="F524" s="30"/>
      <c r="G524" s="30"/>
    </row>
    <row r="525" ht="15.75" customHeight="1">
      <c r="A525" s="30"/>
      <c r="B525" s="30"/>
      <c r="C525" s="30"/>
      <c r="D525" s="30"/>
      <c r="E525" s="30"/>
      <c r="F525" s="30"/>
      <c r="G525" s="30"/>
    </row>
    <row r="526" ht="15.75" customHeight="1">
      <c r="A526" s="30"/>
      <c r="B526" s="30"/>
      <c r="C526" s="30"/>
      <c r="D526" s="30"/>
      <c r="E526" s="30"/>
      <c r="F526" s="30"/>
      <c r="G526" s="30"/>
    </row>
    <row r="527" ht="15.75" customHeight="1">
      <c r="A527" s="30"/>
      <c r="B527" s="30"/>
      <c r="C527" s="30"/>
      <c r="D527" s="30"/>
      <c r="E527" s="30"/>
      <c r="F527" s="30"/>
      <c r="G527" s="30"/>
    </row>
    <row r="528" ht="15.75" customHeight="1">
      <c r="A528" s="30"/>
      <c r="B528" s="30"/>
      <c r="C528" s="30"/>
      <c r="D528" s="30"/>
      <c r="E528" s="30"/>
      <c r="F528" s="30"/>
      <c r="G528" s="30"/>
    </row>
    <row r="529" ht="15.75" customHeight="1">
      <c r="A529" s="30"/>
      <c r="B529" s="30"/>
      <c r="C529" s="30"/>
      <c r="D529" s="30"/>
      <c r="E529" s="30"/>
      <c r="F529" s="30"/>
      <c r="G529" s="30"/>
    </row>
    <row r="530" ht="15.75" customHeight="1">
      <c r="A530" s="30"/>
      <c r="B530" s="30"/>
      <c r="C530" s="30"/>
      <c r="D530" s="30"/>
      <c r="E530" s="30"/>
      <c r="F530" s="30"/>
      <c r="G530" s="30"/>
    </row>
    <row r="531" ht="15.75" customHeight="1">
      <c r="A531" s="30"/>
      <c r="B531" s="30"/>
      <c r="C531" s="30"/>
      <c r="D531" s="30"/>
      <c r="E531" s="30"/>
      <c r="F531" s="30"/>
      <c r="G531" s="30"/>
    </row>
    <row r="532" ht="15.75" customHeight="1">
      <c r="A532" s="30"/>
      <c r="B532" s="30"/>
      <c r="C532" s="30"/>
      <c r="D532" s="30"/>
      <c r="E532" s="30"/>
      <c r="F532" s="30"/>
      <c r="G532" s="30"/>
    </row>
    <row r="533" ht="15.75" customHeight="1">
      <c r="A533" s="30"/>
      <c r="B533" s="30"/>
      <c r="C533" s="30"/>
      <c r="D533" s="30"/>
      <c r="E533" s="30"/>
      <c r="F533" s="30"/>
      <c r="G533" s="30"/>
    </row>
    <row r="534" ht="15.75" customHeight="1">
      <c r="A534" s="30"/>
      <c r="B534" s="30"/>
      <c r="C534" s="30"/>
      <c r="D534" s="30"/>
      <c r="E534" s="30"/>
      <c r="F534" s="30"/>
      <c r="G534" s="30"/>
    </row>
    <row r="535" ht="15.75" customHeight="1">
      <c r="A535" s="30"/>
      <c r="B535" s="30"/>
      <c r="C535" s="30"/>
      <c r="D535" s="30"/>
      <c r="E535" s="30"/>
      <c r="F535" s="30"/>
      <c r="G535" s="30"/>
    </row>
    <row r="536" ht="15.75" customHeight="1">
      <c r="A536" s="30"/>
      <c r="B536" s="30"/>
      <c r="C536" s="30"/>
      <c r="D536" s="30"/>
      <c r="E536" s="30"/>
      <c r="F536" s="30"/>
      <c r="G536" s="30"/>
    </row>
    <row r="537" ht="15.75" customHeight="1">
      <c r="A537" s="30"/>
      <c r="B537" s="30"/>
      <c r="C537" s="30"/>
      <c r="D537" s="30"/>
      <c r="E537" s="30"/>
      <c r="F537" s="30"/>
      <c r="G537" s="30"/>
    </row>
    <row r="538" ht="15.75" customHeight="1">
      <c r="A538" s="30"/>
      <c r="B538" s="30"/>
      <c r="C538" s="30"/>
      <c r="D538" s="30"/>
      <c r="E538" s="30"/>
      <c r="F538" s="30"/>
      <c r="G538" s="30"/>
    </row>
    <row r="539" ht="15.75" customHeight="1">
      <c r="A539" s="30"/>
      <c r="B539" s="30"/>
      <c r="C539" s="30"/>
      <c r="D539" s="30"/>
      <c r="E539" s="30"/>
      <c r="F539" s="30"/>
      <c r="G539" s="30"/>
    </row>
    <row r="540" ht="15.75" customHeight="1">
      <c r="A540" s="30"/>
      <c r="B540" s="30"/>
      <c r="C540" s="30"/>
      <c r="D540" s="30"/>
      <c r="E540" s="30"/>
      <c r="F540" s="30"/>
      <c r="G540" s="30"/>
    </row>
    <row r="541" ht="15.75" customHeight="1">
      <c r="A541" s="30"/>
      <c r="B541" s="30"/>
      <c r="C541" s="30"/>
      <c r="D541" s="30"/>
      <c r="E541" s="30"/>
      <c r="F541" s="30"/>
      <c r="G541" s="30"/>
    </row>
    <row r="542" ht="15.75" customHeight="1">
      <c r="A542" s="30"/>
      <c r="B542" s="30"/>
      <c r="C542" s="30"/>
      <c r="D542" s="30"/>
      <c r="E542" s="30"/>
      <c r="F542" s="30"/>
      <c r="G542" s="30"/>
    </row>
    <row r="543" ht="15.75" customHeight="1">
      <c r="A543" s="30"/>
      <c r="B543" s="30"/>
      <c r="C543" s="30"/>
      <c r="D543" s="30"/>
      <c r="E543" s="30"/>
      <c r="F543" s="30"/>
      <c r="G543" s="30"/>
    </row>
    <row r="544" ht="15.75" customHeight="1">
      <c r="A544" s="30"/>
      <c r="B544" s="30"/>
      <c r="C544" s="30"/>
      <c r="D544" s="30"/>
      <c r="E544" s="30"/>
      <c r="F544" s="30"/>
      <c r="G544" s="30"/>
    </row>
    <row r="545" ht="15.75" customHeight="1">
      <c r="A545" s="30"/>
      <c r="B545" s="30"/>
      <c r="C545" s="30"/>
      <c r="D545" s="30"/>
      <c r="E545" s="30"/>
      <c r="F545" s="30"/>
      <c r="G545" s="30"/>
    </row>
    <row r="546" ht="15.75" customHeight="1">
      <c r="A546" s="30"/>
      <c r="B546" s="30"/>
      <c r="C546" s="30"/>
      <c r="D546" s="30"/>
      <c r="E546" s="30"/>
      <c r="F546" s="30"/>
      <c r="G546" s="30"/>
    </row>
    <row r="547" ht="15.75" customHeight="1">
      <c r="A547" s="30"/>
      <c r="B547" s="30"/>
      <c r="C547" s="30"/>
      <c r="D547" s="30"/>
      <c r="E547" s="30"/>
      <c r="F547" s="30"/>
      <c r="G547" s="30"/>
    </row>
    <row r="548" ht="15.75" customHeight="1">
      <c r="A548" s="30"/>
      <c r="B548" s="30"/>
      <c r="C548" s="30"/>
      <c r="D548" s="30"/>
      <c r="E548" s="30"/>
      <c r="F548" s="30"/>
      <c r="G548" s="30"/>
    </row>
    <row r="549" ht="15.75" customHeight="1">
      <c r="A549" s="30"/>
      <c r="B549" s="30"/>
      <c r="C549" s="30"/>
      <c r="D549" s="30"/>
      <c r="E549" s="30"/>
      <c r="F549" s="30"/>
      <c r="G549" s="30"/>
    </row>
    <row r="550" ht="15.75" customHeight="1">
      <c r="A550" s="30"/>
      <c r="B550" s="30"/>
      <c r="C550" s="30"/>
      <c r="D550" s="30"/>
      <c r="E550" s="30"/>
      <c r="F550" s="30"/>
      <c r="G550" s="30"/>
    </row>
    <row r="551" ht="15.75" customHeight="1">
      <c r="A551" s="30"/>
      <c r="B551" s="30"/>
      <c r="C551" s="30"/>
      <c r="D551" s="30"/>
      <c r="E551" s="30"/>
      <c r="F551" s="30"/>
      <c r="G551" s="30"/>
    </row>
    <row r="552" ht="15.75" customHeight="1">
      <c r="A552" s="30"/>
      <c r="B552" s="30"/>
      <c r="C552" s="30"/>
      <c r="D552" s="30"/>
      <c r="E552" s="30"/>
      <c r="F552" s="30"/>
      <c r="G552" s="30"/>
    </row>
    <row r="553" ht="15.75" customHeight="1">
      <c r="A553" s="30"/>
      <c r="B553" s="30"/>
      <c r="C553" s="30"/>
      <c r="D553" s="30"/>
      <c r="E553" s="30"/>
      <c r="F553" s="30"/>
      <c r="G553" s="30"/>
    </row>
    <row r="554" ht="15.75" customHeight="1">
      <c r="A554" s="30"/>
      <c r="B554" s="30"/>
      <c r="C554" s="30"/>
      <c r="D554" s="30"/>
      <c r="E554" s="30"/>
      <c r="F554" s="30"/>
      <c r="G554" s="30"/>
    </row>
    <row r="555" ht="15.75" customHeight="1">
      <c r="A555" s="30"/>
      <c r="B555" s="30"/>
      <c r="C555" s="30"/>
      <c r="D555" s="30"/>
      <c r="E555" s="30"/>
      <c r="F555" s="30"/>
      <c r="G555" s="30"/>
    </row>
    <row r="556" ht="15.75" customHeight="1">
      <c r="A556" s="30"/>
      <c r="B556" s="30"/>
      <c r="C556" s="30"/>
      <c r="D556" s="30"/>
      <c r="E556" s="30"/>
      <c r="F556" s="30"/>
      <c r="G556" s="30"/>
    </row>
    <row r="557" ht="15.75" customHeight="1">
      <c r="A557" s="30"/>
      <c r="B557" s="30"/>
      <c r="C557" s="30"/>
      <c r="D557" s="30"/>
      <c r="E557" s="30"/>
      <c r="F557" s="30"/>
      <c r="G557" s="30"/>
    </row>
    <row r="558" ht="15.75" customHeight="1">
      <c r="A558" s="30"/>
      <c r="B558" s="30"/>
      <c r="C558" s="30"/>
      <c r="D558" s="30"/>
      <c r="E558" s="30"/>
      <c r="F558" s="30"/>
      <c r="G558" s="30"/>
    </row>
    <row r="559" ht="15.75" customHeight="1">
      <c r="A559" s="30"/>
      <c r="B559" s="30"/>
      <c r="C559" s="30"/>
      <c r="D559" s="30"/>
      <c r="E559" s="30"/>
      <c r="F559" s="30"/>
      <c r="G559" s="30"/>
    </row>
    <row r="560" ht="15.75" customHeight="1">
      <c r="A560" s="30"/>
      <c r="B560" s="30"/>
      <c r="C560" s="30"/>
      <c r="D560" s="30"/>
      <c r="E560" s="30"/>
      <c r="F560" s="30"/>
      <c r="G560" s="30"/>
    </row>
    <row r="561" ht="15.75" customHeight="1">
      <c r="A561" s="30"/>
      <c r="B561" s="30"/>
      <c r="C561" s="30"/>
      <c r="D561" s="30"/>
      <c r="E561" s="30"/>
      <c r="F561" s="30"/>
      <c r="G561" s="30"/>
    </row>
    <row r="562" ht="15.75" customHeight="1">
      <c r="A562" s="30"/>
      <c r="B562" s="30"/>
      <c r="C562" s="30"/>
      <c r="D562" s="30"/>
      <c r="E562" s="30"/>
      <c r="F562" s="30"/>
      <c r="G562" s="30"/>
    </row>
    <row r="563" ht="15.75" customHeight="1">
      <c r="A563" s="30"/>
      <c r="B563" s="30"/>
      <c r="C563" s="30"/>
      <c r="D563" s="30"/>
      <c r="E563" s="30"/>
      <c r="F563" s="30"/>
      <c r="G563" s="30"/>
    </row>
    <row r="564" ht="15.75" customHeight="1">
      <c r="A564" s="30"/>
      <c r="B564" s="30"/>
      <c r="C564" s="30"/>
      <c r="D564" s="30"/>
      <c r="E564" s="30"/>
      <c r="F564" s="30"/>
      <c r="G564" s="30"/>
    </row>
    <row r="565" ht="15.75" customHeight="1">
      <c r="A565" s="30"/>
      <c r="B565" s="30"/>
      <c r="C565" s="30"/>
      <c r="D565" s="30"/>
      <c r="E565" s="30"/>
      <c r="F565" s="30"/>
      <c r="G565" s="30"/>
    </row>
    <row r="566" ht="15.75" customHeight="1">
      <c r="A566" s="30"/>
      <c r="B566" s="30"/>
      <c r="C566" s="30"/>
      <c r="D566" s="30"/>
      <c r="E566" s="30"/>
      <c r="F566" s="30"/>
      <c r="G566" s="30"/>
    </row>
    <row r="567" ht="15.75" customHeight="1">
      <c r="A567" s="30"/>
      <c r="B567" s="30"/>
      <c r="C567" s="30"/>
      <c r="D567" s="30"/>
      <c r="E567" s="30"/>
      <c r="F567" s="30"/>
      <c r="G567" s="30"/>
    </row>
    <row r="568" ht="15.75" customHeight="1">
      <c r="A568" s="30"/>
      <c r="B568" s="30"/>
      <c r="C568" s="30"/>
      <c r="D568" s="30"/>
      <c r="E568" s="30"/>
      <c r="F568" s="30"/>
      <c r="G568" s="30"/>
    </row>
    <row r="569" ht="15.75" customHeight="1">
      <c r="A569" s="30"/>
      <c r="B569" s="30"/>
      <c r="C569" s="30"/>
      <c r="D569" s="30"/>
      <c r="E569" s="30"/>
      <c r="F569" s="30"/>
      <c r="G569" s="30"/>
    </row>
    <row r="570" ht="15.75" customHeight="1">
      <c r="A570" s="30"/>
      <c r="B570" s="30"/>
      <c r="C570" s="30"/>
      <c r="D570" s="30"/>
      <c r="E570" s="30"/>
      <c r="F570" s="30"/>
      <c r="G570" s="30"/>
    </row>
    <row r="571" ht="15.75" customHeight="1">
      <c r="A571" s="30"/>
      <c r="B571" s="30"/>
      <c r="C571" s="30"/>
      <c r="D571" s="30"/>
      <c r="E571" s="30"/>
      <c r="F571" s="30"/>
      <c r="G571" s="30"/>
    </row>
    <row r="572" ht="15.75" customHeight="1">
      <c r="A572" s="30"/>
      <c r="B572" s="30"/>
      <c r="C572" s="30"/>
      <c r="D572" s="30"/>
      <c r="E572" s="30"/>
      <c r="F572" s="30"/>
      <c r="G572" s="30"/>
    </row>
    <row r="573" ht="15.75" customHeight="1">
      <c r="A573" s="30"/>
      <c r="B573" s="30"/>
      <c r="C573" s="30"/>
      <c r="D573" s="30"/>
      <c r="E573" s="30"/>
      <c r="F573" s="30"/>
      <c r="G573" s="30"/>
    </row>
    <row r="574" ht="15.75" customHeight="1">
      <c r="A574" s="30"/>
      <c r="B574" s="30"/>
      <c r="C574" s="30"/>
      <c r="D574" s="30"/>
      <c r="E574" s="30"/>
      <c r="F574" s="30"/>
      <c r="G574" s="30"/>
    </row>
    <row r="575" ht="15.75" customHeight="1">
      <c r="A575" s="30"/>
      <c r="B575" s="30"/>
      <c r="C575" s="30"/>
      <c r="D575" s="30"/>
      <c r="E575" s="30"/>
      <c r="F575" s="30"/>
      <c r="G575" s="30"/>
    </row>
    <row r="576" ht="15.75" customHeight="1">
      <c r="A576" s="30"/>
      <c r="B576" s="30"/>
      <c r="C576" s="30"/>
      <c r="D576" s="30"/>
      <c r="E576" s="30"/>
      <c r="F576" s="30"/>
      <c r="G576" s="30"/>
    </row>
    <row r="577" ht="15.75" customHeight="1">
      <c r="A577" s="30"/>
      <c r="B577" s="30"/>
      <c r="C577" s="30"/>
      <c r="D577" s="30"/>
      <c r="E577" s="30"/>
      <c r="F577" s="30"/>
      <c r="G577" s="30"/>
    </row>
    <row r="578" ht="15.75" customHeight="1">
      <c r="A578" s="30"/>
      <c r="B578" s="30"/>
      <c r="C578" s="30"/>
      <c r="D578" s="30"/>
      <c r="E578" s="30"/>
      <c r="F578" s="30"/>
      <c r="G578" s="30"/>
    </row>
    <row r="579" ht="15.75" customHeight="1">
      <c r="A579" s="30"/>
      <c r="B579" s="30"/>
      <c r="C579" s="30"/>
      <c r="D579" s="30"/>
      <c r="E579" s="30"/>
      <c r="F579" s="30"/>
      <c r="G579" s="30"/>
    </row>
    <row r="580" ht="15.75" customHeight="1">
      <c r="A580" s="30"/>
      <c r="B580" s="30"/>
      <c r="C580" s="30"/>
      <c r="D580" s="30"/>
      <c r="E580" s="30"/>
      <c r="F580" s="30"/>
      <c r="G580" s="30"/>
    </row>
    <row r="581" ht="15.75" customHeight="1">
      <c r="A581" s="30"/>
      <c r="B581" s="30"/>
      <c r="C581" s="30"/>
      <c r="D581" s="30"/>
      <c r="E581" s="30"/>
      <c r="F581" s="30"/>
      <c r="G581" s="30"/>
    </row>
    <row r="582" ht="15.75" customHeight="1">
      <c r="A582" s="30"/>
      <c r="B582" s="30"/>
      <c r="C582" s="30"/>
      <c r="D582" s="30"/>
      <c r="E582" s="30"/>
      <c r="F582" s="30"/>
      <c r="G582" s="30"/>
    </row>
    <row r="583" ht="15.75" customHeight="1">
      <c r="A583" s="30"/>
      <c r="B583" s="30"/>
      <c r="C583" s="30"/>
      <c r="D583" s="30"/>
      <c r="E583" s="30"/>
      <c r="F583" s="30"/>
      <c r="G583" s="30"/>
    </row>
    <row r="584" ht="15.75" customHeight="1">
      <c r="A584" s="30"/>
      <c r="B584" s="30"/>
      <c r="C584" s="30"/>
      <c r="D584" s="30"/>
      <c r="E584" s="30"/>
      <c r="F584" s="30"/>
      <c r="G584" s="30"/>
    </row>
    <row r="585" ht="15.75" customHeight="1">
      <c r="A585" s="30"/>
      <c r="B585" s="30"/>
      <c r="C585" s="30"/>
      <c r="D585" s="30"/>
      <c r="E585" s="30"/>
      <c r="F585" s="30"/>
      <c r="G585" s="30"/>
    </row>
    <row r="586" ht="15.75" customHeight="1">
      <c r="A586" s="30"/>
      <c r="B586" s="30"/>
      <c r="C586" s="30"/>
      <c r="D586" s="30"/>
      <c r="E586" s="30"/>
      <c r="F586" s="30"/>
      <c r="G586" s="30"/>
    </row>
    <row r="587" ht="15.75" customHeight="1">
      <c r="A587" s="30"/>
      <c r="B587" s="30"/>
      <c r="C587" s="30"/>
      <c r="D587" s="30"/>
      <c r="E587" s="30"/>
      <c r="F587" s="30"/>
      <c r="G587" s="30"/>
    </row>
    <row r="588" ht="15.75" customHeight="1">
      <c r="A588" s="30"/>
      <c r="B588" s="30"/>
      <c r="C588" s="30"/>
      <c r="D588" s="30"/>
      <c r="E588" s="30"/>
      <c r="F588" s="30"/>
      <c r="G588" s="30"/>
    </row>
    <row r="589" ht="15.75" customHeight="1">
      <c r="A589" s="30"/>
      <c r="B589" s="30"/>
      <c r="C589" s="30"/>
      <c r="D589" s="30"/>
      <c r="E589" s="30"/>
      <c r="F589" s="30"/>
      <c r="G589" s="30"/>
    </row>
    <row r="590" ht="15.75" customHeight="1">
      <c r="A590" s="30"/>
      <c r="B590" s="30"/>
      <c r="C590" s="30"/>
      <c r="D590" s="30"/>
      <c r="E590" s="30"/>
      <c r="F590" s="30"/>
      <c r="G590" s="30"/>
    </row>
    <row r="591" ht="15.75" customHeight="1">
      <c r="A591" s="30"/>
      <c r="B591" s="30"/>
      <c r="C591" s="30"/>
      <c r="D591" s="30"/>
      <c r="E591" s="30"/>
      <c r="F591" s="30"/>
      <c r="G591" s="30"/>
    </row>
    <row r="592" ht="15.75" customHeight="1">
      <c r="A592" s="30"/>
      <c r="B592" s="30"/>
      <c r="C592" s="30"/>
      <c r="D592" s="30"/>
      <c r="E592" s="30"/>
      <c r="F592" s="30"/>
      <c r="G592" s="30"/>
    </row>
    <row r="593" ht="15.75" customHeight="1">
      <c r="A593" s="30"/>
      <c r="B593" s="30"/>
      <c r="C593" s="30"/>
      <c r="D593" s="30"/>
      <c r="E593" s="30"/>
      <c r="F593" s="30"/>
      <c r="G593" s="30"/>
    </row>
    <row r="594" ht="15.75" customHeight="1">
      <c r="A594" s="30"/>
      <c r="B594" s="30"/>
      <c r="C594" s="30"/>
      <c r="D594" s="30"/>
      <c r="E594" s="30"/>
      <c r="F594" s="30"/>
      <c r="G594" s="30"/>
    </row>
    <row r="595" ht="15.75" customHeight="1">
      <c r="A595" s="30"/>
      <c r="B595" s="30"/>
      <c r="C595" s="30"/>
      <c r="D595" s="30"/>
      <c r="E595" s="30"/>
      <c r="F595" s="30"/>
      <c r="G595" s="30"/>
    </row>
    <row r="596" ht="15.75" customHeight="1">
      <c r="A596" s="30"/>
      <c r="B596" s="30"/>
      <c r="C596" s="30"/>
      <c r="D596" s="30"/>
      <c r="E596" s="30"/>
      <c r="F596" s="30"/>
      <c r="G596" s="30"/>
    </row>
    <row r="597" ht="15.75" customHeight="1">
      <c r="A597" s="30"/>
      <c r="B597" s="30"/>
      <c r="C597" s="30"/>
      <c r="D597" s="30"/>
      <c r="E597" s="30"/>
      <c r="F597" s="30"/>
      <c r="G597" s="30"/>
    </row>
    <row r="598" ht="15.75" customHeight="1">
      <c r="A598" s="30"/>
      <c r="B598" s="30"/>
      <c r="C598" s="30"/>
      <c r="D598" s="30"/>
      <c r="E598" s="30"/>
      <c r="F598" s="30"/>
      <c r="G598" s="30"/>
    </row>
    <row r="599" ht="15.75" customHeight="1">
      <c r="A599" s="30"/>
      <c r="B599" s="30"/>
      <c r="C599" s="30"/>
      <c r="D599" s="30"/>
      <c r="E599" s="30"/>
      <c r="F599" s="30"/>
      <c r="G599" s="30"/>
    </row>
    <row r="600" ht="15.75" customHeight="1">
      <c r="A600" s="30"/>
      <c r="B600" s="30"/>
      <c r="C600" s="30"/>
      <c r="D600" s="30"/>
      <c r="E600" s="30"/>
      <c r="F600" s="30"/>
      <c r="G600" s="30"/>
    </row>
    <row r="601" ht="15.75" customHeight="1">
      <c r="A601" s="30"/>
      <c r="B601" s="30"/>
      <c r="C601" s="30"/>
      <c r="D601" s="30"/>
      <c r="E601" s="30"/>
      <c r="F601" s="30"/>
      <c r="G601" s="30"/>
    </row>
    <row r="602" ht="15.75" customHeight="1">
      <c r="A602" s="30"/>
      <c r="B602" s="30"/>
      <c r="C602" s="30"/>
      <c r="D602" s="30"/>
      <c r="E602" s="30"/>
      <c r="F602" s="30"/>
      <c r="G602" s="30"/>
    </row>
    <row r="603" ht="15.75" customHeight="1">
      <c r="A603" s="30"/>
      <c r="B603" s="30"/>
      <c r="C603" s="30"/>
      <c r="D603" s="30"/>
      <c r="E603" s="30"/>
      <c r="F603" s="30"/>
      <c r="G603" s="30"/>
    </row>
    <row r="604" ht="15.75" customHeight="1">
      <c r="A604" s="30"/>
      <c r="B604" s="30"/>
      <c r="C604" s="30"/>
      <c r="D604" s="30"/>
      <c r="E604" s="30"/>
      <c r="F604" s="30"/>
      <c r="G604" s="30"/>
    </row>
    <row r="605" ht="15.75" customHeight="1">
      <c r="A605" s="30"/>
      <c r="B605" s="30"/>
      <c r="C605" s="30"/>
      <c r="D605" s="30"/>
      <c r="E605" s="30"/>
      <c r="F605" s="30"/>
      <c r="G605" s="30"/>
    </row>
    <row r="606" ht="15.75" customHeight="1">
      <c r="A606" s="30"/>
      <c r="B606" s="30"/>
      <c r="C606" s="30"/>
      <c r="D606" s="30"/>
      <c r="E606" s="30"/>
      <c r="F606" s="30"/>
      <c r="G606" s="30"/>
    </row>
    <row r="607" ht="15.75" customHeight="1">
      <c r="A607" s="30"/>
      <c r="B607" s="30"/>
      <c r="C607" s="30"/>
      <c r="D607" s="30"/>
      <c r="E607" s="30"/>
      <c r="F607" s="30"/>
      <c r="G607" s="30"/>
    </row>
    <row r="608" ht="15.75" customHeight="1">
      <c r="A608" s="30"/>
      <c r="B608" s="30"/>
      <c r="C608" s="30"/>
      <c r="D608" s="30"/>
      <c r="E608" s="30"/>
      <c r="F608" s="30"/>
      <c r="G608" s="30"/>
    </row>
    <row r="609" ht="15.75" customHeight="1">
      <c r="A609" s="30"/>
      <c r="B609" s="30"/>
      <c r="C609" s="30"/>
      <c r="D609" s="30"/>
      <c r="E609" s="30"/>
      <c r="F609" s="30"/>
      <c r="G609" s="30"/>
    </row>
    <row r="610" ht="15.75" customHeight="1">
      <c r="A610" s="30"/>
      <c r="B610" s="30"/>
      <c r="C610" s="30"/>
      <c r="D610" s="30"/>
      <c r="E610" s="30"/>
      <c r="F610" s="30"/>
      <c r="G610" s="30"/>
    </row>
    <row r="611" ht="15.75" customHeight="1">
      <c r="A611" s="30"/>
      <c r="B611" s="30"/>
      <c r="C611" s="30"/>
      <c r="D611" s="30"/>
      <c r="E611" s="30"/>
      <c r="F611" s="30"/>
      <c r="G611" s="30"/>
    </row>
    <row r="612" ht="15.75" customHeight="1">
      <c r="A612" s="30"/>
      <c r="B612" s="30"/>
      <c r="C612" s="30"/>
      <c r="D612" s="30"/>
      <c r="E612" s="30"/>
      <c r="F612" s="30"/>
      <c r="G612" s="30"/>
    </row>
    <row r="613" ht="15.75" customHeight="1">
      <c r="A613" s="30"/>
      <c r="B613" s="30"/>
      <c r="C613" s="30"/>
      <c r="D613" s="30"/>
      <c r="E613" s="30"/>
      <c r="F613" s="30"/>
      <c r="G613" s="30"/>
    </row>
    <row r="614" ht="15.75" customHeight="1">
      <c r="A614" s="30"/>
      <c r="B614" s="30"/>
      <c r="C614" s="30"/>
      <c r="D614" s="30"/>
      <c r="E614" s="30"/>
      <c r="F614" s="30"/>
      <c r="G614" s="30"/>
    </row>
    <row r="615" ht="15.75" customHeight="1">
      <c r="A615" s="30"/>
      <c r="B615" s="30"/>
      <c r="C615" s="30"/>
      <c r="D615" s="30"/>
      <c r="E615" s="30"/>
      <c r="F615" s="30"/>
      <c r="G615" s="30"/>
    </row>
    <row r="616" ht="15.75" customHeight="1">
      <c r="A616" s="30"/>
      <c r="B616" s="30"/>
      <c r="C616" s="30"/>
      <c r="D616" s="30"/>
      <c r="E616" s="30"/>
      <c r="F616" s="30"/>
      <c r="G616" s="30"/>
    </row>
    <row r="617" ht="15.75" customHeight="1">
      <c r="A617" s="30"/>
      <c r="B617" s="30"/>
      <c r="C617" s="30"/>
      <c r="D617" s="30"/>
      <c r="E617" s="30"/>
      <c r="F617" s="30"/>
      <c r="G617" s="30"/>
    </row>
    <row r="618" ht="15.75" customHeight="1">
      <c r="A618" s="30"/>
      <c r="B618" s="30"/>
      <c r="C618" s="30"/>
      <c r="D618" s="30"/>
      <c r="E618" s="30"/>
      <c r="F618" s="30"/>
      <c r="G618" s="30"/>
    </row>
    <row r="619" ht="15.75" customHeight="1">
      <c r="A619" s="30"/>
      <c r="B619" s="30"/>
      <c r="C619" s="30"/>
      <c r="D619" s="30"/>
      <c r="E619" s="30"/>
      <c r="F619" s="30"/>
      <c r="G619" s="30"/>
    </row>
    <row r="620" ht="15.75" customHeight="1">
      <c r="A620" s="30"/>
      <c r="B620" s="30"/>
      <c r="C620" s="30"/>
      <c r="D620" s="30"/>
      <c r="E620" s="30"/>
      <c r="F620" s="30"/>
      <c r="G620" s="30"/>
    </row>
    <row r="621" ht="15.75" customHeight="1">
      <c r="A621" s="30"/>
      <c r="B621" s="30"/>
      <c r="C621" s="30"/>
      <c r="D621" s="30"/>
      <c r="E621" s="30"/>
      <c r="F621" s="30"/>
      <c r="G621" s="30"/>
    </row>
    <row r="622" ht="15.75" customHeight="1">
      <c r="A622" s="30"/>
      <c r="B622" s="30"/>
      <c r="C622" s="30"/>
      <c r="D622" s="30"/>
      <c r="E622" s="30"/>
      <c r="F622" s="30"/>
      <c r="G622" s="30"/>
    </row>
    <row r="623" ht="15.75" customHeight="1">
      <c r="A623" s="30"/>
      <c r="B623" s="30"/>
      <c r="C623" s="30"/>
      <c r="D623" s="30"/>
      <c r="E623" s="30"/>
      <c r="F623" s="30"/>
      <c r="G623" s="30"/>
    </row>
    <row r="624" ht="15.75" customHeight="1">
      <c r="A624" s="30"/>
      <c r="B624" s="30"/>
      <c r="C624" s="30"/>
      <c r="D624" s="30"/>
      <c r="E624" s="30"/>
      <c r="F624" s="30"/>
      <c r="G624" s="30"/>
    </row>
    <row r="625" ht="15.75" customHeight="1">
      <c r="A625" s="30"/>
      <c r="B625" s="30"/>
      <c r="C625" s="30"/>
      <c r="D625" s="30"/>
      <c r="E625" s="30"/>
      <c r="F625" s="30"/>
      <c r="G625" s="30"/>
    </row>
    <row r="626" ht="15.75" customHeight="1">
      <c r="A626" s="30"/>
      <c r="B626" s="30"/>
      <c r="C626" s="30"/>
      <c r="D626" s="30"/>
      <c r="E626" s="30"/>
      <c r="F626" s="30"/>
      <c r="G626" s="30"/>
    </row>
    <row r="627" ht="15.75" customHeight="1">
      <c r="A627" s="30"/>
      <c r="B627" s="30"/>
      <c r="C627" s="30"/>
      <c r="D627" s="30"/>
      <c r="E627" s="30"/>
      <c r="F627" s="30"/>
      <c r="G627" s="30"/>
    </row>
    <row r="628" ht="15.75" customHeight="1">
      <c r="A628" s="30"/>
      <c r="B628" s="30"/>
      <c r="C628" s="30"/>
      <c r="D628" s="30"/>
      <c r="E628" s="30"/>
      <c r="F628" s="30"/>
      <c r="G628" s="30"/>
    </row>
    <row r="629" ht="15.75" customHeight="1">
      <c r="A629" s="30"/>
      <c r="B629" s="30"/>
      <c r="C629" s="30"/>
      <c r="D629" s="30"/>
      <c r="E629" s="30"/>
      <c r="F629" s="30"/>
      <c r="G629" s="30"/>
    </row>
    <row r="630" ht="15.75" customHeight="1">
      <c r="A630" s="30"/>
      <c r="B630" s="30"/>
      <c r="C630" s="30"/>
      <c r="D630" s="30"/>
      <c r="E630" s="30"/>
      <c r="F630" s="30"/>
      <c r="G630" s="30"/>
    </row>
    <row r="631" ht="15.75" customHeight="1">
      <c r="A631" s="30"/>
      <c r="B631" s="30"/>
      <c r="C631" s="30"/>
      <c r="D631" s="30"/>
      <c r="E631" s="30"/>
      <c r="F631" s="30"/>
      <c r="G631" s="30"/>
    </row>
    <row r="632" ht="15.75" customHeight="1">
      <c r="A632" s="30"/>
      <c r="B632" s="30"/>
      <c r="C632" s="30"/>
      <c r="D632" s="30"/>
      <c r="E632" s="30"/>
      <c r="F632" s="30"/>
      <c r="G632" s="30"/>
    </row>
    <row r="633" ht="15.75" customHeight="1">
      <c r="A633" s="30"/>
      <c r="B633" s="30"/>
      <c r="C633" s="30"/>
      <c r="D633" s="30"/>
      <c r="E633" s="30"/>
      <c r="F633" s="30"/>
      <c r="G633" s="30"/>
    </row>
    <row r="634" ht="15.75" customHeight="1">
      <c r="A634" s="30"/>
      <c r="B634" s="30"/>
      <c r="C634" s="30"/>
      <c r="D634" s="30"/>
      <c r="E634" s="30"/>
      <c r="F634" s="30"/>
      <c r="G634" s="30"/>
    </row>
    <row r="635" ht="15.75" customHeight="1">
      <c r="A635" s="30"/>
      <c r="B635" s="30"/>
      <c r="C635" s="30"/>
      <c r="D635" s="30"/>
      <c r="E635" s="30"/>
      <c r="F635" s="30"/>
      <c r="G635" s="30"/>
    </row>
    <row r="636" ht="15.75" customHeight="1">
      <c r="A636" s="30"/>
      <c r="B636" s="30"/>
      <c r="C636" s="30"/>
      <c r="D636" s="30"/>
      <c r="E636" s="30"/>
      <c r="F636" s="30"/>
      <c r="G636" s="30"/>
    </row>
    <row r="637" ht="15.75" customHeight="1">
      <c r="A637" s="30"/>
      <c r="B637" s="30"/>
      <c r="C637" s="30"/>
      <c r="D637" s="30"/>
      <c r="E637" s="30"/>
      <c r="F637" s="30"/>
      <c r="G637" s="30"/>
    </row>
    <row r="638" ht="15.75" customHeight="1">
      <c r="A638" s="30"/>
      <c r="B638" s="30"/>
      <c r="C638" s="30"/>
      <c r="D638" s="30"/>
      <c r="E638" s="30"/>
      <c r="F638" s="30"/>
      <c r="G638" s="30"/>
    </row>
    <row r="639" ht="15.75" customHeight="1">
      <c r="A639" s="30"/>
      <c r="B639" s="30"/>
      <c r="C639" s="30"/>
      <c r="D639" s="30"/>
      <c r="E639" s="30"/>
      <c r="F639" s="30"/>
      <c r="G639" s="30"/>
    </row>
    <row r="640" ht="15.75" customHeight="1">
      <c r="A640" s="30"/>
      <c r="B640" s="30"/>
      <c r="C640" s="30"/>
      <c r="D640" s="30"/>
      <c r="E640" s="30"/>
      <c r="F640" s="30"/>
      <c r="G640" s="30"/>
    </row>
    <row r="641" ht="15.75" customHeight="1">
      <c r="A641" s="30"/>
      <c r="B641" s="30"/>
      <c r="C641" s="30"/>
      <c r="D641" s="30"/>
      <c r="E641" s="30"/>
      <c r="F641" s="30"/>
      <c r="G641" s="30"/>
    </row>
    <row r="642" ht="15.75" customHeight="1">
      <c r="A642" s="30"/>
      <c r="B642" s="30"/>
      <c r="C642" s="30"/>
      <c r="D642" s="30"/>
      <c r="E642" s="30"/>
      <c r="F642" s="30"/>
      <c r="G642" s="30"/>
    </row>
    <row r="643" ht="15.75" customHeight="1">
      <c r="A643" s="30"/>
      <c r="B643" s="30"/>
      <c r="C643" s="30"/>
      <c r="D643" s="30"/>
      <c r="E643" s="30"/>
      <c r="F643" s="30"/>
      <c r="G643" s="30"/>
    </row>
    <row r="644" ht="15.75" customHeight="1">
      <c r="A644" s="30"/>
      <c r="B644" s="30"/>
      <c r="C644" s="30"/>
      <c r="D644" s="30"/>
      <c r="E644" s="30"/>
      <c r="F644" s="30"/>
      <c r="G644" s="30"/>
    </row>
    <row r="645" ht="15.75" customHeight="1">
      <c r="A645" s="30"/>
      <c r="B645" s="30"/>
      <c r="C645" s="30"/>
      <c r="D645" s="30"/>
      <c r="E645" s="30"/>
      <c r="F645" s="30"/>
      <c r="G645" s="30"/>
    </row>
    <row r="646" ht="15.75" customHeight="1">
      <c r="A646" s="30"/>
      <c r="B646" s="30"/>
      <c r="C646" s="30"/>
      <c r="D646" s="30"/>
      <c r="E646" s="30"/>
      <c r="F646" s="30"/>
      <c r="G646" s="30"/>
    </row>
    <row r="647" ht="15.75" customHeight="1">
      <c r="A647" s="30"/>
      <c r="B647" s="30"/>
      <c r="C647" s="30"/>
      <c r="D647" s="30"/>
      <c r="E647" s="30"/>
      <c r="F647" s="30"/>
      <c r="G647" s="30"/>
    </row>
    <row r="648" ht="15.75" customHeight="1">
      <c r="A648" s="30"/>
      <c r="B648" s="30"/>
      <c r="C648" s="30"/>
      <c r="D648" s="30"/>
      <c r="E648" s="30"/>
      <c r="F648" s="30"/>
      <c r="G648" s="30"/>
    </row>
    <row r="649" ht="15.75" customHeight="1">
      <c r="A649" s="30"/>
      <c r="B649" s="30"/>
      <c r="C649" s="30"/>
      <c r="D649" s="30"/>
      <c r="E649" s="30"/>
      <c r="F649" s="30"/>
      <c r="G649" s="30"/>
    </row>
    <row r="650" ht="15.75" customHeight="1">
      <c r="A650" s="30"/>
      <c r="B650" s="30"/>
      <c r="C650" s="30"/>
      <c r="D650" s="30"/>
      <c r="E650" s="30"/>
      <c r="F650" s="30"/>
      <c r="G650" s="30"/>
    </row>
    <row r="651" ht="15.75" customHeight="1">
      <c r="A651" s="30"/>
      <c r="B651" s="30"/>
      <c r="C651" s="30"/>
      <c r="D651" s="30"/>
      <c r="E651" s="30"/>
      <c r="F651" s="30"/>
      <c r="G651" s="30"/>
    </row>
    <row r="652" ht="15.75" customHeight="1">
      <c r="A652" s="30"/>
      <c r="B652" s="30"/>
      <c r="C652" s="30"/>
      <c r="D652" s="30"/>
      <c r="E652" s="30"/>
      <c r="F652" s="30"/>
      <c r="G652" s="30"/>
    </row>
    <row r="653" ht="15.75" customHeight="1">
      <c r="A653" s="30"/>
      <c r="B653" s="30"/>
      <c r="C653" s="30"/>
      <c r="D653" s="30"/>
      <c r="E653" s="30"/>
      <c r="F653" s="30"/>
      <c r="G653" s="30"/>
    </row>
    <row r="654" ht="15.75" customHeight="1">
      <c r="A654" s="30"/>
      <c r="B654" s="30"/>
      <c r="C654" s="30"/>
      <c r="D654" s="30"/>
      <c r="E654" s="30"/>
      <c r="F654" s="30"/>
      <c r="G654" s="30"/>
    </row>
    <row r="655" ht="15.75" customHeight="1">
      <c r="A655" s="30"/>
      <c r="B655" s="30"/>
      <c r="C655" s="30"/>
      <c r="D655" s="30"/>
      <c r="E655" s="30"/>
      <c r="F655" s="30"/>
      <c r="G655" s="30"/>
    </row>
    <row r="656" ht="15.75" customHeight="1">
      <c r="A656" s="30"/>
      <c r="B656" s="30"/>
      <c r="C656" s="30"/>
      <c r="D656" s="30"/>
      <c r="E656" s="30"/>
      <c r="F656" s="30"/>
      <c r="G656" s="30"/>
    </row>
    <row r="657" ht="15.75" customHeight="1">
      <c r="A657" s="30"/>
      <c r="B657" s="30"/>
      <c r="C657" s="30"/>
      <c r="D657" s="30"/>
      <c r="E657" s="30"/>
      <c r="F657" s="30"/>
      <c r="G657" s="30"/>
    </row>
    <row r="658" ht="15.75" customHeight="1">
      <c r="A658" s="30"/>
      <c r="B658" s="30"/>
      <c r="C658" s="30"/>
      <c r="D658" s="30"/>
      <c r="E658" s="30"/>
      <c r="F658" s="30"/>
      <c r="G658" s="30"/>
    </row>
    <row r="659" ht="15.75" customHeight="1">
      <c r="A659" s="30"/>
      <c r="B659" s="30"/>
      <c r="C659" s="30"/>
      <c r="D659" s="30"/>
      <c r="E659" s="30"/>
      <c r="F659" s="30"/>
      <c r="G659" s="30"/>
    </row>
    <row r="660" ht="15.75" customHeight="1">
      <c r="A660" s="30"/>
      <c r="B660" s="30"/>
      <c r="C660" s="30"/>
      <c r="D660" s="30"/>
      <c r="E660" s="30"/>
      <c r="F660" s="30"/>
      <c r="G660" s="30"/>
    </row>
    <row r="661" ht="15.75" customHeight="1">
      <c r="A661" s="30"/>
      <c r="B661" s="30"/>
      <c r="C661" s="30"/>
      <c r="D661" s="30"/>
      <c r="E661" s="30"/>
      <c r="F661" s="30"/>
      <c r="G661" s="30"/>
    </row>
    <row r="662" ht="15.75" customHeight="1">
      <c r="A662" s="30"/>
      <c r="B662" s="30"/>
      <c r="C662" s="30"/>
      <c r="D662" s="30"/>
      <c r="E662" s="30"/>
      <c r="F662" s="30"/>
      <c r="G662" s="30"/>
    </row>
    <row r="663" ht="15.75" customHeight="1">
      <c r="A663" s="30"/>
      <c r="B663" s="30"/>
      <c r="C663" s="30"/>
      <c r="D663" s="30"/>
      <c r="E663" s="30"/>
      <c r="F663" s="30"/>
      <c r="G663" s="30"/>
    </row>
    <row r="664" ht="15.75" customHeight="1">
      <c r="A664" s="30"/>
      <c r="B664" s="30"/>
      <c r="C664" s="30"/>
      <c r="D664" s="30"/>
      <c r="E664" s="30"/>
      <c r="F664" s="30"/>
      <c r="G664" s="30"/>
    </row>
    <row r="665" ht="15.75" customHeight="1">
      <c r="A665" s="30"/>
      <c r="B665" s="30"/>
      <c r="C665" s="30"/>
      <c r="D665" s="30"/>
      <c r="E665" s="30"/>
      <c r="F665" s="30"/>
      <c r="G665" s="30"/>
    </row>
    <row r="666" ht="15.75" customHeight="1">
      <c r="A666" s="30"/>
      <c r="B666" s="30"/>
      <c r="C666" s="30"/>
      <c r="D666" s="30"/>
      <c r="E666" s="30"/>
      <c r="F666" s="30"/>
      <c r="G666" s="30"/>
    </row>
    <row r="667" ht="15.75" customHeight="1">
      <c r="A667" s="30"/>
      <c r="B667" s="30"/>
      <c r="C667" s="30"/>
      <c r="D667" s="30"/>
      <c r="E667" s="30"/>
      <c r="F667" s="30"/>
      <c r="G667" s="30"/>
    </row>
    <row r="668" ht="15.75" customHeight="1">
      <c r="A668" s="30"/>
      <c r="B668" s="30"/>
      <c r="C668" s="30"/>
      <c r="D668" s="30"/>
      <c r="E668" s="30"/>
      <c r="F668" s="30"/>
      <c r="G668" s="30"/>
    </row>
    <row r="669" ht="15.75" customHeight="1">
      <c r="A669" s="30"/>
      <c r="B669" s="30"/>
      <c r="C669" s="30"/>
      <c r="D669" s="30"/>
      <c r="E669" s="30"/>
      <c r="F669" s="30"/>
      <c r="G669" s="30"/>
    </row>
    <row r="670" ht="15.75" customHeight="1">
      <c r="A670" s="30"/>
      <c r="B670" s="30"/>
      <c r="C670" s="30"/>
      <c r="D670" s="30"/>
      <c r="E670" s="30"/>
      <c r="F670" s="30"/>
      <c r="G670" s="30"/>
    </row>
    <row r="671" ht="15.75" customHeight="1">
      <c r="A671" s="30"/>
      <c r="B671" s="30"/>
      <c r="C671" s="30"/>
      <c r="D671" s="30"/>
      <c r="E671" s="30"/>
      <c r="F671" s="30"/>
      <c r="G671" s="30"/>
    </row>
    <row r="672" ht="15.75" customHeight="1">
      <c r="A672" s="30"/>
      <c r="B672" s="30"/>
      <c r="C672" s="30"/>
      <c r="D672" s="30"/>
      <c r="E672" s="30"/>
      <c r="F672" s="30"/>
      <c r="G672" s="30"/>
    </row>
    <row r="673" ht="15.75" customHeight="1">
      <c r="A673" s="30"/>
      <c r="B673" s="30"/>
      <c r="C673" s="30"/>
      <c r="D673" s="30"/>
      <c r="E673" s="30"/>
      <c r="F673" s="30"/>
      <c r="G673" s="30"/>
    </row>
    <row r="674" ht="15.75" customHeight="1">
      <c r="A674" s="30"/>
      <c r="B674" s="30"/>
      <c r="C674" s="30"/>
      <c r="D674" s="30"/>
      <c r="E674" s="30"/>
      <c r="F674" s="30"/>
      <c r="G674" s="30"/>
    </row>
    <row r="675" ht="15.75" customHeight="1">
      <c r="A675" s="30"/>
      <c r="B675" s="30"/>
      <c r="C675" s="30"/>
      <c r="D675" s="30"/>
      <c r="E675" s="30"/>
      <c r="F675" s="30"/>
      <c r="G675" s="30"/>
    </row>
    <row r="676" ht="15.75" customHeight="1">
      <c r="A676" s="30"/>
      <c r="B676" s="30"/>
      <c r="C676" s="30"/>
      <c r="D676" s="30"/>
      <c r="E676" s="30"/>
      <c r="F676" s="30"/>
      <c r="G676" s="30"/>
    </row>
    <row r="677" ht="15.75" customHeight="1">
      <c r="A677" s="30"/>
      <c r="B677" s="30"/>
      <c r="C677" s="30"/>
      <c r="D677" s="30"/>
      <c r="E677" s="30"/>
      <c r="F677" s="30"/>
      <c r="G677" s="30"/>
    </row>
    <row r="678" ht="15.75" customHeight="1">
      <c r="A678" s="30"/>
      <c r="B678" s="30"/>
      <c r="C678" s="30"/>
      <c r="D678" s="30"/>
      <c r="E678" s="30"/>
      <c r="F678" s="30"/>
      <c r="G678" s="30"/>
    </row>
    <row r="679" ht="15.75" customHeight="1">
      <c r="A679" s="30"/>
      <c r="B679" s="30"/>
      <c r="C679" s="30"/>
      <c r="D679" s="30"/>
      <c r="E679" s="30"/>
      <c r="F679" s="30"/>
      <c r="G679" s="30"/>
    </row>
    <row r="680" ht="15.75" customHeight="1">
      <c r="A680" s="30"/>
      <c r="B680" s="30"/>
      <c r="C680" s="30"/>
      <c r="D680" s="30"/>
      <c r="E680" s="30"/>
      <c r="F680" s="30"/>
      <c r="G680" s="30"/>
    </row>
    <row r="681" ht="15.75" customHeight="1">
      <c r="A681" s="30"/>
      <c r="B681" s="30"/>
      <c r="C681" s="30"/>
      <c r="D681" s="30"/>
      <c r="E681" s="30"/>
      <c r="F681" s="30"/>
      <c r="G681" s="30"/>
    </row>
    <row r="682" ht="15.75" customHeight="1">
      <c r="A682" s="30"/>
      <c r="B682" s="30"/>
      <c r="C682" s="30"/>
      <c r="D682" s="30"/>
      <c r="E682" s="30"/>
      <c r="F682" s="30"/>
      <c r="G682" s="30"/>
    </row>
    <row r="683" ht="15.75" customHeight="1">
      <c r="A683" s="30"/>
      <c r="B683" s="30"/>
      <c r="C683" s="30"/>
      <c r="D683" s="30"/>
      <c r="E683" s="30"/>
      <c r="F683" s="30"/>
      <c r="G683" s="30"/>
    </row>
    <row r="684" ht="15.75" customHeight="1">
      <c r="A684" s="30"/>
      <c r="B684" s="30"/>
      <c r="C684" s="30"/>
      <c r="D684" s="30"/>
      <c r="E684" s="30"/>
      <c r="F684" s="30"/>
      <c r="G684" s="30"/>
    </row>
    <row r="685" ht="15.75" customHeight="1">
      <c r="A685" s="30"/>
      <c r="B685" s="30"/>
      <c r="C685" s="30"/>
      <c r="D685" s="30"/>
      <c r="E685" s="30"/>
      <c r="F685" s="30"/>
      <c r="G685" s="30"/>
    </row>
    <row r="686" ht="15.75" customHeight="1">
      <c r="A686" s="30"/>
      <c r="B686" s="30"/>
      <c r="C686" s="30"/>
      <c r="D686" s="30"/>
      <c r="E686" s="30"/>
      <c r="F686" s="30"/>
      <c r="G686" s="30"/>
    </row>
    <row r="687" ht="15.75" customHeight="1">
      <c r="A687" s="30"/>
      <c r="B687" s="30"/>
      <c r="C687" s="30"/>
      <c r="D687" s="30"/>
      <c r="E687" s="30"/>
      <c r="F687" s="30"/>
      <c r="G687" s="30"/>
    </row>
    <row r="688" ht="15.75" customHeight="1">
      <c r="A688" s="30"/>
      <c r="B688" s="30"/>
      <c r="C688" s="30"/>
      <c r="D688" s="30"/>
      <c r="E688" s="30"/>
      <c r="F688" s="30"/>
      <c r="G688" s="30"/>
    </row>
    <row r="689" ht="15.75" customHeight="1">
      <c r="A689" s="30"/>
      <c r="B689" s="30"/>
      <c r="C689" s="30"/>
      <c r="D689" s="30"/>
      <c r="E689" s="30"/>
      <c r="F689" s="30"/>
      <c r="G689" s="30"/>
    </row>
    <row r="690" ht="15.75" customHeight="1">
      <c r="A690" s="30"/>
      <c r="B690" s="30"/>
      <c r="C690" s="30"/>
      <c r="D690" s="30"/>
      <c r="E690" s="30"/>
      <c r="F690" s="30"/>
      <c r="G690" s="30"/>
    </row>
    <row r="691" ht="15.75" customHeight="1">
      <c r="A691" s="30"/>
      <c r="B691" s="30"/>
      <c r="C691" s="30"/>
      <c r="D691" s="30"/>
      <c r="E691" s="30"/>
      <c r="F691" s="30"/>
      <c r="G691" s="30"/>
    </row>
    <row r="692" ht="15.75" customHeight="1">
      <c r="A692" s="30"/>
      <c r="B692" s="30"/>
      <c r="C692" s="30"/>
      <c r="D692" s="30"/>
      <c r="E692" s="30"/>
      <c r="F692" s="30"/>
      <c r="G692" s="30"/>
    </row>
    <row r="693" ht="15.75" customHeight="1">
      <c r="A693" s="30"/>
      <c r="B693" s="30"/>
      <c r="C693" s="30"/>
      <c r="D693" s="30"/>
      <c r="E693" s="30"/>
      <c r="F693" s="30"/>
      <c r="G693" s="30"/>
    </row>
    <row r="694" ht="15.75" customHeight="1">
      <c r="A694" s="30"/>
      <c r="B694" s="30"/>
      <c r="C694" s="30"/>
      <c r="D694" s="30"/>
      <c r="E694" s="30"/>
      <c r="F694" s="30"/>
      <c r="G694" s="30"/>
    </row>
    <row r="695" ht="15.75" customHeight="1">
      <c r="A695" s="30"/>
      <c r="B695" s="30"/>
      <c r="C695" s="30"/>
      <c r="D695" s="30"/>
      <c r="E695" s="30"/>
      <c r="F695" s="30"/>
      <c r="G695" s="30"/>
    </row>
    <row r="696" ht="15.75" customHeight="1">
      <c r="A696" s="30"/>
      <c r="B696" s="30"/>
      <c r="C696" s="30"/>
      <c r="D696" s="30"/>
      <c r="E696" s="30"/>
      <c r="F696" s="30"/>
      <c r="G696" s="30"/>
    </row>
    <row r="697" ht="15.75" customHeight="1">
      <c r="A697" s="30"/>
      <c r="B697" s="30"/>
      <c r="C697" s="30"/>
      <c r="D697" s="30"/>
      <c r="E697" s="30"/>
      <c r="F697" s="30"/>
      <c r="G697" s="30"/>
    </row>
    <row r="698" ht="15.75" customHeight="1">
      <c r="A698" s="30"/>
      <c r="B698" s="30"/>
      <c r="C698" s="30"/>
      <c r="D698" s="30"/>
      <c r="E698" s="30"/>
      <c r="F698" s="30"/>
      <c r="G698" s="30"/>
    </row>
    <row r="699" ht="15.75" customHeight="1">
      <c r="A699" s="30"/>
      <c r="B699" s="30"/>
      <c r="C699" s="30"/>
      <c r="D699" s="30"/>
      <c r="E699" s="30"/>
      <c r="F699" s="30"/>
      <c r="G699" s="30"/>
    </row>
    <row r="700" ht="15.75" customHeight="1">
      <c r="A700" s="30"/>
      <c r="B700" s="30"/>
      <c r="C700" s="30"/>
      <c r="D700" s="30"/>
      <c r="E700" s="30"/>
      <c r="F700" s="30"/>
      <c r="G700" s="30"/>
    </row>
    <row r="701" ht="15.75" customHeight="1">
      <c r="A701" s="30"/>
      <c r="B701" s="30"/>
      <c r="C701" s="30"/>
      <c r="D701" s="30"/>
      <c r="E701" s="30"/>
      <c r="F701" s="30"/>
      <c r="G701" s="30"/>
    </row>
    <row r="702" ht="15.75" customHeight="1">
      <c r="A702" s="30"/>
      <c r="B702" s="30"/>
      <c r="C702" s="30"/>
      <c r="D702" s="30"/>
      <c r="E702" s="30"/>
      <c r="F702" s="30"/>
      <c r="G702" s="30"/>
    </row>
    <row r="703" ht="15.75" customHeight="1">
      <c r="A703" s="30"/>
      <c r="B703" s="30"/>
      <c r="C703" s="30"/>
      <c r="D703" s="30"/>
      <c r="E703" s="30"/>
      <c r="F703" s="30"/>
      <c r="G703" s="30"/>
    </row>
    <row r="704" ht="15.75" customHeight="1">
      <c r="A704" s="30"/>
      <c r="B704" s="30"/>
      <c r="C704" s="30"/>
      <c r="D704" s="30"/>
      <c r="E704" s="30"/>
      <c r="F704" s="30"/>
      <c r="G704" s="30"/>
    </row>
    <row r="705" ht="15.75" customHeight="1">
      <c r="A705" s="30"/>
      <c r="B705" s="30"/>
      <c r="C705" s="30"/>
      <c r="D705" s="30"/>
      <c r="E705" s="30"/>
      <c r="F705" s="30"/>
      <c r="G705" s="30"/>
    </row>
    <row r="706" ht="15.75" customHeight="1">
      <c r="A706" s="30"/>
      <c r="B706" s="30"/>
      <c r="C706" s="30"/>
      <c r="D706" s="30"/>
      <c r="E706" s="30"/>
      <c r="F706" s="30"/>
      <c r="G706" s="30"/>
    </row>
    <row r="707" ht="15.75" customHeight="1">
      <c r="A707" s="30"/>
      <c r="B707" s="30"/>
      <c r="C707" s="30"/>
      <c r="D707" s="30"/>
      <c r="E707" s="30"/>
      <c r="F707" s="30"/>
      <c r="G707" s="30"/>
    </row>
    <row r="708" ht="15.75" customHeight="1">
      <c r="A708" s="30"/>
      <c r="B708" s="30"/>
      <c r="C708" s="30"/>
      <c r="D708" s="30"/>
      <c r="E708" s="30"/>
      <c r="F708" s="30"/>
      <c r="G708" s="30"/>
    </row>
    <row r="709" ht="15.75" customHeight="1">
      <c r="A709" s="30"/>
      <c r="B709" s="30"/>
      <c r="C709" s="30"/>
      <c r="D709" s="30"/>
      <c r="E709" s="30"/>
      <c r="F709" s="30"/>
      <c r="G709" s="30"/>
    </row>
    <row r="710" ht="15.75" customHeight="1">
      <c r="A710" s="30"/>
      <c r="B710" s="30"/>
      <c r="C710" s="30"/>
      <c r="D710" s="30"/>
      <c r="E710" s="30"/>
      <c r="F710" s="30"/>
      <c r="G710" s="30"/>
    </row>
    <row r="711" ht="15.75" customHeight="1">
      <c r="A711" s="30"/>
      <c r="B711" s="30"/>
      <c r="C711" s="30"/>
      <c r="D711" s="30"/>
      <c r="E711" s="30"/>
      <c r="F711" s="30"/>
      <c r="G711" s="30"/>
    </row>
    <row r="712" ht="15.75" customHeight="1">
      <c r="A712" s="30"/>
      <c r="B712" s="30"/>
      <c r="C712" s="30"/>
      <c r="D712" s="30"/>
      <c r="E712" s="30"/>
      <c r="F712" s="30"/>
      <c r="G712" s="30"/>
    </row>
    <row r="713" ht="15.75" customHeight="1">
      <c r="A713" s="30"/>
      <c r="B713" s="30"/>
      <c r="C713" s="30"/>
      <c r="D713" s="30"/>
      <c r="E713" s="30"/>
      <c r="F713" s="30"/>
      <c r="G713" s="30"/>
    </row>
    <row r="714" ht="15.75" customHeight="1">
      <c r="A714" s="30"/>
      <c r="B714" s="30"/>
      <c r="C714" s="30"/>
      <c r="D714" s="30"/>
      <c r="E714" s="30"/>
      <c r="F714" s="30"/>
      <c r="G714" s="30"/>
    </row>
    <row r="715" ht="15.75" customHeight="1">
      <c r="A715" s="30"/>
      <c r="B715" s="30"/>
      <c r="C715" s="30"/>
      <c r="D715" s="30"/>
      <c r="E715" s="30"/>
      <c r="F715" s="30"/>
      <c r="G715" s="30"/>
    </row>
    <row r="716" ht="15.75" customHeight="1">
      <c r="A716" s="30"/>
      <c r="B716" s="30"/>
      <c r="C716" s="30"/>
      <c r="D716" s="30"/>
      <c r="E716" s="30"/>
      <c r="F716" s="30"/>
      <c r="G716" s="30"/>
    </row>
    <row r="717" ht="15.75" customHeight="1">
      <c r="A717" s="30"/>
      <c r="B717" s="30"/>
      <c r="C717" s="30"/>
      <c r="D717" s="30"/>
      <c r="E717" s="30"/>
      <c r="F717" s="30"/>
      <c r="G717" s="30"/>
    </row>
    <row r="718" ht="15.75" customHeight="1">
      <c r="A718" s="30"/>
      <c r="B718" s="30"/>
      <c r="C718" s="30"/>
      <c r="D718" s="30"/>
      <c r="E718" s="30"/>
      <c r="F718" s="30"/>
      <c r="G718" s="30"/>
    </row>
    <row r="719" ht="15.75" customHeight="1">
      <c r="A719" s="30"/>
      <c r="B719" s="30"/>
      <c r="C719" s="30"/>
      <c r="D719" s="30"/>
      <c r="E719" s="30"/>
      <c r="F719" s="30"/>
      <c r="G719" s="30"/>
    </row>
    <row r="720" ht="15.75" customHeight="1">
      <c r="A720" s="30"/>
      <c r="B720" s="30"/>
      <c r="C720" s="30"/>
      <c r="D720" s="30"/>
      <c r="E720" s="30"/>
      <c r="F720" s="30"/>
      <c r="G720" s="30"/>
    </row>
    <row r="721" ht="15.75" customHeight="1">
      <c r="A721" s="30"/>
      <c r="B721" s="30"/>
      <c r="C721" s="30"/>
      <c r="D721" s="30"/>
      <c r="E721" s="30"/>
      <c r="F721" s="30"/>
      <c r="G721" s="30"/>
    </row>
    <row r="722" ht="15.75" customHeight="1">
      <c r="A722" s="30"/>
      <c r="B722" s="30"/>
      <c r="C722" s="30"/>
      <c r="D722" s="30"/>
      <c r="E722" s="30"/>
      <c r="F722" s="30"/>
      <c r="G722" s="30"/>
    </row>
    <row r="723" ht="15.75" customHeight="1">
      <c r="A723" s="30"/>
      <c r="B723" s="30"/>
      <c r="C723" s="30"/>
      <c r="D723" s="30"/>
      <c r="E723" s="30"/>
      <c r="F723" s="30"/>
      <c r="G723" s="30"/>
    </row>
    <row r="724" ht="15.75" customHeight="1">
      <c r="A724" s="30"/>
      <c r="B724" s="30"/>
      <c r="C724" s="30"/>
      <c r="D724" s="30"/>
      <c r="E724" s="30"/>
      <c r="F724" s="30"/>
      <c r="G724" s="30"/>
    </row>
    <row r="725" ht="15.75" customHeight="1">
      <c r="A725" s="30"/>
      <c r="B725" s="30"/>
      <c r="C725" s="30"/>
      <c r="D725" s="30"/>
      <c r="E725" s="30"/>
      <c r="F725" s="30"/>
      <c r="G725" s="30"/>
    </row>
    <row r="726" ht="15.75" customHeight="1">
      <c r="A726" s="30"/>
      <c r="B726" s="30"/>
      <c r="C726" s="30"/>
      <c r="D726" s="30"/>
      <c r="E726" s="30"/>
      <c r="F726" s="30"/>
      <c r="G726" s="30"/>
    </row>
    <row r="727" ht="15.75" customHeight="1">
      <c r="A727" s="30"/>
      <c r="B727" s="30"/>
      <c r="C727" s="30"/>
      <c r="D727" s="30"/>
      <c r="E727" s="30"/>
      <c r="F727" s="30"/>
      <c r="G727" s="30"/>
    </row>
    <row r="728" ht="15.75" customHeight="1">
      <c r="A728" s="30"/>
      <c r="B728" s="30"/>
      <c r="C728" s="30"/>
      <c r="D728" s="30"/>
      <c r="E728" s="30"/>
      <c r="F728" s="30"/>
      <c r="G728" s="30"/>
    </row>
    <row r="729" ht="15.75" customHeight="1">
      <c r="A729" s="30"/>
      <c r="B729" s="30"/>
      <c r="C729" s="30"/>
      <c r="D729" s="30"/>
      <c r="E729" s="30"/>
      <c r="F729" s="30"/>
      <c r="G729" s="30"/>
    </row>
    <row r="730" ht="15.75" customHeight="1">
      <c r="A730" s="30"/>
      <c r="B730" s="30"/>
      <c r="C730" s="30"/>
      <c r="D730" s="30"/>
      <c r="E730" s="30"/>
      <c r="F730" s="30"/>
      <c r="G730" s="30"/>
    </row>
    <row r="731" ht="15.75" customHeight="1">
      <c r="A731" s="30"/>
      <c r="B731" s="30"/>
      <c r="C731" s="30"/>
      <c r="D731" s="30"/>
      <c r="E731" s="30"/>
      <c r="F731" s="30"/>
      <c r="G731" s="30"/>
    </row>
    <row r="732" ht="15.75" customHeight="1">
      <c r="A732" s="30"/>
      <c r="B732" s="30"/>
      <c r="C732" s="30"/>
      <c r="D732" s="30"/>
      <c r="E732" s="30"/>
      <c r="F732" s="30"/>
      <c r="G732" s="30"/>
    </row>
    <row r="733" ht="15.75" customHeight="1">
      <c r="A733" s="30"/>
      <c r="B733" s="30"/>
      <c r="C733" s="30"/>
      <c r="D733" s="30"/>
      <c r="E733" s="30"/>
      <c r="F733" s="30"/>
      <c r="G733" s="30"/>
    </row>
    <row r="734" ht="15.75" customHeight="1">
      <c r="A734" s="30"/>
      <c r="B734" s="30"/>
      <c r="C734" s="30"/>
      <c r="D734" s="30"/>
      <c r="E734" s="30"/>
      <c r="F734" s="30"/>
      <c r="G734" s="30"/>
    </row>
    <row r="735" ht="15.75" customHeight="1">
      <c r="A735" s="30"/>
      <c r="B735" s="30"/>
      <c r="C735" s="30"/>
      <c r="D735" s="30"/>
      <c r="E735" s="30"/>
      <c r="F735" s="30"/>
      <c r="G735" s="30"/>
    </row>
    <row r="736" ht="15.75" customHeight="1">
      <c r="A736" s="30"/>
      <c r="B736" s="30"/>
      <c r="C736" s="30"/>
      <c r="D736" s="30"/>
      <c r="E736" s="30"/>
      <c r="F736" s="30"/>
      <c r="G736" s="30"/>
    </row>
    <row r="737" ht="15.75" customHeight="1">
      <c r="A737" s="30"/>
      <c r="B737" s="30"/>
      <c r="C737" s="30"/>
      <c r="D737" s="30"/>
      <c r="E737" s="30"/>
      <c r="F737" s="30"/>
      <c r="G737" s="30"/>
    </row>
    <row r="738" ht="15.75" customHeight="1">
      <c r="A738" s="30"/>
      <c r="B738" s="30"/>
      <c r="C738" s="30"/>
      <c r="D738" s="30"/>
      <c r="E738" s="30"/>
      <c r="F738" s="30"/>
      <c r="G738" s="30"/>
    </row>
    <row r="739" ht="15.75" customHeight="1">
      <c r="A739" s="30"/>
      <c r="B739" s="30"/>
      <c r="C739" s="30"/>
      <c r="D739" s="30"/>
      <c r="E739" s="30"/>
      <c r="F739" s="30"/>
      <c r="G739" s="30"/>
    </row>
    <row r="740" ht="15.75" customHeight="1">
      <c r="A740" s="30"/>
      <c r="B740" s="30"/>
      <c r="C740" s="30"/>
      <c r="D740" s="30"/>
      <c r="E740" s="30"/>
      <c r="F740" s="30"/>
      <c r="G740" s="30"/>
    </row>
    <row r="741" ht="15.75" customHeight="1">
      <c r="A741" s="30"/>
      <c r="B741" s="30"/>
      <c r="C741" s="30"/>
      <c r="D741" s="30"/>
      <c r="E741" s="30"/>
      <c r="F741" s="30"/>
      <c r="G741" s="30"/>
    </row>
    <row r="742" ht="15.75" customHeight="1">
      <c r="A742" s="30"/>
      <c r="B742" s="30"/>
      <c r="C742" s="30"/>
      <c r="D742" s="30"/>
      <c r="E742" s="30"/>
      <c r="F742" s="30"/>
      <c r="G742" s="30"/>
    </row>
    <row r="743" ht="15.75" customHeight="1">
      <c r="A743" s="30"/>
      <c r="B743" s="30"/>
      <c r="C743" s="30"/>
      <c r="D743" s="30"/>
      <c r="E743" s="30"/>
      <c r="F743" s="30"/>
      <c r="G743" s="30"/>
    </row>
    <row r="744" ht="15.75" customHeight="1">
      <c r="A744" s="30"/>
      <c r="B744" s="30"/>
      <c r="C744" s="30"/>
      <c r="D744" s="30"/>
      <c r="E744" s="30"/>
      <c r="F744" s="30"/>
      <c r="G744" s="30"/>
    </row>
    <row r="745" ht="15.75" customHeight="1">
      <c r="A745" s="30"/>
      <c r="B745" s="30"/>
      <c r="C745" s="30"/>
      <c r="D745" s="30"/>
      <c r="E745" s="30"/>
      <c r="F745" s="30"/>
      <c r="G745" s="30"/>
    </row>
    <row r="746" ht="15.75" customHeight="1">
      <c r="A746" s="30"/>
      <c r="B746" s="30"/>
      <c r="C746" s="30"/>
      <c r="D746" s="30"/>
      <c r="E746" s="30"/>
      <c r="F746" s="30"/>
      <c r="G746" s="30"/>
    </row>
    <row r="747" ht="15.75" customHeight="1">
      <c r="A747" s="30"/>
      <c r="B747" s="30"/>
      <c r="C747" s="30"/>
      <c r="D747" s="30"/>
      <c r="E747" s="30"/>
      <c r="F747" s="30"/>
      <c r="G747" s="30"/>
    </row>
    <row r="748" ht="15.75" customHeight="1">
      <c r="A748" s="30"/>
      <c r="B748" s="30"/>
      <c r="C748" s="30"/>
      <c r="D748" s="30"/>
      <c r="E748" s="30"/>
      <c r="F748" s="30"/>
      <c r="G748" s="30"/>
    </row>
    <row r="749" ht="15.75" customHeight="1">
      <c r="A749" s="30"/>
      <c r="B749" s="30"/>
      <c r="C749" s="30"/>
      <c r="D749" s="30"/>
      <c r="E749" s="30"/>
      <c r="F749" s="30"/>
      <c r="G749" s="30"/>
    </row>
    <row r="750" ht="15.75" customHeight="1">
      <c r="A750" s="30"/>
      <c r="B750" s="30"/>
      <c r="C750" s="30"/>
      <c r="D750" s="30"/>
      <c r="E750" s="30"/>
      <c r="F750" s="30"/>
      <c r="G750" s="30"/>
    </row>
    <row r="751" ht="15.75" customHeight="1">
      <c r="A751" s="30"/>
      <c r="B751" s="30"/>
      <c r="C751" s="30"/>
      <c r="D751" s="30"/>
      <c r="E751" s="30"/>
      <c r="F751" s="30"/>
      <c r="G751" s="30"/>
    </row>
    <row r="752" ht="15.75" customHeight="1">
      <c r="A752" s="30"/>
      <c r="B752" s="30"/>
      <c r="C752" s="30"/>
      <c r="D752" s="30"/>
      <c r="E752" s="30"/>
      <c r="F752" s="30"/>
      <c r="G752" s="30"/>
    </row>
    <row r="753" ht="15.75" customHeight="1">
      <c r="A753" s="30"/>
      <c r="B753" s="30"/>
      <c r="C753" s="30"/>
      <c r="D753" s="30"/>
      <c r="E753" s="30"/>
      <c r="F753" s="30"/>
      <c r="G753" s="30"/>
    </row>
    <row r="754" ht="15.75" customHeight="1">
      <c r="A754" s="30"/>
      <c r="B754" s="30"/>
      <c r="C754" s="30"/>
      <c r="D754" s="30"/>
      <c r="E754" s="30"/>
      <c r="F754" s="30"/>
      <c r="G754" s="30"/>
    </row>
    <row r="755" ht="15.75" customHeight="1">
      <c r="A755" s="30"/>
      <c r="B755" s="30"/>
      <c r="C755" s="30"/>
      <c r="D755" s="30"/>
      <c r="E755" s="30"/>
      <c r="F755" s="30"/>
      <c r="G755" s="30"/>
    </row>
    <row r="756" ht="15.75" customHeight="1">
      <c r="A756" s="30"/>
      <c r="B756" s="30"/>
      <c r="C756" s="30"/>
      <c r="D756" s="30"/>
      <c r="E756" s="30"/>
      <c r="F756" s="30"/>
      <c r="G756" s="30"/>
    </row>
    <row r="757" ht="15.75" customHeight="1">
      <c r="A757" s="30"/>
      <c r="B757" s="30"/>
      <c r="C757" s="30"/>
      <c r="D757" s="30"/>
      <c r="E757" s="30"/>
      <c r="F757" s="30"/>
      <c r="G757" s="30"/>
    </row>
    <row r="758" ht="15.75" customHeight="1">
      <c r="A758" s="30"/>
      <c r="B758" s="30"/>
      <c r="C758" s="30"/>
      <c r="D758" s="30"/>
      <c r="E758" s="30"/>
      <c r="F758" s="30"/>
      <c r="G758" s="30"/>
    </row>
    <row r="759" ht="15.75" customHeight="1">
      <c r="A759" s="30"/>
      <c r="B759" s="30"/>
      <c r="C759" s="30"/>
      <c r="D759" s="30"/>
      <c r="E759" s="30"/>
      <c r="F759" s="30"/>
      <c r="G759" s="30"/>
    </row>
    <row r="760" ht="15.75" customHeight="1">
      <c r="A760" s="30"/>
      <c r="B760" s="30"/>
      <c r="C760" s="30"/>
      <c r="D760" s="30"/>
      <c r="E760" s="30"/>
      <c r="F760" s="30"/>
      <c r="G760" s="30"/>
    </row>
    <row r="761" ht="15.75" customHeight="1">
      <c r="A761" s="30"/>
      <c r="B761" s="30"/>
      <c r="C761" s="30"/>
      <c r="D761" s="30"/>
      <c r="E761" s="30"/>
      <c r="F761" s="30"/>
      <c r="G761" s="30"/>
    </row>
    <row r="762" ht="15.75" customHeight="1">
      <c r="A762" s="30"/>
      <c r="B762" s="30"/>
      <c r="C762" s="30"/>
      <c r="D762" s="30"/>
      <c r="E762" s="30"/>
      <c r="F762" s="30"/>
      <c r="G762" s="30"/>
    </row>
    <row r="763" ht="15.75" customHeight="1">
      <c r="A763" s="30"/>
      <c r="B763" s="30"/>
      <c r="C763" s="30"/>
      <c r="D763" s="30"/>
      <c r="E763" s="30"/>
      <c r="F763" s="30"/>
      <c r="G763" s="30"/>
    </row>
    <row r="764" ht="15.75" customHeight="1">
      <c r="A764" s="30"/>
      <c r="B764" s="30"/>
      <c r="C764" s="30"/>
      <c r="D764" s="30"/>
      <c r="E764" s="30"/>
      <c r="F764" s="30"/>
      <c r="G764" s="30"/>
    </row>
    <row r="765" ht="15.75" customHeight="1">
      <c r="A765" s="30"/>
      <c r="B765" s="30"/>
      <c r="C765" s="30"/>
      <c r="D765" s="30"/>
      <c r="E765" s="30"/>
      <c r="F765" s="30"/>
      <c r="G765" s="30"/>
    </row>
    <row r="766" ht="15.75" customHeight="1">
      <c r="A766" s="30"/>
      <c r="B766" s="30"/>
      <c r="C766" s="30"/>
      <c r="D766" s="30"/>
      <c r="E766" s="30"/>
      <c r="F766" s="30"/>
      <c r="G766" s="30"/>
    </row>
    <row r="767" ht="15.75" customHeight="1">
      <c r="A767" s="30"/>
      <c r="B767" s="30"/>
      <c r="C767" s="30"/>
      <c r="D767" s="30"/>
      <c r="E767" s="30"/>
      <c r="F767" s="30"/>
      <c r="G767" s="30"/>
    </row>
    <row r="768" ht="15.75" customHeight="1">
      <c r="A768" s="30"/>
      <c r="B768" s="30"/>
      <c r="C768" s="30"/>
      <c r="D768" s="30"/>
      <c r="E768" s="30"/>
      <c r="F768" s="30"/>
      <c r="G768" s="30"/>
    </row>
    <row r="769" ht="15.75" customHeight="1">
      <c r="A769" s="30"/>
      <c r="B769" s="30"/>
      <c r="C769" s="30"/>
      <c r="D769" s="30"/>
      <c r="E769" s="30"/>
      <c r="F769" s="30"/>
      <c r="G769" s="30"/>
    </row>
    <row r="770" ht="15.75" customHeight="1">
      <c r="A770" s="30"/>
      <c r="B770" s="30"/>
      <c r="C770" s="30"/>
      <c r="D770" s="30"/>
      <c r="E770" s="30"/>
      <c r="F770" s="30"/>
      <c r="G770" s="30"/>
    </row>
    <row r="771" ht="15.75" customHeight="1">
      <c r="A771" s="30"/>
      <c r="B771" s="30"/>
      <c r="C771" s="30"/>
      <c r="D771" s="30"/>
      <c r="E771" s="30"/>
      <c r="F771" s="30"/>
      <c r="G771" s="30"/>
    </row>
    <row r="772" ht="15.75" customHeight="1">
      <c r="A772" s="30"/>
      <c r="B772" s="30"/>
      <c r="C772" s="30"/>
      <c r="D772" s="30"/>
      <c r="E772" s="30"/>
      <c r="F772" s="30"/>
      <c r="G772" s="30"/>
    </row>
    <row r="773" ht="15.75" customHeight="1">
      <c r="A773" s="30"/>
      <c r="B773" s="30"/>
      <c r="C773" s="30"/>
      <c r="D773" s="30"/>
      <c r="E773" s="30"/>
      <c r="F773" s="30"/>
      <c r="G773" s="30"/>
    </row>
    <row r="774" ht="15.75" customHeight="1">
      <c r="A774" s="30"/>
      <c r="B774" s="30"/>
      <c r="C774" s="30"/>
      <c r="D774" s="30"/>
      <c r="E774" s="30"/>
      <c r="F774" s="30"/>
      <c r="G774" s="30"/>
    </row>
    <row r="775" ht="15.75" customHeight="1">
      <c r="A775" s="30"/>
      <c r="B775" s="30"/>
      <c r="C775" s="30"/>
      <c r="D775" s="30"/>
      <c r="E775" s="30"/>
      <c r="F775" s="30"/>
      <c r="G775" s="30"/>
    </row>
    <row r="776" ht="15.75" customHeight="1">
      <c r="A776" s="30"/>
      <c r="B776" s="30"/>
      <c r="C776" s="30"/>
      <c r="D776" s="30"/>
      <c r="E776" s="30"/>
      <c r="F776" s="30"/>
      <c r="G776" s="30"/>
    </row>
    <row r="777" ht="15.75" customHeight="1">
      <c r="A777" s="30"/>
      <c r="B777" s="30"/>
      <c r="C777" s="30"/>
      <c r="D777" s="30"/>
      <c r="E777" s="30"/>
      <c r="F777" s="30"/>
      <c r="G777" s="30"/>
    </row>
    <row r="778" ht="15.75" customHeight="1">
      <c r="A778" s="30"/>
      <c r="B778" s="30"/>
      <c r="C778" s="30"/>
      <c r="D778" s="30"/>
      <c r="E778" s="30"/>
      <c r="F778" s="30"/>
      <c r="G778" s="30"/>
    </row>
    <row r="779" ht="15.75" customHeight="1">
      <c r="A779" s="30"/>
      <c r="B779" s="30"/>
      <c r="C779" s="30"/>
      <c r="D779" s="30"/>
      <c r="E779" s="30"/>
      <c r="F779" s="30"/>
      <c r="G779" s="30"/>
    </row>
    <row r="780" ht="15.75" customHeight="1">
      <c r="A780" s="30"/>
      <c r="B780" s="30"/>
      <c r="C780" s="30"/>
      <c r="D780" s="30"/>
      <c r="E780" s="30"/>
      <c r="F780" s="30"/>
      <c r="G780" s="30"/>
    </row>
    <row r="781" ht="15.75" customHeight="1">
      <c r="A781" s="30"/>
      <c r="B781" s="30"/>
      <c r="C781" s="30"/>
      <c r="D781" s="30"/>
      <c r="E781" s="30"/>
      <c r="F781" s="30"/>
      <c r="G781" s="30"/>
    </row>
    <row r="782" ht="15.75" customHeight="1">
      <c r="A782" s="30"/>
      <c r="B782" s="30"/>
      <c r="C782" s="30"/>
      <c r="D782" s="30"/>
      <c r="E782" s="30"/>
      <c r="F782" s="30"/>
      <c r="G782" s="30"/>
    </row>
    <row r="783" ht="15.75" customHeight="1">
      <c r="A783" s="30"/>
      <c r="B783" s="30"/>
      <c r="C783" s="30"/>
      <c r="D783" s="30"/>
      <c r="E783" s="30"/>
      <c r="F783" s="30"/>
      <c r="G783" s="30"/>
    </row>
    <row r="784" ht="15.75" customHeight="1">
      <c r="A784" s="30"/>
      <c r="B784" s="30"/>
      <c r="C784" s="30"/>
      <c r="D784" s="30"/>
      <c r="E784" s="30"/>
      <c r="F784" s="30"/>
      <c r="G784" s="30"/>
    </row>
    <row r="785" ht="15.75" customHeight="1">
      <c r="A785" s="30"/>
      <c r="B785" s="30"/>
      <c r="C785" s="30"/>
      <c r="D785" s="30"/>
      <c r="E785" s="30"/>
      <c r="F785" s="30"/>
      <c r="G785" s="30"/>
    </row>
    <row r="786" ht="15.75" customHeight="1">
      <c r="A786" s="30"/>
      <c r="B786" s="30"/>
      <c r="C786" s="30"/>
      <c r="D786" s="30"/>
      <c r="E786" s="30"/>
      <c r="F786" s="30"/>
      <c r="G786" s="30"/>
    </row>
    <row r="787" ht="15.75" customHeight="1">
      <c r="A787" s="30"/>
      <c r="B787" s="30"/>
      <c r="C787" s="30"/>
      <c r="D787" s="30"/>
      <c r="E787" s="30"/>
      <c r="F787" s="30"/>
      <c r="G787" s="30"/>
    </row>
    <row r="788" ht="15.75" customHeight="1">
      <c r="A788" s="30"/>
      <c r="B788" s="30"/>
      <c r="C788" s="30"/>
      <c r="D788" s="30"/>
      <c r="E788" s="30"/>
      <c r="F788" s="30"/>
      <c r="G788" s="30"/>
    </row>
    <row r="789" ht="15.75" customHeight="1">
      <c r="A789" s="30"/>
      <c r="B789" s="30"/>
      <c r="C789" s="30"/>
      <c r="D789" s="30"/>
      <c r="E789" s="30"/>
      <c r="F789" s="30"/>
      <c r="G789" s="30"/>
    </row>
    <row r="790" ht="15.75" customHeight="1">
      <c r="A790" s="30"/>
      <c r="B790" s="30"/>
      <c r="C790" s="30"/>
      <c r="D790" s="30"/>
      <c r="E790" s="30"/>
      <c r="F790" s="30"/>
      <c r="G790" s="30"/>
    </row>
    <row r="791" ht="15.75" customHeight="1">
      <c r="A791" s="30"/>
      <c r="B791" s="30"/>
      <c r="C791" s="30"/>
      <c r="D791" s="30"/>
      <c r="E791" s="30"/>
      <c r="F791" s="30"/>
      <c r="G791" s="30"/>
    </row>
    <row r="792" ht="15.75" customHeight="1">
      <c r="A792" s="30"/>
      <c r="B792" s="30"/>
      <c r="C792" s="30"/>
      <c r="D792" s="30"/>
      <c r="E792" s="30"/>
      <c r="F792" s="30"/>
      <c r="G792" s="30"/>
    </row>
    <row r="793" ht="15.75" customHeight="1">
      <c r="A793" s="30"/>
      <c r="B793" s="30"/>
      <c r="C793" s="30"/>
      <c r="D793" s="30"/>
      <c r="E793" s="30"/>
      <c r="F793" s="30"/>
      <c r="G793" s="30"/>
    </row>
    <row r="794" ht="15.75" customHeight="1">
      <c r="A794" s="30"/>
      <c r="B794" s="30"/>
      <c r="C794" s="30"/>
      <c r="D794" s="30"/>
      <c r="E794" s="30"/>
      <c r="F794" s="30"/>
      <c r="G794" s="30"/>
    </row>
    <row r="795" ht="15.75" customHeight="1">
      <c r="A795" s="30"/>
      <c r="B795" s="30"/>
      <c r="C795" s="30"/>
      <c r="D795" s="30"/>
      <c r="E795" s="30"/>
      <c r="F795" s="30"/>
      <c r="G795" s="30"/>
    </row>
    <row r="796" ht="15.75" customHeight="1">
      <c r="A796" s="30"/>
      <c r="B796" s="30"/>
      <c r="C796" s="30"/>
      <c r="D796" s="30"/>
      <c r="E796" s="30"/>
      <c r="F796" s="30"/>
      <c r="G796" s="30"/>
    </row>
    <row r="797" ht="15.75" customHeight="1">
      <c r="A797" s="30"/>
      <c r="B797" s="30"/>
      <c r="C797" s="30"/>
      <c r="D797" s="30"/>
      <c r="E797" s="30"/>
      <c r="F797" s="30"/>
      <c r="G797" s="30"/>
    </row>
    <row r="798" ht="15.75" customHeight="1">
      <c r="A798" s="30"/>
      <c r="B798" s="30"/>
      <c r="C798" s="30"/>
      <c r="D798" s="30"/>
      <c r="E798" s="30"/>
      <c r="F798" s="30"/>
      <c r="G798" s="30"/>
    </row>
    <row r="799" ht="15.75" customHeight="1">
      <c r="A799" s="30"/>
      <c r="B799" s="30"/>
      <c r="C799" s="30"/>
      <c r="D799" s="30"/>
      <c r="E799" s="30"/>
      <c r="F799" s="30"/>
      <c r="G799" s="30"/>
    </row>
    <row r="800" ht="15.75" customHeight="1">
      <c r="A800" s="30"/>
      <c r="B800" s="30"/>
      <c r="C800" s="30"/>
      <c r="D800" s="30"/>
      <c r="E800" s="30"/>
      <c r="F800" s="30"/>
      <c r="G800" s="30"/>
    </row>
    <row r="801" ht="15.75" customHeight="1">
      <c r="A801" s="30"/>
      <c r="B801" s="30"/>
      <c r="C801" s="30"/>
      <c r="D801" s="30"/>
      <c r="E801" s="30"/>
      <c r="F801" s="30"/>
      <c r="G801" s="30"/>
    </row>
    <row r="802" ht="15.75" customHeight="1">
      <c r="A802" s="30"/>
      <c r="B802" s="30"/>
      <c r="C802" s="30"/>
      <c r="D802" s="30"/>
      <c r="E802" s="30"/>
      <c r="F802" s="30"/>
      <c r="G802" s="30"/>
    </row>
    <row r="803" ht="15.75" customHeight="1">
      <c r="A803" s="30"/>
      <c r="B803" s="30"/>
      <c r="C803" s="30"/>
      <c r="D803" s="30"/>
      <c r="E803" s="30"/>
      <c r="F803" s="30"/>
      <c r="G803" s="30"/>
    </row>
    <row r="804" ht="15.75" customHeight="1">
      <c r="A804" s="30"/>
      <c r="B804" s="30"/>
      <c r="C804" s="30"/>
      <c r="D804" s="30"/>
      <c r="E804" s="30"/>
      <c r="F804" s="30"/>
      <c r="G804" s="30"/>
    </row>
    <row r="805" ht="15.75" customHeight="1">
      <c r="A805" s="30"/>
      <c r="B805" s="30"/>
      <c r="C805" s="30"/>
      <c r="D805" s="30"/>
      <c r="E805" s="30"/>
      <c r="F805" s="30"/>
      <c r="G805" s="30"/>
    </row>
    <row r="806" ht="15.75" customHeight="1">
      <c r="A806" s="30"/>
      <c r="B806" s="30"/>
      <c r="C806" s="30"/>
      <c r="D806" s="30"/>
      <c r="E806" s="30"/>
      <c r="F806" s="30"/>
      <c r="G806" s="30"/>
    </row>
    <row r="807" ht="15.75" customHeight="1">
      <c r="A807" s="30"/>
      <c r="B807" s="30"/>
      <c r="C807" s="30"/>
      <c r="D807" s="30"/>
      <c r="E807" s="30"/>
      <c r="F807" s="30"/>
      <c r="G807" s="30"/>
    </row>
    <row r="808" ht="15.75" customHeight="1">
      <c r="A808" s="30"/>
      <c r="B808" s="30"/>
      <c r="C808" s="30"/>
      <c r="D808" s="30"/>
      <c r="E808" s="30"/>
      <c r="F808" s="30"/>
      <c r="G808" s="30"/>
    </row>
    <row r="809" ht="15.75" customHeight="1">
      <c r="A809" s="30"/>
      <c r="B809" s="30"/>
      <c r="C809" s="30"/>
      <c r="D809" s="30"/>
      <c r="E809" s="30"/>
      <c r="F809" s="30"/>
      <c r="G809" s="30"/>
    </row>
    <row r="810" ht="15.75" customHeight="1">
      <c r="A810" s="30"/>
      <c r="B810" s="30"/>
      <c r="C810" s="30"/>
      <c r="D810" s="30"/>
      <c r="E810" s="30"/>
      <c r="F810" s="30"/>
      <c r="G810" s="30"/>
    </row>
    <row r="811" ht="15.75" customHeight="1">
      <c r="A811" s="30"/>
      <c r="B811" s="30"/>
      <c r="C811" s="30"/>
      <c r="D811" s="30"/>
      <c r="E811" s="30"/>
      <c r="F811" s="30"/>
      <c r="G811" s="30"/>
    </row>
    <row r="812" ht="15.75" customHeight="1">
      <c r="A812" s="30"/>
      <c r="B812" s="30"/>
      <c r="C812" s="30"/>
      <c r="D812" s="30"/>
      <c r="E812" s="30"/>
      <c r="F812" s="30"/>
      <c r="G812" s="30"/>
    </row>
    <row r="813" ht="15.75" customHeight="1">
      <c r="A813" s="30"/>
      <c r="B813" s="30"/>
      <c r="C813" s="30"/>
      <c r="D813" s="30"/>
      <c r="E813" s="30"/>
      <c r="F813" s="30"/>
      <c r="G813" s="30"/>
    </row>
    <row r="814" ht="15.75" customHeight="1">
      <c r="A814" s="30"/>
      <c r="B814" s="30"/>
      <c r="C814" s="30"/>
      <c r="D814" s="30"/>
      <c r="E814" s="30"/>
      <c r="F814" s="30"/>
      <c r="G814" s="30"/>
    </row>
    <row r="815" ht="15.75" customHeight="1">
      <c r="A815" s="30"/>
      <c r="B815" s="30"/>
      <c r="C815" s="30"/>
      <c r="D815" s="30"/>
      <c r="E815" s="30"/>
      <c r="F815" s="30"/>
      <c r="G815" s="30"/>
    </row>
    <row r="816" ht="15.75" customHeight="1">
      <c r="A816" s="30"/>
      <c r="B816" s="30"/>
      <c r="C816" s="30"/>
      <c r="D816" s="30"/>
      <c r="E816" s="30"/>
      <c r="F816" s="30"/>
      <c r="G816" s="30"/>
    </row>
    <row r="817" ht="15.75" customHeight="1">
      <c r="A817" s="30"/>
      <c r="B817" s="30"/>
      <c r="C817" s="30"/>
      <c r="D817" s="30"/>
      <c r="E817" s="30"/>
      <c r="F817" s="30"/>
      <c r="G817" s="30"/>
    </row>
    <row r="818" ht="15.75" customHeight="1">
      <c r="A818" s="30"/>
      <c r="B818" s="30"/>
      <c r="C818" s="30"/>
      <c r="D818" s="30"/>
      <c r="E818" s="30"/>
      <c r="F818" s="30"/>
      <c r="G818" s="30"/>
    </row>
    <row r="819" ht="15.75" customHeight="1">
      <c r="A819" s="30"/>
      <c r="B819" s="30"/>
      <c r="C819" s="30"/>
      <c r="D819" s="30"/>
      <c r="E819" s="30"/>
      <c r="F819" s="30"/>
      <c r="G819" s="30"/>
    </row>
    <row r="820" ht="15.75" customHeight="1">
      <c r="A820" s="30"/>
      <c r="B820" s="30"/>
      <c r="C820" s="30"/>
      <c r="D820" s="30"/>
      <c r="E820" s="30"/>
      <c r="F820" s="30"/>
      <c r="G820" s="30"/>
    </row>
    <row r="821" ht="15.75" customHeight="1">
      <c r="A821" s="30"/>
      <c r="B821" s="30"/>
      <c r="C821" s="30"/>
      <c r="D821" s="30"/>
      <c r="E821" s="30"/>
      <c r="F821" s="30"/>
      <c r="G821" s="30"/>
    </row>
    <row r="822" ht="15.75" customHeight="1">
      <c r="A822" s="30"/>
      <c r="B822" s="30"/>
      <c r="C822" s="30"/>
      <c r="D822" s="30"/>
      <c r="E822" s="30"/>
      <c r="F822" s="30"/>
      <c r="G822" s="30"/>
    </row>
    <row r="823" ht="15.75" customHeight="1">
      <c r="A823" s="30"/>
      <c r="B823" s="30"/>
      <c r="C823" s="30"/>
      <c r="D823" s="30"/>
      <c r="E823" s="30"/>
      <c r="F823" s="30"/>
      <c r="G823" s="30"/>
    </row>
    <row r="824" ht="15.75" customHeight="1">
      <c r="A824" s="30"/>
      <c r="B824" s="30"/>
      <c r="C824" s="30"/>
      <c r="D824" s="30"/>
      <c r="E824" s="30"/>
      <c r="F824" s="30"/>
      <c r="G824" s="30"/>
    </row>
    <row r="825" ht="15.75" customHeight="1">
      <c r="A825" s="30"/>
      <c r="B825" s="30"/>
      <c r="C825" s="30"/>
      <c r="D825" s="30"/>
      <c r="E825" s="30"/>
      <c r="F825" s="30"/>
      <c r="G825" s="30"/>
    </row>
    <row r="826" ht="15.75" customHeight="1">
      <c r="A826" s="30"/>
      <c r="B826" s="30"/>
      <c r="C826" s="30"/>
      <c r="D826" s="30"/>
      <c r="E826" s="30"/>
      <c r="F826" s="30"/>
      <c r="G826" s="30"/>
    </row>
    <row r="827" ht="15.75" customHeight="1">
      <c r="A827" s="30"/>
      <c r="B827" s="30"/>
      <c r="C827" s="30"/>
      <c r="D827" s="30"/>
      <c r="E827" s="30"/>
      <c r="F827" s="30"/>
      <c r="G827" s="30"/>
    </row>
    <row r="828" ht="15.75" customHeight="1">
      <c r="A828" s="30"/>
      <c r="B828" s="30"/>
      <c r="C828" s="30"/>
      <c r="D828" s="30"/>
      <c r="E828" s="30"/>
      <c r="F828" s="30"/>
      <c r="G828" s="30"/>
    </row>
    <row r="829" ht="15.75" customHeight="1">
      <c r="A829" s="30"/>
      <c r="B829" s="30"/>
      <c r="C829" s="30"/>
      <c r="D829" s="30"/>
      <c r="E829" s="30"/>
      <c r="F829" s="30"/>
      <c r="G829" s="30"/>
    </row>
    <row r="830" ht="15.75" customHeight="1">
      <c r="A830" s="30"/>
      <c r="B830" s="30"/>
      <c r="C830" s="30"/>
      <c r="D830" s="30"/>
      <c r="E830" s="30"/>
      <c r="F830" s="30"/>
      <c r="G830" s="30"/>
    </row>
    <row r="831" ht="15.75" customHeight="1">
      <c r="A831" s="30"/>
      <c r="B831" s="30"/>
      <c r="C831" s="30"/>
      <c r="D831" s="30"/>
      <c r="E831" s="30"/>
      <c r="F831" s="30"/>
      <c r="G831" s="30"/>
    </row>
    <row r="832" ht="15.75" customHeight="1">
      <c r="A832" s="30"/>
      <c r="B832" s="30"/>
      <c r="C832" s="30"/>
      <c r="D832" s="30"/>
      <c r="E832" s="30"/>
      <c r="F832" s="30"/>
      <c r="G832" s="30"/>
    </row>
    <row r="833" ht="15.75" customHeight="1">
      <c r="A833" s="30"/>
      <c r="B833" s="30"/>
      <c r="C833" s="30"/>
      <c r="D833" s="30"/>
      <c r="E833" s="30"/>
      <c r="F833" s="30"/>
      <c r="G833" s="30"/>
    </row>
    <row r="834" ht="15.75" customHeight="1">
      <c r="A834" s="30"/>
      <c r="B834" s="30"/>
      <c r="C834" s="30"/>
      <c r="D834" s="30"/>
      <c r="E834" s="30"/>
      <c r="F834" s="30"/>
      <c r="G834" s="30"/>
    </row>
    <row r="835" ht="15.75" customHeight="1">
      <c r="A835" s="30"/>
      <c r="B835" s="30"/>
      <c r="C835" s="30"/>
      <c r="D835" s="30"/>
      <c r="E835" s="30"/>
      <c r="F835" s="30"/>
      <c r="G835" s="30"/>
    </row>
    <row r="836" ht="15.75" customHeight="1">
      <c r="A836" s="30"/>
      <c r="B836" s="30"/>
      <c r="C836" s="30"/>
      <c r="D836" s="30"/>
      <c r="E836" s="30"/>
      <c r="F836" s="30"/>
      <c r="G836" s="30"/>
    </row>
    <row r="837" ht="15.75" customHeight="1">
      <c r="A837" s="30"/>
      <c r="B837" s="30"/>
      <c r="C837" s="30"/>
      <c r="D837" s="30"/>
      <c r="E837" s="30"/>
      <c r="F837" s="30"/>
      <c r="G837" s="30"/>
    </row>
    <row r="838" ht="15.75" customHeight="1">
      <c r="A838" s="30"/>
      <c r="B838" s="30"/>
      <c r="C838" s="30"/>
      <c r="D838" s="30"/>
      <c r="E838" s="30"/>
      <c r="F838" s="30"/>
      <c r="G838" s="30"/>
    </row>
    <row r="839" ht="15.75" customHeight="1">
      <c r="A839" s="30"/>
      <c r="B839" s="30"/>
      <c r="C839" s="30"/>
      <c r="D839" s="30"/>
      <c r="E839" s="30"/>
      <c r="F839" s="30"/>
      <c r="G839" s="30"/>
    </row>
    <row r="840" ht="15.75" customHeight="1">
      <c r="A840" s="30"/>
      <c r="B840" s="30"/>
      <c r="C840" s="30"/>
      <c r="D840" s="30"/>
      <c r="E840" s="30"/>
      <c r="F840" s="30"/>
      <c r="G840" s="30"/>
    </row>
    <row r="841" ht="15.75" customHeight="1">
      <c r="A841" s="30"/>
      <c r="B841" s="30"/>
      <c r="C841" s="30"/>
      <c r="D841" s="30"/>
      <c r="E841" s="30"/>
      <c r="F841" s="30"/>
      <c r="G841" s="30"/>
    </row>
    <row r="842" ht="15.75" customHeight="1">
      <c r="A842" s="30"/>
      <c r="B842" s="30"/>
      <c r="C842" s="30"/>
      <c r="D842" s="30"/>
      <c r="E842" s="30"/>
      <c r="F842" s="30"/>
      <c r="G842" s="30"/>
    </row>
    <row r="843" ht="15.75" customHeight="1">
      <c r="A843" s="30"/>
      <c r="B843" s="30"/>
      <c r="C843" s="30"/>
      <c r="D843" s="30"/>
      <c r="E843" s="30"/>
      <c r="F843" s="30"/>
      <c r="G843" s="30"/>
    </row>
    <row r="844" ht="15.75" customHeight="1">
      <c r="A844" s="30"/>
      <c r="B844" s="30"/>
      <c r="C844" s="30"/>
      <c r="D844" s="30"/>
      <c r="E844" s="30"/>
      <c r="F844" s="30"/>
      <c r="G844" s="30"/>
    </row>
    <row r="845" ht="15.75" customHeight="1">
      <c r="A845" s="30"/>
      <c r="B845" s="30"/>
      <c r="C845" s="30"/>
      <c r="D845" s="30"/>
      <c r="E845" s="30"/>
      <c r="F845" s="30"/>
      <c r="G845" s="30"/>
    </row>
    <row r="846" ht="15.75" customHeight="1">
      <c r="A846" s="30"/>
      <c r="B846" s="30"/>
      <c r="C846" s="30"/>
      <c r="D846" s="30"/>
      <c r="E846" s="30"/>
      <c r="F846" s="30"/>
      <c r="G846" s="30"/>
    </row>
    <row r="847" ht="15.75" customHeight="1">
      <c r="A847" s="30"/>
      <c r="B847" s="30"/>
      <c r="C847" s="30"/>
      <c r="D847" s="30"/>
      <c r="E847" s="30"/>
      <c r="F847" s="30"/>
      <c r="G847" s="30"/>
    </row>
    <row r="848" ht="15.75" customHeight="1">
      <c r="A848" s="30"/>
      <c r="B848" s="30"/>
      <c r="C848" s="30"/>
      <c r="D848" s="30"/>
      <c r="E848" s="30"/>
      <c r="F848" s="30"/>
      <c r="G848" s="30"/>
    </row>
    <row r="849" ht="15.75" customHeight="1">
      <c r="A849" s="30"/>
      <c r="B849" s="30"/>
      <c r="C849" s="30"/>
      <c r="D849" s="30"/>
      <c r="E849" s="30"/>
      <c r="F849" s="30"/>
      <c r="G849" s="30"/>
    </row>
    <row r="850" ht="15.75" customHeight="1">
      <c r="A850" s="30"/>
      <c r="B850" s="30"/>
      <c r="C850" s="30"/>
      <c r="D850" s="30"/>
      <c r="E850" s="30"/>
      <c r="F850" s="30"/>
      <c r="G850" s="30"/>
    </row>
    <row r="851" ht="15.75" customHeight="1">
      <c r="A851" s="30"/>
      <c r="B851" s="30"/>
      <c r="C851" s="30"/>
      <c r="D851" s="30"/>
      <c r="E851" s="30"/>
      <c r="F851" s="30"/>
      <c r="G851" s="30"/>
    </row>
    <row r="852" ht="15.75" customHeight="1">
      <c r="A852" s="30"/>
      <c r="B852" s="30"/>
      <c r="C852" s="30"/>
      <c r="D852" s="30"/>
      <c r="E852" s="30"/>
      <c r="F852" s="30"/>
      <c r="G852" s="30"/>
    </row>
    <row r="853" ht="15.75" customHeight="1">
      <c r="A853" s="30"/>
      <c r="B853" s="30"/>
      <c r="C853" s="30"/>
      <c r="D853" s="30"/>
      <c r="E853" s="30"/>
      <c r="F853" s="30"/>
      <c r="G853" s="30"/>
    </row>
    <row r="854" ht="15.75" customHeight="1">
      <c r="A854" s="30"/>
      <c r="B854" s="30"/>
      <c r="C854" s="30"/>
      <c r="D854" s="30"/>
      <c r="E854" s="30"/>
      <c r="F854" s="30"/>
      <c r="G854" s="30"/>
    </row>
    <row r="855" ht="15.75" customHeight="1">
      <c r="A855" s="30"/>
      <c r="B855" s="30"/>
      <c r="C855" s="30"/>
      <c r="D855" s="30"/>
      <c r="E855" s="30"/>
      <c r="F855" s="30"/>
      <c r="G855" s="30"/>
    </row>
    <row r="856" ht="15.75" customHeight="1">
      <c r="A856" s="30"/>
      <c r="B856" s="30"/>
      <c r="C856" s="30"/>
      <c r="D856" s="30"/>
      <c r="E856" s="30"/>
      <c r="F856" s="30"/>
      <c r="G856" s="30"/>
    </row>
    <row r="857" ht="15.75" customHeight="1">
      <c r="A857" s="30"/>
      <c r="B857" s="30"/>
      <c r="C857" s="30"/>
      <c r="D857" s="30"/>
      <c r="E857" s="30"/>
      <c r="F857" s="30"/>
      <c r="G857" s="30"/>
    </row>
    <row r="858" ht="15.75" customHeight="1">
      <c r="A858" s="30"/>
      <c r="B858" s="30"/>
      <c r="C858" s="30"/>
      <c r="D858" s="30"/>
      <c r="E858" s="30"/>
      <c r="F858" s="30"/>
      <c r="G858" s="30"/>
    </row>
    <row r="859" ht="15.75" customHeight="1">
      <c r="A859" s="30"/>
      <c r="B859" s="30"/>
      <c r="C859" s="30"/>
      <c r="D859" s="30"/>
      <c r="E859" s="30"/>
      <c r="F859" s="30"/>
      <c r="G859" s="30"/>
    </row>
    <row r="860" ht="15.75" customHeight="1">
      <c r="A860" s="30"/>
      <c r="B860" s="30"/>
      <c r="C860" s="30"/>
      <c r="D860" s="30"/>
      <c r="E860" s="30"/>
      <c r="F860" s="30"/>
      <c r="G860" s="30"/>
    </row>
    <row r="861" ht="15.75" customHeight="1">
      <c r="A861" s="30"/>
      <c r="B861" s="30"/>
      <c r="C861" s="30"/>
      <c r="D861" s="30"/>
      <c r="E861" s="30"/>
      <c r="F861" s="30"/>
      <c r="G861" s="30"/>
    </row>
    <row r="862" ht="15.75" customHeight="1">
      <c r="A862" s="30"/>
      <c r="B862" s="30"/>
      <c r="C862" s="30"/>
      <c r="D862" s="30"/>
      <c r="E862" s="30"/>
      <c r="F862" s="30"/>
      <c r="G862" s="30"/>
    </row>
    <row r="863" ht="15.75" customHeight="1">
      <c r="A863" s="30"/>
      <c r="B863" s="30"/>
      <c r="C863" s="30"/>
      <c r="D863" s="30"/>
      <c r="E863" s="30"/>
      <c r="F863" s="30"/>
      <c r="G863" s="30"/>
    </row>
    <row r="864" ht="15.75" customHeight="1">
      <c r="A864" s="30"/>
      <c r="B864" s="30"/>
      <c r="C864" s="30"/>
      <c r="D864" s="30"/>
      <c r="E864" s="30"/>
      <c r="F864" s="30"/>
      <c r="G864" s="30"/>
    </row>
    <row r="865" ht="15.75" customHeight="1">
      <c r="A865" s="30"/>
      <c r="B865" s="30"/>
      <c r="C865" s="30"/>
      <c r="D865" s="30"/>
      <c r="E865" s="30"/>
      <c r="F865" s="30"/>
      <c r="G865" s="30"/>
    </row>
    <row r="866" ht="15.75" customHeight="1">
      <c r="A866" s="30"/>
      <c r="B866" s="30"/>
      <c r="C866" s="30"/>
      <c r="D866" s="30"/>
      <c r="E866" s="30"/>
      <c r="F866" s="30"/>
      <c r="G866" s="30"/>
    </row>
    <row r="867" ht="15.75" customHeight="1">
      <c r="A867" s="30"/>
      <c r="B867" s="30"/>
      <c r="C867" s="30"/>
      <c r="D867" s="30"/>
      <c r="E867" s="30"/>
      <c r="F867" s="30"/>
      <c r="G867" s="30"/>
    </row>
    <row r="868" ht="15.75" customHeight="1">
      <c r="A868" s="30"/>
      <c r="B868" s="30"/>
      <c r="C868" s="30"/>
      <c r="D868" s="30"/>
      <c r="E868" s="30"/>
      <c r="F868" s="30"/>
      <c r="G868" s="30"/>
    </row>
    <row r="869" ht="15.75" customHeight="1">
      <c r="A869" s="30"/>
      <c r="B869" s="30"/>
      <c r="C869" s="30"/>
      <c r="D869" s="30"/>
      <c r="E869" s="30"/>
      <c r="F869" s="30"/>
      <c r="G869" s="30"/>
    </row>
    <row r="870" ht="15.75" customHeight="1">
      <c r="A870" s="30"/>
      <c r="B870" s="30"/>
      <c r="C870" s="30"/>
      <c r="D870" s="30"/>
      <c r="E870" s="30"/>
      <c r="F870" s="30"/>
      <c r="G870" s="30"/>
    </row>
    <row r="871" ht="15.75" customHeight="1">
      <c r="A871" s="30"/>
      <c r="B871" s="30"/>
      <c r="C871" s="30"/>
      <c r="D871" s="30"/>
      <c r="E871" s="30"/>
      <c r="F871" s="30"/>
      <c r="G871" s="30"/>
    </row>
    <row r="872" ht="15.75" customHeight="1">
      <c r="A872" s="30"/>
      <c r="B872" s="30"/>
      <c r="C872" s="30"/>
      <c r="D872" s="30"/>
      <c r="E872" s="30"/>
      <c r="F872" s="30"/>
      <c r="G872" s="30"/>
    </row>
    <row r="873" ht="15.75" customHeight="1">
      <c r="A873" s="30"/>
      <c r="B873" s="30"/>
      <c r="C873" s="30"/>
      <c r="D873" s="30"/>
      <c r="E873" s="30"/>
      <c r="F873" s="30"/>
      <c r="G873" s="30"/>
    </row>
    <row r="874" ht="15.75" customHeight="1">
      <c r="A874" s="30"/>
      <c r="B874" s="30"/>
      <c r="C874" s="30"/>
      <c r="D874" s="30"/>
      <c r="E874" s="30"/>
      <c r="F874" s="30"/>
      <c r="G874" s="30"/>
    </row>
    <row r="875" ht="15.75" customHeight="1">
      <c r="A875" s="30"/>
      <c r="B875" s="30"/>
      <c r="C875" s="30"/>
      <c r="D875" s="30"/>
      <c r="E875" s="30"/>
      <c r="F875" s="30"/>
      <c r="G875" s="30"/>
    </row>
    <row r="876" ht="15.75" customHeight="1">
      <c r="A876" s="30"/>
      <c r="B876" s="30"/>
      <c r="C876" s="30"/>
      <c r="D876" s="30"/>
      <c r="E876" s="30"/>
      <c r="F876" s="30"/>
      <c r="G876" s="30"/>
    </row>
    <row r="877" ht="15.75" customHeight="1">
      <c r="A877" s="30"/>
      <c r="B877" s="30"/>
      <c r="C877" s="30"/>
      <c r="D877" s="30"/>
      <c r="E877" s="30"/>
      <c r="F877" s="30"/>
      <c r="G877" s="30"/>
    </row>
    <row r="878" ht="15.75" customHeight="1">
      <c r="A878" s="30"/>
      <c r="B878" s="30"/>
      <c r="C878" s="30"/>
      <c r="D878" s="30"/>
      <c r="E878" s="30"/>
      <c r="F878" s="30"/>
      <c r="G878" s="30"/>
    </row>
    <row r="879" ht="15.75" customHeight="1">
      <c r="A879" s="30"/>
      <c r="B879" s="30"/>
      <c r="C879" s="30"/>
      <c r="D879" s="30"/>
      <c r="E879" s="30"/>
      <c r="F879" s="30"/>
      <c r="G879" s="30"/>
    </row>
    <row r="880" ht="15.75" customHeight="1">
      <c r="A880" s="30"/>
      <c r="B880" s="30"/>
      <c r="C880" s="30"/>
      <c r="D880" s="30"/>
      <c r="E880" s="30"/>
      <c r="F880" s="30"/>
      <c r="G880" s="30"/>
    </row>
    <row r="881" ht="15.75" customHeight="1">
      <c r="A881" s="30"/>
      <c r="B881" s="30"/>
      <c r="C881" s="30"/>
      <c r="D881" s="30"/>
      <c r="E881" s="30"/>
      <c r="F881" s="30"/>
      <c r="G881" s="30"/>
    </row>
    <row r="882" ht="15.75" customHeight="1">
      <c r="A882" s="30"/>
      <c r="B882" s="30"/>
      <c r="C882" s="30"/>
      <c r="D882" s="30"/>
      <c r="E882" s="30"/>
      <c r="F882" s="30"/>
      <c r="G882" s="30"/>
    </row>
    <row r="883" ht="15.75" customHeight="1">
      <c r="A883" s="30"/>
      <c r="B883" s="30"/>
      <c r="C883" s="30"/>
      <c r="D883" s="30"/>
      <c r="E883" s="30"/>
      <c r="F883" s="30"/>
      <c r="G883" s="30"/>
    </row>
    <row r="884" ht="15.75" customHeight="1">
      <c r="A884" s="30"/>
      <c r="B884" s="30"/>
      <c r="C884" s="30"/>
      <c r="D884" s="30"/>
      <c r="E884" s="30"/>
      <c r="F884" s="30"/>
      <c r="G884" s="30"/>
    </row>
    <row r="885" ht="15.75" customHeight="1">
      <c r="A885" s="30"/>
      <c r="B885" s="30"/>
      <c r="C885" s="30"/>
      <c r="D885" s="30"/>
      <c r="E885" s="30"/>
      <c r="F885" s="30"/>
      <c r="G885" s="30"/>
    </row>
    <row r="886" ht="15.75" customHeight="1">
      <c r="A886" s="30"/>
      <c r="B886" s="30"/>
      <c r="C886" s="30"/>
      <c r="D886" s="30"/>
      <c r="E886" s="30"/>
      <c r="F886" s="30"/>
      <c r="G886" s="30"/>
    </row>
    <row r="887" ht="15.75" customHeight="1">
      <c r="A887" s="30"/>
      <c r="B887" s="30"/>
      <c r="C887" s="30"/>
      <c r="D887" s="30"/>
      <c r="E887" s="30"/>
      <c r="F887" s="30"/>
      <c r="G887" s="30"/>
    </row>
    <row r="888" ht="15.75" customHeight="1">
      <c r="A888" s="30"/>
      <c r="B888" s="30"/>
      <c r="C888" s="30"/>
      <c r="D888" s="30"/>
      <c r="E888" s="30"/>
      <c r="F888" s="30"/>
      <c r="G888" s="30"/>
    </row>
    <row r="889" ht="15.75" customHeight="1">
      <c r="A889" s="30"/>
      <c r="B889" s="30"/>
      <c r="C889" s="30"/>
      <c r="D889" s="30"/>
      <c r="E889" s="30"/>
      <c r="F889" s="30"/>
      <c r="G889" s="30"/>
    </row>
    <row r="890" ht="15.75" customHeight="1">
      <c r="A890" s="30"/>
      <c r="B890" s="30"/>
      <c r="C890" s="30"/>
      <c r="D890" s="30"/>
      <c r="E890" s="30"/>
      <c r="F890" s="30"/>
      <c r="G890" s="30"/>
    </row>
    <row r="891" ht="15.75" customHeight="1">
      <c r="A891" s="30"/>
      <c r="B891" s="30"/>
      <c r="C891" s="30"/>
      <c r="D891" s="30"/>
      <c r="E891" s="30"/>
      <c r="F891" s="30"/>
      <c r="G891" s="30"/>
    </row>
    <row r="892" ht="15.75" customHeight="1">
      <c r="A892" s="30"/>
      <c r="B892" s="30"/>
      <c r="C892" s="30"/>
      <c r="D892" s="30"/>
      <c r="E892" s="30"/>
      <c r="F892" s="30"/>
      <c r="G892" s="30"/>
    </row>
    <row r="893" ht="15.75" customHeight="1">
      <c r="A893" s="30"/>
      <c r="B893" s="30"/>
      <c r="C893" s="30"/>
      <c r="D893" s="30"/>
      <c r="E893" s="30"/>
      <c r="F893" s="30"/>
      <c r="G893" s="30"/>
    </row>
    <row r="894" ht="15.75" customHeight="1">
      <c r="A894" s="30"/>
      <c r="B894" s="30"/>
      <c r="C894" s="30"/>
      <c r="D894" s="30"/>
      <c r="E894" s="30"/>
      <c r="F894" s="30"/>
      <c r="G894" s="30"/>
    </row>
    <row r="895" ht="15.75" customHeight="1">
      <c r="A895" s="30"/>
      <c r="B895" s="30"/>
      <c r="C895" s="30"/>
      <c r="D895" s="30"/>
      <c r="E895" s="30"/>
      <c r="F895" s="30"/>
      <c r="G895" s="30"/>
    </row>
    <row r="896" ht="15.75" customHeight="1">
      <c r="A896" s="30"/>
      <c r="B896" s="30"/>
      <c r="C896" s="30"/>
      <c r="D896" s="30"/>
      <c r="E896" s="30"/>
      <c r="F896" s="30"/>
      <c r="G896" s="30"/>
    </row>
    <row r="897" ht="15.75" customHeight="1">
      <c r="A897" s="30"/>
      <c r="B897" s="30"/>
      <c r="C897" s="30"/>
      <c r="D897" s="30"/>
      <c r="E897" s="30"/>
      <c r="F897" s="30"/>
      <c r="G897" s="30"/>
    </row>
    <row r="898" ht="15.75" customHeight="1">
      <c r="A898" s="30"/>
      <c r="B898" s="30"/>
      <c r="C898" s="30"/>
      <c r="D898" s="30"/>
      <c r="E898" s="30"/>
      <c r="F898" s="30"/>
      <c r="G898" s="30"/>
    </row>
    <row r="899" ht="15.75" customHeight="1">
      <c r="A899" s="30"/>
      <c r="B899" s="30"/>
      <c r="C899" s="30"/>
      <c r="D899" s="30"/>
      <c r="E899" s="30"/>
      <c r="F899" s="30"/>
      <c r="G899" s="30"/>
    </row>
    <row r="900" ht="15.75" customHeight="1">
      <c r="A900" s="30"/>
      <c r="B900" s="30"/>
      <c r="C900" s="30"/>
      <c r="D900" s="30"/>
      <c r="E900" s="30"/>
      <c r="F900" s="30"/>
      <c r="G900" s="30"/>
    </row>
    <row r="901" ht="15.75" customHeight="1">
      <c r="A901" s="30"/>
      <c r="B901" s="30"/>
      <c r="C901" s="30"/>
      <c r="D901" s="30"/>
      <c r="E901" s="30"/>
      <c r="F901" s="30"/>
      <c r="G901" s="30"/>
    </row>
    <row r="902" ht="15.75" customHeight="1">
      <c r="A902" s="30"/>
      <c r="B902" s="30"/>
      <c r="C902" s="30"/>
      <c r="D902" s="30"/>
      <c r="E902" s="30"/>
      <c r="F902" s="30"/>
      <c r="G902" s="30"/>
    </row>
    <row r="903" ht="15.75" customHeight="1">
      <c r="A903" s="30"/>
      <c r="B903" s="30"/>
      <c r="C903" s="30"/>
      <c r="D903" s="30"/>
      <c r="E903" s="30"/>
      <c r="F903" s="30"/>
      <c r="G903" s="30"/>
    </row>
    <row r="904" ht="15.75" customHeight="1">
      <c r="A904" s="30"/>
      <c r="B904" s="30"/>
      <c r="C904" s="30"/>
      <c r="D904" s="30"/>
      <c r="E904" s="30"/>
      <c r="F904" s="30"/>
      <c r="G904" s="30"/>
    </row>
    <row r="905" ht="15.75" customHeight="1">
      <c r="A905" s="30"/>
      <c r="B905" s="30"/>
      <c r="C905" s="30"/>
      <c r="D905" s="30"/>
      <c r="E905" s="30"/>
      <c r="F905" s="30"/>
      <c r="G905" s="30"/>
    </row>
    <row r="906" ht="15.75" customHeight="1">
      <c r="A906" s="30"/>
      <c r="B906" s="30"/>
      <c r="C906" s="30"/>
      <c r="D906" s="30"/>
      <c r="E906" s="30"/>
      <c r="F906" s="30"/>
      <c r="G906" s="30"/>
    </row>
    <row r="907" ht="15.75" customHeight="1">
      <c r="A907" s="30"/>
      <c r="B907" s="30"/>
      <c r="C907" s="30"/>
      <c r="D907" s="30"/>
      <c r="E907" s="30"/>
      <c r="F907" s="30"/>
      <c r="G907" s="30"/>
    </row>
    <row r="908" ht="15.75" customHeight="1">
      <c r="A908" s="30"/>
      <c r="B908" s="30"/>
      <c r="C908" s="30"/>
      <c r="D908" s="30"/>
      <c r="E908" s="30"/>
      <c r="F908" s="30"/>
      <c r="G908" s="30"/>
    </row>
    <row r="909" ht="15.75" customHeight="1">
      <c r="A909" s="30"/>
      <c r="B909" s="30"/>
      <c r="C909" s="30"/>
      <c r="D909" s="30"/>
      <c r="E909" s="30"/>
      <c r="F909" s="30"/>
      <c r="G909" s="30"/>
    </row>
    <row r="910" ht="15.75" customHeight="1">
      <c r="A910" s="30"/>
      <c r="B910" s="30"/>
      <c r="C910" s="30"/>
      <c r="D910" s="30"/>
      <c r="E910" s="30"/>
      <c r="F910" s="30"/>
      <c r="G910" s="30"/>
    </row>
    <row r="911" ht="15.75" customHeight="1">
      <c r="A911" s="30"/>
      <c r="B911" s="30"/>
      <c r="C911" s="30"/>
      <c r="D911" s="30"/>
      <c r="E911" s="30"/>
      <c r="F911" s="30"/>
      <c r="G911" s="30"/>
    </row>
    <row r="912" ht="15.75" customHeight="1">
      <c r="A912" s="30"/>
      <c r="B912" s="30"/>
      <c r="C912" s="30"/>
      <c r="D912" s="30"/>
      <c r="E912" s="30"/>
      <c r="F912" s="30"/>
      <c r="G912" s="30"/>
    </row>
    <row r="913" ht="15.75" customHeight="1">
      <c r="A913" s="30"/>
      <c r="B913" s="30"/>
      <c r="C913" s="30"/>
      <c r="D913" s="30"/>
      <c r="E913" s="30"/>
      <c r="F913" s="30"/>
      <c r="G913" s="30"/>
    </row>
    <row r="914" ht="15.75" customHeight="1">
      <c r="A914" s="30"/>
      <c r="B914" s="30"/>
      <c r="C914" s="30"/>
      <c r="D914" s="30"/>
      <c r="E914" s="30"/>
      <c r="F914" s="30"/>
      <c r="G914" s="30"/>
    </row>
    <row r="915" ht="15.75" customHeight="1">
      <c r="A915" s="30"/>
      <c r="B915" s="30"/>
      <c r="C915" s="30"/>
      <c r="D915" s="30"/>
      <c r="E915" s="30"/>
      <c r="F915" s="30"/>
      <c r="G915" s="30"/>
    </row>
    <row r="916" ht="15.75" customHeight="1">
      <c r="A916" s="30"/>
      <c r="B916" s="30"/>
      <c r="C916" s="30"/>
      <c r="D916" s="30"/>
      <c r="E916" s="30"/>
      <c r="F916" s="30"/>
      <c r="G916" s="30"/>
    </row>
    <row r="917" ht="15.75" customHeight="1">
      <c r="A917" s="30"/>
      <c r="B917" s="30"/>
      <c r="C917" s="30"/>
      <c r="D917" s="30"/>
      <c r="E917" s="30"/>
      <c r="F917" s="30"/>
      <c r="G917" s="30"/>
    </row>
    <row r="918" ht="15.75" customHeight="1">
      <c r="A918" s="30"/>
      <c r="B918" s="30"/>
      <c r="C918" s="30"/>
      <c r="D918" s="30"/>
      <c r="E918" s="30"/>
      <c r="F918" s="30"/>
      <c r="G918" s="30"/>
    </row>
    <row r="919" ht="15.75" customHeight="1">
      <c r="A919" s="30"/>
      <c r="B919" s="30"/>
      <c r="C919" s="30"/>
      <c r="D919" s="30"/>
      <c r="E919" s="30"/>
      <c r="F919" s="30"/>
      <c r="G919" s="30"/>
    </row>
    <row r="920" ht="15.75" customHeight="1">
      <c r="A920" s="30"/>
      <c r="B920" s="30"/>
      <c r="C920" s="30"/>
      <c r="D920" s="30"/>
      <c r="E920" s="30"/>
      <c r="F920" s="30"/>
      <c r="G920" s="30"/>
    </row>
    <row r="921" ht="15.75" customHeight="1">
      <c r="A921" s="30"/>
      <c r="B921" s="30"/>
      <c r="C921" s="30"/>
      <c r="D921" s="30"/>
      <c r="E921" s="30"/>
      <c r="F921" s="30"/>
      <c r="G921" s="30"/>
    </row>
    <row r="922" ht="15.75" customHeight="1">
      <c r="A922" s="30"/>
      <c r="B922" s="30"/>
      <c r="C922" s="30"/>
      <c r="D922" s="30"/>
      <c r="E922" s="30"/>
      <c r="F922" s="30"/>
      <c r="G922" s="30"/>
    </row>
    <row r="923" ht="15.75" customHeight="1">
      <c r="A923" s="30"/>
      <c r="B923" s="30"/>
      <c r="C923" s="30"/>
      <c r="D923" s="30"/>
      <c r="E923" s="30"/>
      <c r="F923" s="30"/>
      <c r="G923" s="30"/>
    </row>
    <row r="924" ht="15.75" customHeight="1">
      <c r="A924" s="30"/>
      <c r="B924" s="30"/>
      <c r="C924" s="30"/>
      <c r="D924" s="30"/>
      <c r="E924" s="30"/>
      <c r="F924" s="30"/>
      <c r="G924" s="30"/>
    </row>
    <row r="925" ht="15.75" customHeight="1">
      <c r="A925" s="30"/>
      <c r="B925" s="30"/>
      <c r="C925" s="30"/>
      <c r="D925" s="30"/>
      <c r="E925" s="30"/>
      <c r="F925" s="30"/>
      <c r="G925" s="30"/>
    </row>
    <row r="926" ht="15.75" customHeight="1">
      <c r="A926" s="30"/>
      <c r="B926" s="30"/>
      <c r="C926" s="30"/>
      <c r="D926" s="30"/>
      <c r="E926" s="30"/>
      <c r="F926" s="30"/>
      <c r="G926" s="30"/>
    </row>
    <row r="927" ht="15.75" customHeight="1">
      <c r="A927" s="30"/>
      <c r="B927" s="30"/>
      <c r="C927" s="30"/>
      <c r="D927" s="30"/>
      <c r="E927" s="30"/>
      <c r="F927" s="30"/>
      <c r="G927" s="30"/>
    </row>
    <row r="928" ht="15.75" customHeight="1">
      <c r="A928" s="30"/>
      <c r="B928" s="30"/>
      <c r="C928" s="30"/>
      <c r="D928" s="30"/>
      <c r="E928" s="30"/>
      <c r="F928" s="30"/>
      <c r="G928" s="30"/>
    </row>
    <row r="929" ht="15.75" customHeight="1">
      <c r="A929" s="30"/>
      <c r="B929" s="30"/>
      <c r="C929" s="30"/>
      <c r="D929" s="30"/>
      <c r="E929" s="30"/>
      <c r="F929" s="30"/>
      <c r="G929" s="30"/>
    </row>
    <row r="930" ht="15.75" customHeight="1">
      <c r="A930" s="30"/>
      <c r="B930" s="30"/>
      <c r="C930" s="30"/>
      <c r="D930" s="30"/>
      <c r="E930" s="30"/>
      <c r="F930" s="30"/>
      <c r="G930" s="30"/>
    </row>
    <row r="931" ht="15.75" customHeight="1">
      <c r="A931" s="30"/>
      <c r="B931" s="30"/>
      <c r="C931" s="30"/>
      <c r="D931" s="30"/>
      <c r="E931" s="30"/>
      <c r="F931" s="30"/>
      <c r="G931" s="30"/>
    </row>
    <row r="932" ht="15.75" customHeight="1">
      <c r="A932" s="30"/>
      <c r="B932" s="30"/>
      <c r="C932" s="30"/>
      <c r="D932" s="30"/>
      <c r="E932" s="30"/>
      <c r="F932" s="30"/>
      <c r="G932" s="30"/>
    </row>
    <row r="933" ht="15.75" customHeight="1">
      <c r="A933" s="30"/>
      <c r="B933" s="30"/>
      <c r="C933" s="30"/>
      <c r="D933" s="30"/>
      <c r="E933" s="30"/>
      <c r="F933" s="30"/>
      <c r="G933" s="30"/>
    </row>
    <row r="934" ht="15.75" customHeight="1">
      <c r="A934" s="30"/>
      <c r="B934" s="30"/>
      <c r="C934" s="30"/>
      <c r="D934" s="30"/>
      <c r="E934" s="30"/>
      <c r="F934" s="30"/>
      <c r="G934" s="30"/>
    </row>
    <row r="935" ht="15.75" customHeight="1">
      <c r="A935" s="30"/>
      <c r="B935" s="30"/>
      <c r="C935" s="30"/>
      <c r="D935" s="30"/>
      <c r="E935" s="30"/>
      <c r="F935" s="30"/>
      <c r="G935" s="30"/>
    </row>
    <row r="936" ht="15.75" customHeight="1">
      <c r="A936" s="30"/>
      <c r="B936" s="30"/>
      <c r="C936" s="30"/>
      <c r="D936" s="30"/>
      <c r="E936" s="30"/>
      <c r="F936" s="30"/>
      <c r="G936" s="30"/>
    </row>
    <row r="937" ht="15.75" customHeight="1">
      <c r="A937" s="30"/>
      <c r="B937" s="30"/>
      <c r="C937" s="30"/>
      <c r="D937" s="30"/>
      <c r="E937" s="30"/>
      <c r="F937" s="30"/>
      <c r="G937" s="30"/>
    </row>
    <row r="938" ht="15.75" customHeight="1">
      <c r="A938" s="30"/>
      <c r="B938" s="30"/>
      <c r="C938" s="30"/>
      <c r="D938" s="30"/>
      <c r="E938" s="30"/>
      <c r="F938" s="30"/>
      <c r="G938" s="30"/>
    </row>
    <row r="939" ht="15.75" customHeight="1">
      <c r="A939" s="30"/>
      <c r="B939" s="30"/>
      <c r="C939" s="30"/>
      <c r="D939" s="30"/>
      <c r="E939" s="30"/>
      <c r="F939" s="30"/>
      <c r="G939" s="30"/>
    </row>
    <row r="940" ht="15.75" customHeight="1">
      <c r="A940" s="30"/>
      <c r="B940" s="30"/>
      <c r="C940" s="30"/>
      <c r="D940" s="30"/>
      <c r="E940" s="30"/>
      <c r="F940" s="30"/>
      <c r="G940" s="30"/>
    </row>
    <row r="941" ht="15.75" customHeight="1">
      <c r="A941" s="30"/>
      <c r="B941" s="30"/>
      <c r="C941" s="30"/>
      <c r="D941" s="30"/>
      <c r="E941" s="30"/>
      <c r="F941" s="30"/>
      <c r="G941" s="30"/>
    </row>
    <row r="942" ht="15.75" customHeight="1">
      <c r="A942" s="30"/>
      <c r="B942" s="30"/>
      <c r="C942" s="30"/>
      <c r="D942" s="30"/>
      <c r="E942" s="30"/>
      <c r="F942" s="30"/>
      <c r="G942" s="30"/>
    </row>
    <row r="943" ht="15.75" customHeight="1">
      <c r="A943" s="30"/>
      <c r="B943" s="30"/>
      <c r="C943" s="30"/>
      <c r="D943" s="30"/>
      <c r="E943" s="30"/>
      <c r="F943" s="30"/>
      <c r="G943" s="30"/>
    </row>
    <row r="944" ht="15.75" customHeight="1">
      <c r="A944" s="30"/>
      <c r="B944" s="30"/>
      <c r="C944" s="30"/>
      <c r="D944" s="30"/>
      <c r="E944" s="30"/>
      <c r="F944" s="30"/>
      <c r="G944" s="30"/>
    </row>
    <row r="945" ht="15.75" customHeight="1">
      <c r="A945" s="30"/>
      <c r="B945" s="30"/>
      <c r="C945" s="30"/>
      <c r="D945" s="30"/>
      <c r="E945" s="30"/>
      <c r="F945" s="30"/>
      <c r="G945" s="30"/>
    </row>
    <row r="946" ht="15.75" customHeight="1">
      <c r="A946" s="30"/>
      <c r="B946" s="30"/>
      <c r="C946" s="30"/>
      <c r="D946" s="30"/>
      <c r="E946" s="30"/>
      <c r="F946" s="30"/>
      <c r="G946" s="30"/>
    </row>
    <row r="947" ht="15.75" customHeight="1">
      <c r="A947" s="30"/>
      <c r="B947" s="30"/>
      <c r="C947" s="30"/>
      <c r="D947" s="30"/>
      <c r="E947" s="30"/>
      <c r="F947" s="30"/>
      <c r="G947" s="30"/>
    </row>
    <row r="948" ht="15.75" customHeight="1">
      <c r="A948" s="30"/>
      <c r="B948" s="30"/>
      <c r="C948" s="30"/>
      <c r="D948" s="30"/>
      <c r="E948" s="30"/>
      <c r="F948" s="30"/>
      <c r="G948" s="30"/>
    </row>
    <row r="949" ht="15.75" customHeight="1">
      <c r="A949" s="30"/>
      <c r="B949" s="30"/>
      <c r="C949" s="30"/>
      <c r="D949" s="30"/>
      <c r="E949" s="30"/>
      <c r="F949" s="30"/>
      <c r="G949" s="30"/>
    </row>
    <row r="950" ht="15.75" customHeight="1">
      <c r="A950" s="30"/>
      <c r="B950" s="30"/>
      <c r="C950" s="30"/>
      <c r="D950" s="30"/>
      <c r="E950" s="30"/>
      <c r="F950" s="30"/>
      <c r="G950" s="30"/>
    </row>
    <row r="951" ht="15.75" customHeight="1">
      <c r="A951" s="30"/>
      <c r="B951" s="30"/>
      <c r="C951" s="30"/>
      <c r="D951" s="30"/>
      <c r="E951" s="30"/>
      <c r="F951" s="30"/>
      <c r="G951" s="30"/>
    </row>
    <row r="952" ht="15.75" customHeight="1">
      <c r="A952" s="30"/>
      <c r="B952" s="30"/>
      <c r="C952" s="30"/>
      <c r="D952" s="30"/>
      <c r="E952" s="30"/>
      <c r="F952" s="30"/>
      <c r="G952" s="30"/>
    </row>
    <row r="953" ht="15.75" customHeight="1">
      <c r="A953" s="30"/>
      <c r="B953" s="30"/>
      <c r="C953" s="30"/>
      <c r="D953" s="30"/>
      <c r="E953" s="30"/>
      <c r="F953" s="30"/>
      <c r="G953" s="30"/>
    </row>
    <row r="954" ht="15.75" customHeight="1">
      <c r="A954" s="30"/>
      <c r="B954" s="30"/>
      <c r="C954" s="30"/>
      <c r="D954" s="30"/>
      <c r="E954" s="30"/>
      <c r="F954" s="30"/>
      <c r="G954" s="30"/>
    </row>
    <row r="955" ht="15.75" customHeight="1">
      <c r="A955" s="30"/>
      <c r="B955" s="30"/>
      <c r="C955" s="30"/>
      <c r="D955" s="30"/>
      <c r="E955" s="30"/>
      <c r="F955" s="30"/>
      <c r="G955" s="30"/>
    </row>
    <row r="956" ht="15.75" customHeight="1">
      <c r="A956" s="30"/>
      <c r="B956" s="30"/>
      <c r="C956" s="30"/>
      <c r="D956" s="30"/>
      <c r="E956" s="30"/>
      <c r="F956" s="30"/>
      <c r="G956" s="30"/>
    </row>
    <row r="957" ht="15.75" customHeight="1">
      <c r="A957" s="30"/>
      <c r="B957" s="30"/>
      <c r="C957" s="30"/>
      <c r="D957" s="30"/>
      <c r="E957" s="30"/>
      <c r="F957" s="30"/>
      <c r="G957" s="30"/>
    </row>
    <row r="958" ht="15.75" customHeight="1">
      <c r="A958" s="30"/>
      <c r="B958" s="30"/>
      <c r="C958" s="30"/>
      <c r="D958" s="30"/>
      <c r="E958" s="30"/>
      <c r="F958" s="30"/>
      <c r="G958" s="30"/>
    </row>
    <row r="959" ht="15.75" customHeight="1">
      <c r="A959" s="30"/>
      <c r="B959" s="30"/>
      <c r="C959" s="30"/>
      <c r="D959" s="30"/>
      <c r="E959" s="30"/>
      <c r="F959" s="30"/>
      <c r="G959" s="30"/>
    </row>
    <row r="960" ht="15.75" customHeight="1">
      <c r="A960" s="30"/>
      <c r="B960" s="30"/>
      <c r="C960" s="30"/>
      <c r="D960" s="30"/>
      <c r="E960" s="30"/>
      <c r="F960" s="30"/>
      <c r="G960" s="30"/>
    </row>
    <row r="961" ht="15.75" customHeight="1">
      <c r="A961" s="30"/>
      <c r="B961" s="30"/>
      <c r="C961" s="30"/>
      <c r="D961" s="30"/>
      <c r="E961" s="30"/>
      <c r="F961" s="30"/>
      <c r="G961" s="30"/>
    </row>
    <row r="962" ht="15.75" customHeight="1">
      <c r="A962" s="30"/>
      <c r="B962" s="30"/>
      <c r="C962" s="30"/>
      <c r="D962" s="30"/>
      <c r="E962" s="30"/>
      <c r="F962" s="30"/>
      <c r="G962" s="30"/>
    </row>
    <row r="963" ht="15.75" customHeight="1">
      <c r="A963" s="30"/>
      <c r="B963" s="30"/>
      <c r="C963" s="30"/>
      <c r="D963" s="30"/>
      <c r="E963" s="30"/>
      <c r="F963" s="30"/>
      <c r="G963" s="30"/>
    </row>
    <row r="964" ht="15.75" customHeight="1">
      <c r="A964" s="30"/>
      <c r="B964" s="30"/>
      <c r="C964" s="30"/>
      <c r="D964" s="30"/>
      <c r="E964" s="30"/>
      <c r="F964" s="30"/>
      <c r="G964" s="30"/>
    </row>
    <row r="965" ht="15.75" customHeight="1">
      <c r="A965" s="30"/>
      <c r="B965" s="30"/>
      <c r="C965" s="30"/>
      <c r="D965" s="30"/>
      <c r="E965" s="30"/>
      <c r="F965" s="30"/>
      <c r="G965" s="30"/>
    </row>
    <row r="966" ht="15.75" customHeight="1">
      <c r="A966" s="30"/>
      <c r="B966" s="30"/>
      <c r="C966" s="30"/>
      <c r="D966" s="30"/>
      <c r="E966" s="30"/>
      <c r="F966" s="30"/>
      <c r="G966" s="30"/>
    </row>
    <row r="967" ht="15.75" customHeight="1">
      <c r="A967" s="30"/>
      <c r="B967" s="30"/>
      <c r="C967" s="30"/>
      <c r="D967" s="30"/>
      <c r="E967" s="30"/>
      <c r="F967" s="30"/>
      <c r="G967" s="30"/>
    </row>
    <row r="968" ht="15.75" customHeight="1">
      <c r="A968" s="30"/>
      <c r="B968" s="30"/>
      <c r="C968" s="30"/>
      <c r="D968" s="30"/>
      <c r="E968" s="30"/>
      <c r="F968" s="30"/>
      <c r="G968" s="30"/>
    </row>
    <row r="969" ht="15.75" customHeight="1">
      <c r="A969" s="30"/>
      <c r="B969" s="30"/>
      <c r="C969" s="30"/>
      <c r="D969" s="30"/>
      <c r="E969" s="30"/>
      <c r="F969" s="30"/>
      <c r="G969" s="30"/>
    </row>
    <row r="970" ht="15.75" customHeight="1">
      <c r="A970" s="30"/>
      <c r="B970" s="30"/>
      <c r="C970" s="30"/>
      <c r="D970" s="30"/>
      <c r="E970" s="30"/>
      <c r="F970" s="30"/>
      <c r="G970" s="30"/>
    </row>
    <row r="971" ht="15.75" customHeight="1">
      <c r="A971" s="30"/>
      <c r="B971" s="30"/>
      <c r="C971" s="30"/>
      <c r="D971" s="30"/>
      <c r="E971" s="30"/>
      <c r="F971" s="30"/>
      <c r="G971" s="30"/>
    </row>
    <row r="972" ht="15.75" customHeight="1">
      <c r="A972" s="30"/>
      <c r="B972" s="30"/>
      <c r="C972" s="30"/>
      <c r="D972" s="30"/>
      <c r="E972" s="30"/>
      <c r="F972" s="30"/>
      <c r="G972" s="30"/>
    </row>
    <row r="973" ht="15.75" customHeight="1">
      <c r="A973" s="30"/>
      <c r="B973" s="30"/>
      <c r="C973" s="30"/>
      <c r="D973" s="30"/>
      <c r="E973" s="30"/>
      <c r="F973" s="30"/>
      <c r="G973" s="30"/>
    </row>
    <row r="974" ht="15.75" customHeight="1">
      <c r="A974" s="30"/>
      <c r="B974" s="30"/>
      <c r="C974" s="30"/>
      <c r="D974" s="30"/>
      <c r="E974" s="30"/>
      <c r="F974" s="30"/>
      <c r="G974" s="30"/>
    </row>
    <row r="975" ht="15.75" customHeight="1">
      <c r="A975" s="30"/>
      <c r="B975" s="30"/>
      <c r="C975" s="30"/>
      <c r="D975" s="30"/>
      <c r="E975" s="30"/>
      <c r="F975" s="30"/>
      <c r="G975" s="30"/>
    </row>
    <row r="976" ht="15.75" customHeight="1">
      <c r="A976" s="30"/>
      <c r="B976" s="30"/>
      <c r="C976" s="30"/>
      <c r="D976" s="30"/>
      <c r="E976" s="30"/>
      <c r="F976" s="30"/>
      <c r="G976" s="30"/>
    </row>
    <row r="977" ht="15.75" customHeight="1">
      <c r="A977" s="30"/>
      <c r="B977" s="30"/>
      <c r="C977" s="30"/>
      <c r="D977" s="30"/>
      <c r="E977" s="30"/>
      <c r="F977" s="30"/>
      <c r="G977" s="30"/>
    </row>
    <row r="978" ht="15.75" customHeight="1">
      <c r="A978" s="30"/>
      <c r="B978" s="30"/>
      <c r="C978" s="30"/>
      <c r="D978" s="30"/>
      <c r="E978" s="30"/>
      <c r="F978" s="30"/>
      <c r="G978" s="30"/>
    </row>
    <row r="979" ht="15.75" customHeight="1">
      <c r="A979" s="30"/>
      <c r="B979" s="30"/>
      <c r="C979" s="30"/>
      <c r="D979" s="30"/>
      <c r="E979" s="30"/>
      <c r="F979" s="30"/>
      <c r="G979" s="30"/>
    </row>
    <row r="980" ht="15.75" customHeight="1">
      <c r="A980" s="30"/>
      <c r="B980" s="30"/>
      <c r="C980" s="30"/>
      <c r="D980" s="30"/>
      <c r="E980" s="30"/>
      <c r="F980" s="30"/>
      <c r="G980" s="30"/>
    </row>
    <row r="981" ht="15.75" customHeight="1">
      <c r="A981" s="30"/>
      <c r="B981" s="30"/>
      <c r="C981" s="30"/>
      <c r="D981" s="30"/>
      <c r="E981" s="30"/>
      <c r="F981" s="30"/>
      <c r="G981" s="30"/>
    </row>
    <row r="982" ht="15.75" customHeight="1">
      <c r="A982" s="30"/>
      <c r="B982" s="30"/>
      <c r="C982" s="30"/>
      <c r="D982" s="30"/>
      <c r="E982" s="30"/>
      <c r="F982" s="30"/>
      <c r="G982" s="30"/>
    </row>
    <row r="983" ht="15.75" customHeight="1">
      <c r="A983" s="30"/>
      <c r="B983" s="30"/>
      <c r="C983" s="30"/>
      <c r="D983" s="30"/>
      <c r="E983" s="30"/>
      <c r="F983" s="30"/>
      <c r="G983" s="30"/>
    </row>
    <row r="984" ht="15.75" customHeight="1">
      <c r="A984" s="30"/>
      <c r="B984" s="30"/>
      <c r="C984" s="30"/>
      <c r="D984" s="30"/>
      <c r="E984" s="30"/>
      <c r="F984" s="30"/>
      <c r="G984" s="30"/>
    </row>
    <row r="985" ht="15.75" customHeight="1">
      <c r="A985" s="30"/>
      <c r="B985" s="30"/>
      <c r="C985" s="30"/>
      <c r="D985" s="30"/>
      <c r="E985" s="30"/>
      <c r="F985" s="30"/>
      <c r="G985" s="30"/>
    </row>
    <row r="986" ht="15.75" customHeight="1">
      <c r="A986" s="30"/>
      <c r="B986" s="30"/>
      <c r="C986" s="30"/>
      <c r="D986" s="30"/>
      <c r="E986" s="30"/>
      <c r="F986" s="30"/>
      <c r="G986" s="30"/>
    </row>
    <row r="987" ht="15.75" customHeight="1">
      <c r="A987" s="30"/>
      <c r="B987" s="30"/>
      <c r="C987" s="30"/>
      <c r="D987" s="30"/>
      <c r="E987" s="30"/>
      <c r="F987" s="30"/>
      <c r="G987" s="30"/>
    </row>
    <row r="988" ht="15.75" customHeight="1">
      <c r="A988" s="30"/>
      <c r="B988" s="30"/>
      <c r="C988" s="30"/>
      <c r="D988" s="30"/>
      <c r="E988" s="30"/>
      <c r="F988" s="30"/>
      <c r="G988" s="30"/>
    </row>
    <row r="989" ht="15.75" customHeight="1">
      <c r="A989" s="30"/>
      <c r="B989" s="30"/>
      <c r="C989" s="30"/>
      <c r="D989" s="30"/>
      <c r="E989" s="30"/>
      <c r="F989" s="30"/>
      <c r="G989" s="30"/>
    </row>
    <row r="990" ht="15.75" customHeight="1">
      <c r="A990" s="30"/>
      <c r="B990" s="30"/>
      <c r="C990" s="30"/>
      <c r="D990" s="30"/>
      <c r="E990" s="30"/>
      <c r="F990" s="30"/>
      <c r="G990" s="30"/>
    </row>
    <row r="991" ht="15.75" customHeight="1">
      <c r="A991" s="30"/>
      <c r="B991" s="30"/>
      <c r="C991" s="30"/>
      <c r="D991" s="30"/>
      <c r="E991" s="30"/>
      <c r="F991" s="30"/>
      <c r="G991" s="30"/>
    </row>
    <row r="992" ht="15.75" customHeight="1">
      <c r="A992" s="30"/>
      <c r="B992" s="30"/>
      <c r="C992" s="30"/>
      <c r="D992" s="30"/>
      <c r="E992" s="30"/>
      <c r="F992" s="30"/>
      <c r="G992" s="30"/>
    </row>
    <row r="993" ht="15.75" customHeight="1">
      <c r="A993" s="30"/>
      <c r="B993" s="30"/>
      <c r="C993" s="30"/>
      <c r="D993" s="30"/>
      <c r="E993" s="30"/>
      <c r="F993" s="30"/>
      <c r="G993" s="30"/>
    </row>
    <row r="994" ht="15.75" customHeight="1">
      <c r="A994" s="30"/>
      <c r="B994" s="30"/>
      <c r="C994" s="30"/>
      <c r="D994" s="30"/>
      <c r="E994" s="30"/>
      <c r="F994" s="30"/>
      <c r="G994" s="30"/>
    </row>
    <row r="995" ht="15.75" customHeight="1">
      <c r="A995" s="30"/>
      <c r="B995" s="30"/>
      <c r="C995" s="30"/>
      <c r="D995" s="30"/>
      <c r="E995" s="30"/>
      <c r="F995" s="30"/>
      <c r="G995" s="30"/>
    </row>
    <row r="996" ht="15.75" customHeight="1">
      <c r="A996" s="30"/>
      <c r="B996" s="30"/>
      <c r="C996" s="30"/>
      <c r="D996" s="30"/>
      <c r="E996" s="30"/>
      <c r="F996" s="30"/>
      <c r="G996" s="30"/>
    </row>
    <row r="997" ht="15.75" customHeight="1">
      <c r="A997" s="30"/>
      <c r="B997" s="30"/>
      <c r="C997" s="30"/>
      <c r="D997" s="30"/>
      <c r="E997" s="30"/>
      <c r="F997" s="30"/>
      <c r="G997" s="30"/>
    </row>
    <row r="998" ht="15.75" customHeight="1">
      <c r="A998" s="30"/>
      <c r="B998" s="30"/>
      <c r="C998" s="30"/>
      <c r="D998" s="30"/>
      <c r="E998" s="30"/>
      <c r="F998" s="30"/>
      <c r="G998" s="30"/>
    </row>
    <row r="999" ht="15.75" customHeight="1">
      <c r="A999" s="30"/>
      <c r="B999" s="30"/>
      <c r="C999" s="30"/>
      <c r="D999" s="30"/>
      <c r="E999" s="30"/>
      <c r="F999" s="30"/>
      <c r="G999" s="30"/>
    </row>
    <row r="1000" ht="15.75" customHeight="1">
      <c r="A1000" s="30"/>
      <c r="B1000" s="30"/>
      <c r="C1000" s="30"/>
      <c r="D1000" s="30"/>
      <c r="E1000" s="30"/>
      <c r="F1000" s="30"/>
      <c r="G1000" s="30"/>
    </row>
  </sheetData>
  <mergeCells count="13">
    <mergeCell ref="B32:C32"/>
    <mergeCell ref="D32:G32"/>
    <mergeCell ref="B33:C33"/>
    <mergeCell ref="D33:G33"/>
    <mergeCell ref="B34:C34"/>
    <mergeCell ref="D34:G34"/>
    <mergeCell ref="A1:G1"/>
    <mergeCell ref="A2:G2"/>
    <mergeCell ref="A4:G4"/>
    <mergeCell ref="A18:G18"/>
    <mergeCell ref="A30:G30"/>
    <mergeCell ref="B31:C31"/>
    <mergeCell ref="D31:G3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84C"/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4" width="11.0"/>
    <col customWidth="1" min="5" max="5" width="18.0"/>
    <col customWidth="1" min="6" max="6" width="16.0"/>
    <col customWidth="1" min="7" max="7" width="18.0"/>
    <col customWidth="1" min="8" max="8" width="11.0"/>
    <col customWidth="1" min="9" max="9" width="15.86"/>
    <col customWidth="1" min="10" max="10" width="25.86"/>
    <col customWidth="1" min="11" max="22" width="8.71"/>
  </cols>
  <sheetData>
    <row r="1" ht="43.5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5" t="str">
        <f>IFERROR("Data per: "&amp;TEXT(TODAY(),"DD MMMM YYYY")&amp;"  ·  Semua KPI update otomatis dari engine  ·  Tidak ada input manual di sheet ini","—")</f>
        <v>Data per: 13 April 2026  ·  Semua KPI update otomatis dari engine  ·  Tidak ada input manual di sheet ini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31" t="s">
        <v>131</v>
      </c>
      <c r="B3" s="32"/>
      <c r="C3" s="32"/>
      <c r="D3" s="32"/>
      <c r="E3" s="32"/>
      <c r="F3" s="32"/>
      <c r="G3" s="32"/>
      <c r="H3" s="32"/>
      <c r="I3" s="32"/>
      <c r="J3" s="33"/>
    </row>
    <row r="4" ht="18.0" customHeight="1">
      <c r="A4" s="34" t="s">
        <v>132</v>
      </c>
      <c r="B4" s="35"/>
      <c r="C4" s="34" t="s">
        <v>133</v>
      </c>
      <c r="D4" s="35"/>
      <c r="E4" s="34" t="s">
        <v>134</v>
      </c>
      <c r="F4" s="35"/>
      <c r="G4" s="34" t="s">
        <v>135</v>
      </c>
      <c r="H4" s="35"/>
      <c r="I4" s="34" t="s">
        <v>136</v>
      </c>
      <c r="J4" s="35"/>
    </row>
    <row r="5" ht="36.0" customHeight="1">
      <c r="A5" s="36">
        <f>IFERROR(SUMIFS(SUMMARY_ENGINE!$I:$I,SUMMARY_ENGINE!$A:$A,"HZN-*"),0)</f>
        <v>113800000</v>
      </c>
      <c r="B5" s="37"/>
      <c r="C5" s="36">
        <f>IFERROR(SUMIFS(SUMMARY_ENGINE!$H:$H,SUMMARY_ENGINE!$A:$A,"HZN-*"),0)</f>
        <v>215967000</v>
      </c>
      <c r="D5" s="37"/>
      <c r="E5" s="38">
        <f>IFERROR(SUMIFS(SUMMARY_ENGINE!$J:$J,SUMMARY_ENGINE!$A:$A,"HZN-*"),0)</f>
        <v>-102167000</v>
      </c>
      <c r="F5" s="37"/>
      <c r="G5" s="39">
        <f>IFERROR(IF(A5=0,0,E5/A5),0)</f>
        <v>-0.8977768014</v>
      </c>
      <c r="H5" s="37"/>
      <c r="I5" s="36">
        <f t="array" ref="I5">IFERROR(INDEX(CASHFLOW!$G:$G,MATCH(2,1/(CASHFLOW!$A:$A&lt;&gt;""),1)),0)</f>
        <v>111300000</v>
      </c>
      <c r="J5" s="37"/>
    </row>
    <row r="6" ht="15.75" customHeight="1">
      <c r="A6" s="40"/>
      <c r="B6" s="41"/>
      <c r="C6" s="40"/>
      <c r="D6" s="41"/>
      <c r="E6" s="40" t="str">
        <f>IF(E5&gt;=0,"▲ Profit Positif","▼ Masih Rugi")</f>
        <v>▼ Masih Rugi</v>
      </c>
      <c r="F6" s="41"/>
      <c r="G6" s="40" t="str">
        <f>IF(G5&gt;=PARAM_MARGIN_TARGET,"▲ Di Atas Target","▼ Di Bawah Target")</f>
        <v>▼ Di Bawah Target</v>
      </c>
      <c r="H6" s="41"/>
      <c r="I6" s="40" t="str">
        <f>IF(I5&gt;=50000000,"▲ Kas Aman","▼ Monitor Kas")</f>
        <v>▲ Kas Aman</v>
      </c>
      <c r="J6" s="41"/>
    </row>
    <row r="7" ht="21.75" customHeight="1">
      <c r="A7" s="31" t="s">
        <v>137</v>
      </c>
      <c r="B7" s="32"/>
      <c r="C7" s="32"/>
      <c r="D7" s="32"/>
      <c r="E7" s="32"/>
      <c r="F7" s="32"/>
      <c r="G7" s="32"/>
      <c r="H7" s="32"/>
      <c r="I7" s="32"/>
      <c r="J7" s="33"/>
    </row>
    <row r="8" ht="18.0" customHeight="1">
      <c r="A8" s="42" t="s">
        <v>138</v>
      </c>
      <c r="B8" s="43"/>
      <c r="C8" s="42" t="s">
        <v>139</v>
      </c>
      <c r="D8" s="43"/>
      <c r="E8" s="42" t="s">
        <v>140</v>
      </c>
      <c r="F8" s="43"/>
      <c r="G8" s="42" t="s">
        <v>141</v>
      </c>
      <c r="H8" s="43"/>
      <c r="I8" s="42" t="s">
        <v>142</v>
      </c>
      <c r="J8" s="43"/>
    </row>
    <row r="9" ht="36.0" customHeight="1">
      <c r="A9" s="44">
        <f>IFERROR(COUNTA(SUMMARY_ENGINE!$A$4:$A$203),0)</f>
        <v>7</v>
      </c>
      <c r="B9" s="45"/>
      <c r="C9" s="44">
        <f>IFERROR(COUNTIFS(PRODUCTION_PLAN!$H$4:$H$203,"Produksi")+COUNTIFS(PRODUCTION_PLAN!$H$4:$H$203,"Sample"),0)</f>
        <v>5</v>
      </c>
      <c r="D9" s="45"/>
      <c r="E9" s="44">
        <f>IFERROR(COUNTIFS(PRODUCTION_PLAN!$H$4:$H$203,"Selesai"),0)</f>
        <v>1</v>
      </c>
      <c r="F9" s="45"/>
      <c r="G9" s="44">
        <f>IFERROR(SUMIFS(SUMMARY_ENGINE!$F$4:$F$203,SUMMARY_ENGINE!$A$4:$A$203,"HZN-*"),0)</f>
        <v>368</v>
      </c>
      <c r="H9" s="45"/>
      <c r="I9" s="46">
        <f>IFERROR(IF(SUMIFS(SUMMARY_ENGINE!$E$4:$E$203,SUMMARY_ENGINE!$A$4:$A$203,"HZN-*")=0,0,SUMIFS(SUMMARY_ENGINE!$F$4:$F$203,SUMMARY_ENGINE!$A$4:$A$203,"HZN-*")/SUMIFS(SUMMARY_ENGINE!$E$4:$E$203,SUMMARY_ENGINE!$A$4:$A$203,"HZN-*")),0)</f>
        <v>0.3705941591</v>
      </c>
      <c r="J9" s="45"/>
    </row>
    <row r="10" ht="21.75" customHeight="1">
      <c r="A10" s="47" t="s">
        <v>143</v>
      </c>
      <c r="B10" s="48"/>
      <c r="C10" s="48"/>
      <c r="D10" s="48"/>
      <c r="E10" s="48"/>
      <c r="F10" s="48"/>
      <c r="G10" s="48"/>
      <c r="H10" s="48"/>
      <c r="I10" s="48"/>
      <c r="J10" s="49"/>
    </row>
    <row r="11" ht="27.75" customHeight="1">
      <c r="A11" s="7" t="s">
        <v>144</v>
      </c>
      <c r="B11" s="7" t="s">
        <v>15</v>
      </c>
      <c r="C11" s="7" t="s">
        <v>145</v>
      </c>
      <c r="D11" s="7" t="s">
        <v>146</v>
      </c>
      <c r="E11" s="7" t="s">
        <v>147</v>
      </c>
      <c r="F11" s="7" t="s">
        <v>148</v>
      </c>
      <c r="G11" s="7" t="s">
        <v>149</v>
      </c>
      <c r="H11" s="7" t="s">
        <v>150</v>
      </c>
      <c r="I11" s="7" t="s">
        <v>151</v>
      </c>
      <c r="J11" s="7" t="s">
        <v>152</v>
      </c>
    </row>
    <row r="12" ht="18.75" customHeight="1">
      <c r="A12" s="50" t="str">
        <f>IFERROR(IF(SUMMARY_ENGINE!A4="","",SUMMARY_ENGINE!A4),"")</f>
        <v>HZN-2604-001</v>
      </c>
      <c r="B12" s="51" t="str">
        <f>IFERROR(IF(SUMMARY_ENGINE!A4="","",SUMMARY_ENGINE!C4),"")</f>
        <v>Abaya Premium Linen</v>
      </c>
      <c r="C12" s="52">
        <f>IFERROR(SUMMARY_ENGINE!E4,0)</f>
        <v>148</v>
      </c>
      <c r="D12" s="52">
        <f>IFERROR(SUMMARY_ENGINE!F4,0)</f>
        <v>148</v>
      </c>
      <c r="E12" s="53">
        <f>IFERROR(SUMMARY_ENGINE!I4,0)</f>
        <v>51800000</v>
      </c>
      <c r="F12" s="54">
        <f>IFERROR(SUMMARY_ENGINE!H4,0)</f>
        <v>28753000</v>
      </c>
      <c r="G12" s="55">
        <f>IFERROR(SUMMARY_ENGINE!J4,0)</f>
        <v>23047000</v>
      </c>
      <c r="H12" s="56">
        <f>IFERROR(SUMMARY_ENGINE!K4,0)</f>
        <v>0.4449227799</v>
      </c>
      <c r="I12" s="56">
        <f>IFERROR(SUMMARY_ENGINE!M4,0)</f>
        <v>1</v>
      </c>
      <c r="J12" s="57" t="str">
        <f>IFERROR(SUMMARY_ENGINE!N4,"—")</f>
        <v>SOLD OUT</v>
      </c>
    </row>
    <row r="13" ht="18.75" customHeight="1">
      <c r="A13" s="58" t="str">
        <f>IFERROR(IF(SUMMARY_ENGINE!A5="","",SUMMARY_ENGINE!A5),"")</f>
        <v>HZN-2604-002</v>
      </c>
      <c r="B13" s="59" t="str">
        <f>IFERROR(IF(SUMMARY_ENGINE!A5="","",SUMMARY_ENGINE!C5),"")</f>
        <v>Gamis Velvet Bordir</v>
      </c>
      <c r="C13" s="60">
        <f>IFERROR(SUMMARY_ENGINE!E5,0)</f>
        <v>185</v>
      </c>
      <c r="D13" s="60">
        <f>IFERROR(SUMMARY_ENGINE!F5,0)</f>
        <v>0</v>
      </c>
      <c r="E13" s="61">
        <f>IFERROR(SUMMARY_ENGINE!I5,0)</f>
        <v>0</v>
      </c>
      <c r="F13" s="62">
        <f>IFERROR(SUMMARY_ENGINE!H5,0)</f>
        <v>45628000</v>
      </c>
      <c r="G13" s="63">
        <f>IFERROR(SUMMARY_ENGINE!J5,0)</f>
        <v>-45628000</v>
      </c>
      <c r="H13" s="64">
        <f>IFERROR(SUMMARY_ENGINE!K5,0)</f>
        <v>-1</v>
      </c>
      <c r="I13" s="64">
        <f>IFERROR(SUMMARY_ENGINE!M5,0)</f>
        <v>0</v>
      </c>
      <c r="J13" s="65" t="str">
        <f>IFERROR(SUMMARY_ENGINE!N5,"—")</f>
        <v>BELUM TERJUAL</v>
      </c>
    </row>
    <row r="14" ht="18.75" customHeight="1">
      <c r="A14" s="50" t="str">
        <f>IFERROR(IF(SUMMARY_ENGINE!A6="","",SUMMARY_ENGINE!A6),"")</f>
        <v>HZN-2604-003</v>
      </c>
      <c r="B14" s="51" t="str">
        <f>IFERROR(IF(SUMMARY_ENGINE!A6="","",SUMMARY_ENGINE!C6),"")</f>
        <v>Kaftan Silk Premium</v>
      </c>
      <c r="C14" s="52">
        <f>IFERROR(SUMMARY_ENGINE!E6,0)</f>
        <v>80</v>
      </c>
      <c r="D14" s="52">
        <f>IFERROR(SUMMARY_ENGINE!F6,0)</f>
        <v>0</v>
      </c>
      <c r="E14" s="53">
        <f>IFERROR(SUMMARY_ENGINE!I6,0)</f>
        <v>0</v>
      </c>
      <c r="F14" s="54">
        <f>IFERROR(SUMMARY_ENGINE!H6,0)</f>
        <v>22152000</v>
      </c>
      <c r="G14" s="55">
        <f>IFERROR(SUMMARY_ENGINE!J6,0)</f>
        <v>-22152000</v>
      </c>
      <c r="H14" s="56">
        <f>IFERROR(SUMMARY_ENGINE!K6,0)</f>
        <v>-1</v>
      </c>
      <c r="I14" s="56">
        <f>IFERROR(SUMMARY_ENGINE!M6,0)</f>
        <v>0</v>
      </c>
      <c r="J14" s="57" t="str">
        <f>IFERROR(SUMMARY_ENGINE!N6,"—")</f>
        <v>BELUM TERJUAL</v>
      </c>
    </row>
    <row r="15" ht="18.75" customHeight="1">
      <c r="A15" s="58" t="str">
        <f>IFERROR(IF(SUMMARY_ENGINE!A7="","",SUMMARY_ENGINE!A7),"")</f>
        <v>HZN-2604-004</v>
      </c>
      <c r="B15" s="59" t="str">
        <f>IFERROR(IF(SUMMARY_ENGINE!A7="","",SUMMARY_ENGINE!C7),"")</f>
        <v>Tunik Casual Linen</v>
      </c>
      <c r="C15" s="60">
        <f>IFERROR(SUMMARY_ENGINE!E7,0)</f>
        <v>120</v>
      </c>
      <c r="D15" s="60">
        <f>IFERROR(SUMMARY_ENGINE!F7,0)</f>
        <v>120</v>
      </c>
      <c r="E15" s="61">
        <f>IFERROR(SUMMARY_ENGINE!I7,0)</f>
        <v>27000000</v>
      </c>
      <c r="F15" s="62">
        <f>IFERROR(SUMMARY_ENGINE!H7,0)</f>
        <v>14898000</v>
      </c>
      <c r="G15" s="63">
        <f>IFERROR(SUMMARY_ENGINE!J7,0)</f>
        <v>12102000</v>
      </c>
      <c r="H15" s="64">
        <f>IFERROR(SUMMARY_ENGINE!K7,0)</f>
        <v>0.4482222222</v>
      </c>
      <c r="I15" s="64">
        <f>IFERROR(SUMMARY_ENGINE!M7,0)</f>
        <v>1</v>
      </c>
      <c r="J15" s="65" t="str">
        <f>IFERROR(SUMMARY_ENGINE!N7,"—")</f>
        <v>SOLD OUT</v>
      </c>
    </row>
    <row r="16" ht="18.75" customHeight="1">
      <c r="A16" s="50" t="str">
        <f>IFERROR(IF(SUMMARY_ENGINE!A8="","",SUMMARY_ENGINE!A8),"")</f>
        <v>HZN-2604-005</v>
      </c>
      <c r="B16" s="51" t="str">
        <f>IFERROR(IF(SUMMARY_ENGINE!A8="","",SUMMARY_ENGINE!C8),"")</f>
        <v>Dress Batik Modern</v>
      </c>
      <c r="C16" s="52">
        <f>IFERROR(SUMMARY_ENGINE!E8,0)</f>
        <v>50</v>
      </c>
      <c r="D16" s="52">
        <f>IFERROR(SUMMARY_ENGINE!F8,0)</f>
        <v>0</v>
      </c>
      <c r="E16" s="53">
        <f>IFERROR(SUMMARY_ENGINE!I8,0)</f>
        <v>0</v>
      </c>
      <c r="F16" s="54">
        <f>IFERROR(SUMMARY_ENGINE!H8,0)</f>
        <v>15800000</v>
      </c>
      <c r="G16" s="55">
        <f>IFERROR(SUMMARY_ENGINE!J8,0)</f>
        <v>-15800000</v>
      </c>
      <c r="H16" s="56">
        <f>IFERROR(SUMMARY_ENGINE!K8,0)</f>
        <v>-1</v>
      </c>
      <c r="I16" s="56">
        <f>IFERROR(SUMMARY_ENGINE!M8,0)</f>
        <v>0</v>
      </c>
      <c r="J16" s="57" t="str">
        <f>IFERROR(SUMMARY_ENGINE!N8,"—")</f>
        <v>BELUM TERJUAL</v>
      </c>
    </row>
    <row r="17" ht="18.75" customHeight="1">
      <c r="A17" s="58" t="str">
        <f>IFERROR(IF(SUMMARY_ENGINE!A9="","",SUMMARY_ENGINE!A9),"")</f>
        <v>HZN-2604-006</v>
      </c>
      <c r="B17" s="59" t="str">
        <f>IFERROR(IF(SUMMARY_ENGINE!A9="","",SUMMARY_ENGINE!C9),"")</f>
        <v>Abaya Premium Linen</v>
      </c>
      <c r="C17" s="60">
        <f>IFERROR(SUMMARY_ENGINE!E9,0)</f>
        <v>240</v>
      </c>
      <c r="D17" s="60">
        <f>IFERROR(SUMMARY_ENGINE!F9,0)</f>
        <v>100</v>
      </c>
      <c r="E17" s="61">
        <f>IFERROR(SUMMARY_ENGINE!I9,0)</f>
        <v>35000000</v>
      </c>
      <c r="F17" s="62">
        <f>IFERROR(SUMMARY_ENGINE!H9,0)</f>
        <v>47715000</v>
      </c>
      <c r="G17" s="63">
        <f>IFERROR(SUMMARY_ENGINE!J9,0)</f>
        <v>-12715000</v>
      </c>
      <c r="H17" s="64">
        <f>IFERROR(SUMMARY_ENGINE!K9,0)</f>
        <v>-0.3632857143</v>
      </c>
      <c r="I17" s="64">
        <f>IFERROR(SUMMARY_ENGINE!M9,0)</f>
        <v>0.4166666667</v>
      </c>
      <c r="J17" s="65" t="str">
        <f>IFERROR(SUMMARY_ENGINE!N9,"—")</f>
        <v>SLOW MOVE</v>
      </c>
    </row>
    <row r="18" ht="18.75" customHeight="1">
      <c r="A18" s="50" t="str">
        <f>IFERROR(IF(SUMMARY_ENGINE!A10="","",SUMMARY_ENGINE!A10),"")</f>
        <v>HZN-2604-007</v>
      </c>
      <c r="B18" s="51" t="str">
        <f>IFERROR(IF(SUMMARY_ENGINE!A10="","",SUMMARY_ENGINE!C10),"")</f>
        <v>Gamis Velvet Bordir</v>
      </c>
      <c r="C18" s="52">
        <f>IFERROR(SUMMARY_ENGINE!E10,0)</f>
        <v>170</v>
      </c>
      <c r="D18" s="52">
        <f>IFERROR(SUMMARY_ENGINE!F10,0)</f>
        <v>0</v>
      </c>
      <c r="E18" s="53">
        <f>IFERROR(SUMMARY_ENGINE!I10,0)</f>
        <v>0</v>
      </c>
      <c r="F18" s="54">
        <f>IFERROR(SUMMARY_ENGINE!H10,0)</f>
        <v>41021000</v>
      </c>
      <c r="G18" s="55">
        <f>IFERROR(SUMMARY_ENGINE!J10,0)</f>
        <v>-41021000</v>
      </c>
      <c r="H18" s="56">
        <f>IFERROR(SUMMARY_ENGINE!K10,0)</f>
        <v>-1</v>
      </c>
      <c r="I18" s="56">
        <f>IFERROR(SUMMARY_ENGINE!M10,0)</f>
        <v>0</v>
      </c>
      <c r="J18" s="57" t="str">
        <f>IFERROR(SUMMARY_ENGINE!N10,"—")</f>
        <v>BELUM TERJUAL</v>
      </c>
    </row>
    <row r="19" ht="18.75" customHeight="1">
      <c r="A19" s="58" t="str">
        <f>IFERROR(IF(SUMMARY_ENGINE!A11="","",SUMMARY_ENGINE!A11),"")</f>
        <v/>
      </c>
      <c r="B19" s="59" t="str">
        <f>IFERROR(IF(SUMMARY_ENGINE!A11="","",SUMMARY_ENGINE!C11),"")</f>
        <v/>
      </c>
      <c r="C19" s="60">
        <f>IFERROR(SUMMARY_ENGINE!E11,0)</f>
        <v>0</v>
      </c>
      <c r="D19" s="60">
        <f>IFERROR(SUMMARY_ENGINE!F11,0)</f>
        <v>0</v>
      </c>
      <c r="E19" s="61">
        <f>IFERROR(SUMMARY_ENGINE!I11,0)</f>
        <v>0</v>
      </c>
      <c r="F19" s="62">
        <f>IFERROR(SUMMARY_ENGINE!H11,0)</f>
        <v>0</v>
      </c>
      <c r="G19" s="63">
        <f>IFERROR(SUMMARY_ENGINE!J11,0)</f>
        <v>0</v>
      </c>
      <c r="H19" s="64">
        <f>IFERROR(SUMMARY_ENGINE!K11,0)</f>
        <v>0</v>
      </c>
      <c r="I19" s="64">
        <f>IFERROR(SUMMARY_ENGINE!M11,0)</f>
        <v>0</v>
      </c>
      <c r="J19" s="65" t="str">
        <f>IFERROR(SUMMARY_ENGINE!N11,"—")</f>
        <v>—</v>
      </c>
    </row>
    <row r="20" ht="18.75" customHeight="1">
      <c r="A20" s="50" t="str">
        <f>IFERROR(IF(SUMMARY_ENGINE!A12="","",SUMMARY_ENGINE!A12),"")</f>
        <v/>
      </c>
      <c r="B20" s="51" t="str">
        <f>IFERROR(IF(SUMMARY_ENGINE!A12="","",SUMMARY_ENGINE!C12),"")</f>
        <v/>
      </c>
      <c r="C20" s="52">
        <f>IFERROR(SUMMARY_ENGINE!E12,0)</f>
        <v>0</v>
      </c>
      <c r="D20" s="52">
        <f>IFERROR(SUMMARY_ENGINE!F12,0)</f>
        <v>0</v>
      </c>
      <c r="E20" s="53">
        <f>IFERROR(SUMMARY_ENGINE!I12,0)</f>
        <v>0</v>
      </c>
      <c r="F20" s="54">
        <f>IFERROR(SUMMARY_ENGINE!H12,0)</f>
        <v>0</v>
      </c>
      <c r="G20" s="55">
        <f>IFERROR(SUMMARY_ENGINE!J12,0)</f>
        <v>0</v>
      </c>
      <c r="H20" s="56">
        <f>IFERROR(SUMMARY_ENGINE!K12,0)</f>
        <v>0</v>
      </c>
      <c r="I20" s="56">
        <f>IFERROR(SUMMARY_ENGINE!M12,0)</f>
        <v>0</v>
      </c>
      <c r="J20" s="57" t="str">
        <f>IFERROR(SUMMARY_ENGINE!N12,"—")</f>
        <v>—</v>
      </c>
    </row>
    <row r="21" ht="18.75" customHeight="1">
      <c r="A21" s="58" t="str">
        <f>IFERROR(IF(SUMMARY_ENGINE!A13="","",SUMMARY_ENGINE!A13),"")</f>
        <v/>
      </c>
      <c r="B21" s="59" t="str">
        <f>IFERROR(IF(SUMMARY_ENGINE!A13="","",SUMMARY_ENGINE!C13),"")</f>
        <v/>
      </c>
      <c r="C21" s="60">
        <f>IFERROR(SUMMARY_ENGINE!E13,0)</f>
        <v>0</v>
      </c>
      <c r="D21" s="60">
        <f>IFERROR(SUMMARY_ENGINE!F13,0)</f>
        <v>0</v>
      </c>
      <c r="E21" s="61">
        <f>IFERROR(SUMMARY_ENGINE!I13,0)</f>
        <v>0</v>
      </c>
      <c r="F21" s="62">
        <f>IFERROR(SUMMARY_ENGINE!H13,0)</f>
        <v>0</v>
      </c>
      <c r="G21" s="63">
        <f>IFERROR(SUMMARY_ENGINE!J13,0)</f>
        <v>0</v>
      </c>
      <c r="H21" s="64">
        <f>IFERROR(SUMMARY_ENGINE!K13,0)</f>
        <v>0</v>
      </c>
      <c r="I21" s="64">
        <f>IFERROR(SUMMARY_ENGINE!M13,0)</f>
        <v>0</v>
      </c>
      <c r="J21" s="65" t="str">
        <f>IFERROR(SUMMARY_ENGINE!N13,"—")</f>
        <v>—</v>
      </c>
    </row>
    <row r="22" ht="18.75" customHeight="1">
      <c r="A22" s="50" t="str">
        <f>IFERROR(IF(SUMMARY_ENGINE!A14="","",SUMMARY_ENGINE!A14),"")</f>
        <v/>
      </c>
      <c r="B22" s="51" t="str">
        <f>IFERROR(IF(SUMMARY_ENGINE!A14="","",SUMMARY_ENGINE!C14),"")</f>
        <v/>
      </c>
      <c r="C22" s="52">
        <f>IFERROR(SUMMARY_ENGINE!E14,0)</f>
        <v>0</v>
      </c>
      <c r="D22" s="52">
        <f>IFERROR(SUMMARY_ENGINE!F14,0)</f>
        <v>0</v>
      </c>
      <c r="E22" s="53">
        <f>IFERROR(SUMMARY_ENGINE!I14,0)</f>
        <v>0</v>
      </c>
      <c r="F22" s="54">
        <f>IFERROR(SUMMARY_ENGINE!H14,0)</f>
        <v>0</v>
      </c>
      <c r="G22" s="55">
        <f>IFERROR(SUMMARY_ENGINE!J14,0)</f>
        <v>0</v>
      </c>
      <c r="H22" s="56">
        <f>IFERROR(SUMMARY_ENGINE!K14,0)</f>
        <v>0</v>
      </c>
      <c r="I22" s="56">
        <f>IFERROR(SUMMARY_ENGINE!M14,0)</f>
        <v>0</v>
      </c>
      <c r="J22" s="57" t="str">
        <f>IFERROR(SUMMARY_ENGINE!N14,"—")</f>
        <v>—</v>
      </c>
    </row>
    <row r="23" ht="18.75" customHeight="1">
      <c r="A23" s="58" t="str">
        <f>IFERROR(IF(SUMMARY_ENGINE!A15="","",SUMMARY_ENGINE!A15),"")</f>
        <v/>
      </c>
      <c r="B23" s="59" t="str">
        <f>IFERROR(IF(SUMMARY_ENGINE!A15="","",SUMMARY_ENGINE!C15),"")</f>
        <v/>
      </c>
      <c r="C23" s="60">
        <f>IFERROR(SUMMARY_ENGINE!E15,0)</f>
        <v>0</v>
      </c>
      <c r="D23" s="60">
        <f>IFERROR(SUMMARY_ENGINE!F15,0)</f>
        <v>0</v>
      </c>
      <c r="E23" s="61">
        <f>IFERROR(SUMMARY_ENGINE!I15,0)</f>
        <v>0</v>
      </c>
      <c r="F23" s="62">
        <f>IFERROR(SUMMARY_ENGINE!H15,0)</f>
        <v>0</v>
      </c>
      <c r="G23" s="63">
        <f>IFERROR(SUMMARY_ENGINE!J15,0)</f>
        <v>0</v>
      </c>
      <c r="H23" s="64">
        <f>IFERROR(SUMMARY_ENGINE!K15,0)</f>
        <v>0</v>
      </c>
      <c r="I23" s="64">
        <f>IFERROR(SUMMARY_ENGINE!M15,0)</f>
        <v>0</v>
      </c>
      <c r="J23" s="65" t="str">
        <f>IFERROR(SUMMARY_ENGINE!N15,"—")</f>
        <v>—</v>
      </c>
    </row>
    <row r="24" ht="18.75" customHeight="1">
      <c r="A24" s="50" t="str">
        <f>IFERROR(IF(SUMMARY_ENGINE!A16="","",SUMMARY_ENGINE!A16),"")</f>
        <v/>
      </c>
      <c r="B24" s="51" t="str">
        <f>IFERROR(IF(SUMMARY_ENGINE!A16="","",SUMMARY_ENGINE!C16),"")</f>
        <v/>
      </c>
      <c r="C24" s="52">
        <f>IFERROR(SUMMARY_ENGINE!E16,0)</f>
        <v>0</v>
      </c>
      <c r="D24" s="52">
        <f>IFERROR(SUMMARY_ENGINE!F16,0)</f>
        <v>0</v>
      </c>
      <c r="E24" s="53">
        <f>IFERROR(SUMMARY_ENGINE!I16,0)</f>
        <v>0</v>
      </c>
      <c r="F24" s="54">
        <f>IFERROR(SUMMARY_ENGINE!H16,0)</f>
        <v>0</v>
      </c>
      <c r="G24" s="55">
        <f>IFERROR(SUMMARY_ENGINE!J16,0)</f>
        <v>0</v>
      </c>
      <c r="H24" s="56">
        <f>IFERROR(SUMMARY_ENGINE!K16,0)</f>
        <v>0</v>
      </c>
      <c r="I24" s="56">
        <f>IFERROR(SUMMARY_ENGINE!M16,0)</f>
        <v>0</v>
      </c>
      <c r="J24" s="57" t="str">
        <f>IFERROR(SUMMARY_ENGINE!N16,"—")</f>
        <v>—</v>
      </c>
    </row>
    <row r="25" ht="18.75" customHeight="1">
      <c r="A25" s="58" t="str">
        <f>IFERROR(IF(SUMMARY_ENGINE!A17="","",SUMMARY_ENGINE!A17),"")</f>
        <v/>
      </c>
      <c r="B25" s="59" t="str">
        <f>IFERROR(IF(SUMMARY_ENGINE!A17="","",SUMMARY_ENGINE!C17),"")</f>
        <v/>
      </c>
      <c r="C25" s="60">
        <f>IFERROR(SUMMARY_ENGINE!E17,0)</f>
        <v>0</v>
      </c>
      <c r="D25" s="60">
        <f>IFERROR(SUMMARY_ENGINE!F17,0)</f>
        <v>0</v>
      </c>
      <c r="E25" s="61">
        <f>IFERROR(SUMMARY_ENGINE!I17,0)</f>
        <v>0</v>
      </c>
      <c r="F25" s="62">
        <f>IFERROR(SUMMARY_ENGINE!H17,0)</f>
        <v>0</v>
      </c>
      <c r="G25" s="63">
        <f>IFERROR(SUMMARY_ENGINE!J17,0)</f>
        <v>0</v>
      </c>
      <c r="H25" s="64">
        <f>IFERROR(SUMMARY_ENGINE!K17,0)</f>
        <v>0</v>
      </c>
      <c r="I25" s="64">
        <f>IFERROR(SUMMARY_ENGINE!M17,0)</f>
        <v>0</v>
      </c>
      <c r="J25" s="65" t="str">
        <f>IFERROR(SUMMARY_ENGINE!N17,"—")</f>
        <v>—</v>
      </c>
    </row>
    <row r="26" ht="18.75" customHeight="1">
      <c r="A26" s="50" t="str">
        <f>IFERROR(IF(SUMMARY_ENGINE!A18="","",SUMMARY_ENGINE!A18),"")</f>
        <v/>
      </c>
      <c r="B26" s="51" t="str">
        <f>IFERROR(IF(SUMMARY_ENGINE!A18="","",SUMMARY_ENGINE!C18),"")</f>
        <v/>
      </c>
      <c r="C26" s="52">
        <f>IFERROR(SUMMARY_ENGINE!E18,0)</f>
        <v>0</v>
      </c>
      <c r="D26" s="52">
        <f>IFERROR(SUMMARY_ENGINE!F18,0)</f>
        <v>0</v>
      </c>
      <c r="E26" s="53">
        <f>IFERROR(SUMMARY_ENGINE!I18,0)</f>
        <v>0</v>
      </c>
      <c r="F26" s="54">
        <f>IFERROR(SUMMARY_ENGINE!H18,0)</f>
        <v>0</v>
      </c>
      <c r="G26" s="55">
        <f>IFERROR(SUMMARY_ENGINE!J18,0)</f>
        <v>0</v>
      </c>
      <c r="H26" s="56">
        <f>IFERROR(SUMMARY_ENGINE!K18,0)</f>
        <v>0</v>
      </c>
      <c r="I26" s="56">
        <f>IFERROR(SUMMARY_ENGINE!M18,0)</f>
        <v>0</v>
      </c>
      <c r="J26" s="57" t="str">
        <f>IFERROR(SUMMARY_ENGINE!N18,"—")</f>
        <v>—</v>
      </c>
    </row>
    <row r="27" ht="18.75" customHeight="1">
      <c r="A27" s="58" t="str">
        <f>IFERROR(IF(SUMMARY_ENGINE!A19="","",SUMMARY_ENGINE!A19),"")</f>
        <v/>
      </c>
      <c r="B27" s="59" t="str">
        <f>IFERROR(IF(SUMMARY_ENGINE!A19="","",SUMMARY_ENGINE!C19),"")</f>
        <v/>
      </c>
      <c r="C27" s="60">
        <f>IFERROR(SUMMARY_ENGINE!E19,0)</f>
        <v>0</v>
      </c>
      <c r="D27" s="60">
        <f>IFERROR(SUMMARY_ENGINE!F19,0)</f>
        <v>0</v>
      </c>
      <c r="E27" s="61">
        <f>IFERROR(SUMMARY_ENGINE!I19,0)</f>
        <v>0</v>
      </c>
      <c r="F27" s="62">
        <f>IFERROR(SUMMARY_ENGINE!H19,0)</f>
        <v>0</v>
      </c>
      <c r="G27" s="63">
        <f>IFERROR(SUMMARY_ENGINE!J19,0)</f>
        <v>0</v>
      </c>
      <c r="H27" s="64">
        <f>IFERROR(SUMMARY_ENGINE!K19,0)</f>
        <v>0</v>
      </c>
      <c r="I27" s="64">
        <f>IFERROR(SUMMARY_ENGINE!M19,0)</f>
        <v>0</v>
      </c>
      <c r="J27" s="65" t="str">
        <f>IFERROR(SUMMARY_ENGINE!N19,"—")</f>
        <v>—</v>
      </c>
    </row>
    <row r="28" ht="18.75" customHeight="1">
      <c r="A28" s="50" t="str">
        <f>IFERROR(IF(SUMMARY_ENGINE!A20="","",SUMMARY_ENGINE!A20),"")</f>
        <v/>
      </c>
      <c r="B28" s="51" t="str">
        <f>IFERROR(IF(SUMMARY_ENGINE!A20="","",SUMMARY_ENGINE!C20),"")</f>
        <v/>
      </c>
      <c r="C28" s="52">
        <f>IFERROR(SUMMARY_ENGINE!E20,0)</f>
        <v>0</v>
      </c>
      <c r="D28" s="52">
        <f>IFERROR(SUMMARY_ENGINE!F20,0)</f>
        <v>0</v>
      </c>
      <c r="E28" s="53">
        <f>IFERROR(SUMMARY_ENGINE!I20,0)</f>
        <v>0</v>
      </c>
      <c r="F28" s="54">
        <f>IFERROR(SUMMARY_ENGINE!H20,0)</f>
        <v>0</v>
      </c>
      <c r="G28" s="55">
        <f>IFERROR(SUMMARY_ENGINE!J20,0)</f>
        <v>0</v>
      </c>
      <c r="H28" s="56">
        <f>IFERROR(SUMMARY_ENGINE!K20,0)</f>
        <v>0</v>
      </c>
      <c r="I28" s="56">
        <f>IFERROR(SUMMARY_ENGINE!M20,0)</f>
        <v>0</v>
      </c>
      <c r="J28" s="57" t="str">
        <f>IFERROR(SUMMARY_ENGINE!N20,"—")</f>
        <v>—</v>
      </c>
    </row>
    <row r="29" ht="18.75" customHeight="1">
      <c r="A29" s="58" t="str">
        <f>IFERROR(IF(SUMMARY_ENGINE!A21="","",SUMMARY_ENGINE!A21),"")</f>
        <v/>
      </c>
      <c r="B29" s="59" t="str">
        <f>IFERROR(IF(SUMMARY_ENGINE!A21="","",SUMMARY_ENGINE!C21),"")</f>
        <v/>
      </c>
      <c r="C29" s="60">
        <f>IFERROR(SUMMARY_ENGINE!E21,0)</f>
        <v>0</v>
      </c>
      <c r="D29" s="60">
        <f>IFERROR(SUMMARY_ENGINE!F21,0)</f>
        <v>0</v>
      </c>
      <c r="E29" s="61">
        <f>IFERROR(SUMMARY_ENGINE!I21,0)</f>
        <v>0</v>
      </c>
      <c r="F29" s="62">
        <f>IFERROR(SUMMARY_ENGINE!H21,0)</f>
        <v>0</v>
      </c>
      <c r="G29" s="63">
        <f>IFERROR(SUMMARY_ENGINE!J21,0)</f>
        <v>0</v>
      </c>
      <c r="H29" s="64">
        <f>IFERROR(SUMMARY_ENGINE!K21,0)</f>
        <v>0</v>
      </c>
      <c r="I29" s="64">
        <f>IFERROR(SUMMARY_ENGINE!M21,0)</f>
        <v>0</v>
      </c>
      <c r="J29" s="65" t="str">
        <f>IFERROR(SUMMARY_ENGINE!N21,"—")</f>
        <v>—</v>
      </c>
    </row>
    <row r="30" ht="18.75" customHeight="1">
      <c r="A30" s="50" t="str">
        <f>IFERROR(IF(SUMMARY_ENGINE!A22="","",SUMMARY_ENGINE!A22),"")</f>
        <v/>
      </c>
      <c r="B30" s="51" t="str">
        <f>IFERROR(IF(SUMMARY_ENGINE!A22="","",SUMMARY_ENGINE!C22),"")</f>
        <v/>
      </c>
      <c r="C30" s="52">
        <f>IFERROR(SUMMARY_ENGINE!E22,0)</f>
        <v>0</v>
      </c>
      <c r="D30" s="52">
        <f>IFERROR(SUMMARY_ENGINE!F22,0)</f>
        <v>0</v>
      </c>
      <c r="E30" s="53">
        <f>IFERROR(SUMMARY_ENGINE!I22,0)</f>
        <v>0</v>
      </c>
      <c r="F30" s="54">
        <f>IFERROR(SUMMARY_ENGINE!H22,0)</f>
        <v>0</v>
      </c>
      <c r="G30" s="55">
        <f>IFERROR(SUMMARY_ENGINE!J22,0)</f>
        <v>0</v>
      </c>
      <c r="H30" s="56">
        <f>IFERROR(SUMMARY_ENGINE!K22,0)</f>
        <v>0</v>
      </c>
      <c r="I30" s="56">
        <f>IFERROR(SUMMARY_ENGINE!M22,0)</f>
        <v>0</v>
      </c>
      <c r="J30" s="57" t="str">
        <f>IFERROR(SUMMARY_ENGINE!N22,"—")</f>
        <v>—</v>
      </c>
    </row>
    <row r="31" ht="18.75" customHeight="1">
      <c r="A31" s="58" t="str">
        <f>IFERROR(IF(SUMMARY_ENGINE!A23="","",SUMMARY_ENGINE!A23),"")</f>
        <v/>
      </c>
      <c r="B31" s="59" t="str">
        <f>IFERROR(IF(SUMMARY_ENGINE!A23="","",SUMMARY_ENGINE!C23),"")</f>
        <v/>
      </c>
      <c r="C31" s="60">
        <f>IFERROR(SUMMARY_ENGINE!E23,0)</f>
        <v>0</v>
      </c>
      <c r="D31" s="60">
        <f>IFERROR(SUMMARY_ENGINE!F23,0)</f>
        <v>0</v>
      </c>
      <c r="E31" s="61">
        <f>IFERROR(SUMMARY_ENGINE!I23,0)</f>
        <v>0</v>
      </c>
      <c r="F31" s="62">
        <f>IFERROR(SUMMARY_ENGINE!H23,0)</f>
        <v>0</v>
      </c>
      <c r="G31" s="63">
        <f>IFERROR(SUMMARY_ENGINE!J23,0)</f>
        <v>0</v>
      </c>
      <c r="H31" s="64">
        <f>IFERROR(SUMMARY_ENGINE!K23,0)</f>
        <v>0</v>
      </c>
      <c r="I31" s="64">
        <f>IFERROR(SUMMARY_ENGINE!M23,0)</f>
        <v>0</v>
      </c>
      <c r="J31" s="65" t="str">
        <f>IFERROR(SUMMARY_ENGINE!N23,"—")</f>
        <v>—</v>
      </c>
    </row>
    <row r="32" ht="18.75" customHeight="1">
      <c r="A32" s="50" t="str">
        <f>IFERROR(IF(SUMMARY_ENGINE!A24="","",SUMMARY_ENGINE!A24),"")</f>
        <v/>
      </c>
      <c r="B32" s="51" t="str">
        <f>IFERROR(IF(SUMMARY_ENGINE!A24="","",SUMMARY_ENGINE!C24),"")</f>
        <v/>
      </c>
      <c r="C32" s="52">
        <f>IFERROR(SUMMARY_ENGINE!E24,0)</f>
        <v>0</v>
      </c>
      <c r="D32" s="52">
        <f>IFERROR(SUMMARY_ENGINE!F24,0)</f>
        <v>0</v>
      </c>
      <c r="E32" s="53">
        <f>IFERROR(SUMMARY_ENGINE!I24,0)</f>
        <v>0</v>
      </c>
      <c r="F32" s="54">
        <f>IFERROR(SUMMARY_ENGINE!H24,0)</f>
        <v>0</v>
      </c>
      <c r="G32" s="55">
        <f>IFERROR(SUMMARY_ENGINE!J24,0)</f>
        <v>0</v>
      </c>
      <c r="H32" s="56">
        <f>IFERROR(SUMMARY_ENGINE!K24,0)</f>
        <v>0</v>
      </c>
      <c r="I32" s="56">
        <f>IFERROR(SUMMARY_ENGINE!M24,0)</f>
        <v>0</v>
      </c>
      <c r="J32" s="57" t="str">
        <f>IFERROR(SUMMARY_ENGINE!N24,"—")</f>
        <v>—</v>
      </c>
    </row>
    <row r="33" ht="18.75" customHeight="1">
      <c r="A33" s="58" t="str">
        <f>IFERROR(IF(SUMMARY_ENGINE!A25="","",SUMMARY_ENGINE!A25),"")</f>
        <v/>
      </c>
      <c r="B33" s="59" t="str">
        <f>IFERROR(IF(SUMMARY_ENGINE!A25="","",SUMMARY_ENGINE!C25),"")</f>
        <v/>
      </c>
      <c r="C33" s="60">
        <f>IFERROR(SUMMARY_ENGINE!E25,0)</f>
        <v>0</v>
      </c>
      <c r="D33" s="60">
        <f>IFERROR(SUMMARY_ENGINE!F25,0)</f>
        <v>0</v>
      </c>
      <c r="E33" s="61">
        <f>IFERROR(SUMMARY_ENGINE!I25,0)</f>
        <v>0</v>
      </c>
      <c r="F33" s="62">
        <f>IFERROR(SUMMARY_ENGINE!H25,0)</f>
        <v>0</v>
      </c>
      <c r="G33" s="63">
        <f>IFERROR(SUMMARY_ENGINE!J25,0)</f>
        <v>0</v>
      </c>
      <c r="H33" s="64">
        <f>IFERROR(SUMMARY_ENGINE!K25,0)</f>
        <v>0</v>
      </c>
      <c r="I33" s="64">
        <f>IFERROR(SUMMARY_ENGINE!M25,0)</f>
        <v>0</v>
      </c>
      <c r="J33" s="65" t="str">
        <f>IFERROR(SUMMARY_ENGINE!N25,"—")</f>
        <v>—</v>
      </c>
    </row>
    <row r="34" ht="18.75" customHeight="1">
      <c r="A34" s="50" t="str">
        <f>IFERROR(IF(SUMMARY_ENGINE!A26="","",SUMMARY_ENGINE!A26),"")</f>
        <v/>
      </c>
      <c r="B34" s="51" t="str">
        <f>IFERROR(IF(SUMMARY_ENGINE!A26="","",SUMMARY_ENGINE!C26),"")</f>
        <v/>
      </c>
      <c r="C34" s="52">
        <f>IFERROR(SUMMARY_ENGINE!E26,0)</f>
        <v>0</v>
      </c>
      <c r="D34" s="52">
        <f>IFERROR(SUMMARY_ENGINE!F26,0)</f>
        <v>0</v>
      </c>
      <c r="E34" s="53">
        <f>IFERROR(SUMMARY_ENGINE!I26,0)</f>
        <v>0</v>
      </c>
      <c r="F34" s="54">
        <f>IFERROR(SUMMARY_ENGINE!H26,0)</f>
        <v>0</v>
      </c>
      <c r="G34" s="55">
        <f>IFERROR(SUMMARY_ENGINE!J26,0)</f>
        <v>0</v>
      </c>
      <c r="H34" s="56">
        <f>IFERROR(SUMMARY_ENGINE!K26,0)</f>
        <v>0</v>
      </c>
      <c r="I34" s="56">
        <f>IFERROR(SUMMARY_ENGINE!M26,0)</f>
        <v>0</v>
      </c>
      <c r="J34" s="57" t="str">
        <f>IFERROR(SUMMARY_ENGINE!N26,"—")</f>
        <v>—</v>
      </c>
    </row>
    <row r="35" ht="18.75" customHeight="1">
      <c r="A35" s="58" t="str">
        <f>IFERROR(IF(SUMMARY_ENGINE!A27="","",SUMMARY_ENGINE!A27),"")</f>
        <v/>
      </c>
      <c r="B35" s="59" t="str">
        <f>IFERROR(IF(SUMMARY_ENGINE!A27="","",SUMMARY_ENGINE!C27),"")</f>
        <v/>
      </c>
      <c r="C35" s="60">
        <f>IFERROR(SUMMARY_ENGINE!E27,0)</f>
        <v>0</v>
      </c>
      <c r="D35" s="60">
        <f>IFERROR(SUMMARY_ENGINE!F27,0)</f>
        <v>0</v>
      </c>
      <c r="E35" s="61">
        <f>IFERROR(SUMMARY_ENGINE!I27,0)</f>
        <v>0</v>
      </c>
      <c r="F35" s="62">
        <f>IFERROR(SUMMARY_ENGINE!H27,0)</f>
        <v>0</v>
      </c>
      <c r="G35" s="63">
        <f>IFERROR(SUMMARY_ENGINE!J27,0)</f>
        <v>0</v>
      </c>
      <c r="H35" s="64">
        <f>IFERROR(SUMMARY_ENGINE!K27,0)</f>
        <v>0</v>
      </c>
      <c r="I35" s="64">
        <f>IFERROR(SUMMARY_ENGINE!M27,0)</f>
        <v>0</v>
      </c>
      <c r="J35" s="65" t="str">
        <f>IFERROR(SUMMARY_ENGINE!N27,"—")</f>
        <v>—</v>
      </c>
    </row>
    <row r="36" ht="18.75" customHeight="1">
      <c r="A36" s="50" t="str">
        <f>IFERROR(IF(SUMMARY_ENGINE!A28="","",SUMMARY_ENGINE!A28),"")</f>
        <v/>
      </c>
      <c r="B36" s="51" t="str">
        <f>IFERROR(IF(SUMMARY_ENGINE!A28="","",SUMMARY_ENGINE!C28),"")</f>
        <v/>
      </c>
      <c r="C36" s="52">
        <f>IFERROR(SUMMARY_ENGINE!E28,0)</f>
        <v>0</v>
      </c>
      <c r="D36" s="52">
        <f>IFERROR(SUMMARY_ENGINE!F28,0)</f>
        <v>0</v>
      </c>
      <c r="E36" s="53">
        <f>IFERROR(SUMMARY_ENGINE!I28,0)</f>
        <v>0</v>
      </c>
      <c r="F36" s="54">
        <f>IFERROR(SUMMARY_ENGINE!H28,0)</f>
        <v>0</v>
      </c>
      <c r="G36" s="55">
        <f>IFERROR(SUMMARY_ENGINE!J28,0)</f>
        <v>0</v>
      </c>
      <c r="H36" s="56">
        <f>IFERROR(SUMMARY_ENGINE!K28,0)</f>
        <v>0</v>
      </c>
      <c r="I36" s="56">
        <f>IFERROR(SUMMARY_ENGINE!M28,0)</f>
        <v>0</v>
      </c>
      <c r="J36" s="57" t="str">
        <f>IFERROR(SUMMARY_ENGINE!N28,"—")</f>
        <v>—</v>
      </c>
    </row>
    <row r="37" ht="18.75" customHeight="1">
      <c r="A37" s="58" t="str">
        <f>IFERROR(IF(SUMMARY_ENGINE!A29="","",SUMMARY_ENGINE!A29),"")</f>
        <v/>
      </c>
      <c r="B37" s="59" t="str">
        <f>IFERROR(IF(SUMMARY_ENGINE!A29="","",SUMMARY_ENGINE!C29),"")</f>
        <v/>
      </c>
      <c r="C37" s="60">
        <f>IFERROR(SUMMARY_ENGINE!E29,0)</f>
        <v>0</v>
      </c>
      <c r="D37" s="60">
        <f>IFERROR(SUMMARY_ENGINE!F29,0)</f>
        <v>0</v>
      </c>
      <c r="E37" s="61">
        <f>IFERROR(SUMMARY_ENGINE!I29,0)</f>
        <v>0</v>
      </c>
      <c r="F37" s="62">
        <f>IFERROR(SUMMARY_ENGINE!H29,0)</f>
        <v>0</v>
      </c>
      <c r="G37" s="63">
        <f>IFERROR(SUMMARY_ENGINE!J29,0)</f>
        <v>0</v>
      </c>
      <c r="H37" s="64">
        <f>IFERROR(SUMMARY_ENGINE!K29,0)</f>
        <v>0</v>
      </c>
      <c r="I37" s="64">
        <f>IFERROR(SUMMARY_ENGINE!M29,0)</f>
        <v>0</v>
      </c>
      <c r="J37" s="65" t="str">
        <f>IFERROR(SUMMARY_ENGINE!N29,"—")</f>
        <v>—</v>
      </c>
    </row>
    <row r="38" ht="18.75" customHeight="1">
      <c r="A38" s="50" t="str">
        <f>IFERROR(IF(SUMMARY_ENGINE!A30="","",SUMMARY_ENGINE!A30),"")</f>
        <v/>
      </c>
      <c r="B38" s="51" t="str">
        <f>IFERROR(IF(SUMMARY_ENGINE!A30="","",SUMMARY_ENGINE!C30),"")</f>
        <v/>
      </c>
      <c r="C38" s="52">
        <f>IFERROR(SUMMARY_ENGINE!E30,0)</f>
        <v>0</v>
      </c>
      <c r="D38" s="52">
        <f>IFERROR(SUMMARY_ENGINE!F30,0)</f>
        <v>0</v>
      </c>
      <c r="E38" s="53">
        <f>IFERROR(SUMMARY_ENGINE!I30,0)</f>
        <v>0</v>
      </c>
      <c r="F38" s="54">
        <f>IFERROR(SUMMARY_ENGINE!H30,0)</f>
        <v>0</v>
      </c>
      <c r="G38" s="55">
        <f>IFERROR(SUMMARY_ENGINE!J30,0)</f>
        <v>0</v>
      </c>
      <c r="H38" s="56">
        <f>IFERROR(SUMMARY_ENGINE!K30,0)</f>
        <v>0</v>
      </c>
      <c r="I38" s="56">
        <f>IFERROR(SUMMARY_ENGINE!M30,0)</f>
        <v>0</v>
      </c>
      <c r="J38" s="57" t="str">
        <f>IFERROR(SUMMARY_ENGINE!N30,"—")</f>
        <v>—</v>
      </c>
    </row>
    <row r="39" ht="18.75" customHeight="1">
      <c r="A39" s="58" t="str">
        <f>IFERROR(IF(SUMMARY_ENGINE!A31="","",SUMMARY_ENGINE!A31),"")</f>
        <v/>
      </c>
      <c r="B39" s="59" t="str">
        <f>IFERROR(IF(SUMMARY_ENGINE!A31="","",SUMMARY_ENGINE!C31),"")</f>
        <v/>
      </c>
      <c r="C39" s="60">
        <f>IFERROR(SUMMARY_ENGINE!E31,0)</f>
        <v>0</v>
      </c>
      <c r="D39" s="60">
        <f>IFERROR(SUMMARY_ENGINE!F31,0)</f>
        <v>0</v>
      </c>
      <c r="E39" s="61">
        <f>IFERROR(SUMMARY_ENGINE!I31,0)</f>
        <v>0</v>
      </c>
      <c r="F39" s="62">
        <f>IFERROR(SUMMARY_ENGINE!H31,0)</f>
        <v>0</v>
      </c>
      <c r="G39" s="63">
        <f>IFERROR(SUMMARY_ENGINE!J31,0)</f>
        <v>0</v>
      </c>
      <c r="H39" s="64">
        <f>IFERROR(SUMMARY_ENGINE!K31,0)</f>
        <v>0</v>
      </c>
      <c r="I39" s="64">
        <f>IFERROR(SUMMARY_ENGINE!M31,0)</f>
        <v>0</v>
      </c>
      <c r="J39" s="65" t="str">
        <f>IFERROR(SUMMARY_ENGINE!N31,"—")</f>
        <v>—</v>
      </c>
    </row>
    <row r="40" ht="18.75" customHeight="1">
      <c r="A40" s="50" t="str">
        <f>IFERROR(IF(SUMMARY_ENGINE!A32="","",SUMMARY_ENGINE!A32),"")</f>
        <v/>
      </c>
      <c r="B40" s="51" t="str">
        <f>IFERROR(IF(SUMMARY_ENGINE!A32="","",SUMMARY_ENGINE!C32),"")</f>
        <v/>
      </c>
      <c r="C40" s="52">
        <f>IFERROR(SUMMARY_ENGINE!E32,0)</f>
        <v>0</v>
      </c>
      <c r="D40" s="52">
        <f>IFERROR(SUMMARY_ENGINE!F32,0)</f>
        <v>0</v>
      </c>
      <c r="E40" s="53">
        <f>IFERROR(SUMMARY_ENGINE!I32,0)</f>
        <v>0</v>
      </c>
      <c r="F40" s="54">
        <f>IFERROR(SUMMARY_ENGINE!H32,0)</f>
        <v>0</v>
      </c>
      <c r="G40" s="55">
        <f>IFERROR(SUMMARY_ENGINE!J32,0)</f>
        <v>0</v>
      </c>
      <c r="H40" s="56">
        <f>IFERROR(SUMMARY_ENGINE!K32,0)</f>
        <v>0</v>
      </c>
      <c r="I40" s="56">
        <f>IFERROR(SUMMARY_ENGINE!M32,0)</f>
        <v>0</v>
      </c>
      <c r="J40" s="57" t="str">
        <f>IFERROR(SUMMARY_ENGINE!N32,"—")</f>
        <v>—</v>
      </c>
    </row>
    <row r="41" ht="18.75" customHeight="1">
      <c r="A41" s="58" t="str">
        <f>IFERROR(IF(SUMMARY_ENGINE!A33="","",SUMMARY_ENGINE!A33),"")</f>
        <v/>
      </c>
      <c r="B41" s="59" t="str">
        <f>IFERROR(IF(SUMMARY_ENGINE!A33="","",SUMMARY_ENGINE!C33),"")</f>
        <v/>
      </c>
      <c r="C41" s="60">
        <f>IFERROR(SUMMARY_ENGINE!E33,0)</f>
        <v>0</v>
      </c>
      <c r="D41" s="60">
        <f>IFERROR(SUMMARY_ENGINE!F33,0)</f>
        <v>0</v>
      </c>
      <c r="E41" s="61">
        <f>IFERROR(SUMMARY_ENGINE!I33,0)</f>
        <v>0</v>
      </c>
      <c r="F41" s="62">
        <f>IFERROR(SUMMARY_ENGINE!H33,0)</f>
        <v>0</v>
      </c>
      <c r="G41" s="63">
        <f>IFERROR(SUMMARY_ENGINE!J33,0)</f>
        <v>0</v>
      </c>
      <c r="H41" s="64">
        <f>IFERROR(SUMMARY_ENGINE!K33,0)</f>
        <v>0</v>
      </c>
      <c r="I41" s="64">
        <f>IFERROR(SUMMARY_ENGINE!M33,0)</f>
        <v>0</v>
      </c>
      <c r="J41" s="65" t="str">
        <f>IFERROR(SUMMARY_ENGINE!N33,"—")</f>
        <v>—</v>
      </c>
    </row>
    <row r="42" ht="18.75" customHeight="1">
      <c r="A42" s="50" t="str">
        <f>IFERROR(IF(SUMMARY_ENGINE!A34="","",SUMMARY_ENGINE!A34),"")</f>
        <v/>
      </c>
      <c r="B42" s="51" t="str">
        <f>IFERROR(IF(SUMMARY_ENGINE!A34="","",SUMMARY_ENGINE!C34),"")</f>
        <v/>
      </c>
      <c r="C42" s="52">
        <f>IFERROR(SUMMARY_ENGINE!E34,0)</f>
        <v>0</v>
      </c>
      <c r="D42" s="52">
        <f>IFERROR(SUMMARY_ENGINE!F34,0)</f>
        <v>0</v>
      </c>
      <c r="E42" s="53">
        <f>IFERROR(SUMMARY_ENGINE!I34,0)</f>
        <v>0</v>
      </c>
      <c r="F42" s="54">
        <f>IFERROR(SUMMARY_ENGINE!H34,0)</f>
        <v>0</v>
      </c>
      <c r="G42" s="55">
        <f>IFERROR(SUMMARY_ENGINE!J34,0)</f>
        <v>0</v>
      </c>
      <c r="H42" s="56">
        <f>IFERROR(SUMMARY_ENGINE!K34,0)</f>
        <v>0</v>
      </c>
      <c r="I42" s="56">
        <f>IFERROR(SUMMARY_ENGINE!M34,0)</f>
        <v>0</v>
      </c>
      <c r="J42" s="57" t="str">
        <f>IFERROR(SUMMARY_ENGINE!N34,"—")</f>
        <v>—</v>
      </c>
    </row>
    <row r="43" ht="18.75" customHeight="1">
      <c r="A43" s="58" t="str">
        <f>IFERROR(IF(SUMMARY_ENGINE!A35="","",SUMMARY_ENGINE!A35),"")</f>
        <v/>
      </c>
      <c r="B43" s="59" t="str">
        <f>IFERROR(IF(SUMMARY_ENGINE!A35="","",SUMMARY_ENGINE!C35),"")</f>
        <v/>
      </c>
      <c r="C43" s="60">
        <f>IFERROR(SUMMARY_ENGINE!E35,0)</f>
        <v>0</v>
      </c>
      <c r="D43" s="60">
        <f>IFERROR(SUMMARY_ENGINE!F35,0)</f>
        <v>0</v>
      </c>
      <c r="E43" s="61">
        <f>IFERROR(SUMMARY_ENGINE!I35,0)</f>
        <v>0</v>
      </c>
      <c r="F43" s="62">
        <f>IFERROR(SUMMARY_ENGINE!H35,0)</f>
        <v>0</v>
      </c>
      <c r="G43" s="63">
        <f>IFERROR(SUMMARY_ENGINE!J35,0)</f>
        <v>0</v>
      </c>
      <c r="H43" s="64">
        <f>IFERROR(SUMMARY_ENGINE!K35,0)</f>
        <v>0</v>
      </c>
      <c r="I43" s="64">
        <f>IFERROR(SUMMARY_ENGINE!M35,0)</f>
        <v>0</v>
      </c>
      <c r="J43" s="65" t="str">
        <f>IFERROR(SUMMARY_ENGINE!N35,"—")</f>
        <v>—</v>
      </c>
    </row>
    <row r="44" ht="18.75" customHeight="1">
      <c r="A44" s="50" t="str">
        <f>IFERROR(IF(SUMMARY_ENGINE!A36="","",SUMMARY_ENGINE!A36),"")</f>
        <v/>
      </c>
      <c r="B44" s="51" t="str">
        <f>IFERROR(IF(SUMMARY_ENGINE!A36="","",SUMMARY_ENGINE!C36),"")</f>
        <v/>
      </c>
      <c r="C44" s="52">
        <f>IFERROR(SUMMARY_ENGINE!E36,0)</f>
        <v>0</v>
      </c>
      <c r="D44" s="52">
        <f>IFERROR(SUMMARY_ENGINE!F36,0)</f>
        <v>0</v>
      </c>
      <c r="E44" s="53">
        <f>IFERROR(SUMMARY_ENGINE!I36,0)</f>
        <v>0</v>
      </c>
      <c r="F44" s="54">
        <f>IFERROR(SUMMARY_ENGINE!H36,0)</f>
        <v>0</v>
      </c>
      <c r="G44" s="55">
        <f>IFERROR(SUMMARY_ENGINE!J36,0)</f>
        <v>0</v>
      </c>
      <c r="H44" s="56">
        <f>IFERROR(SUMMARY_ENGINE!K36,0)</f>
        <v>0</v>
      </c>
      <c r="I44" s="56">
        <f>IFERROR(SUMMARY_ENGINE!M36,0)</f>
        <v>0</v>
      </c>
      <c r="J44" s="57" t="str">
        <f>IFERROR(SUMMARY_ENGINE!N36,"—")</f>
        <v>—</v>
      </c>
    </row>
    <row r="45" ht="18.75" customHeight="1">
      <c r="A45" s="58" t="str">
        <f>IFERROR(IF(SUMMARY_ENGINE!A37="","",SUMMARY_ENGINE!A37),"")</f>
        <v/>
      </c>
      <c r="B45" s="59" t="str">
        <f>IFERROR(IF(SUMMARY_ENGINE!A37="","",SUMMARY_ENGINE!C37),"")</f>
        <v/>
      </c>
      <c r="C45" s="60">
        <f>IFERROR(SUMMARY_ENGINE!E37,0)</f>
        <v>0</v>
      </c>
      <c r="D45" s="60">
        <f>IFERROR(SUMMARY_ENGINE!F37,0)</f>
        <v>0</v>
      </c>
      <c r="E45" s="61">
        <f>IFERROR(SUMMARY_ENGINE!I37,0)</f>
        <v>0</v>
      </c>
      <c r="F45" s="62">
        <f>IFERROR(SUMMARY_ENGINE!H37,0)</f>
        <v>0</v>
      </c>
      <c r="G45" s="63">
        <f>IFERROR(SUMMARY_ENGINE!J37,0)</f>
        <v>0</v>
      </c>
      <c r="H45" s="64">
        <f>IFERROR(SUMMARY_ENGINE!K37,0)</f>
        <v>0</v>
      </c>
      <c r="I45" s="64">
        <f>IFERROR(SUMMARY_ENGINE!M37,0)</f>
        <v>0</v>
      </c>
      <c r="J45" s="65" t="str">
        <f>IFERROR(SUMMARY_ENGINE!N37,"—")</f>
        <v>—</v>
      </c>
    </row>
    <row r="46" ht="18.75" customHeight="1">
      <c r="A46" s="50" t="str">
        <f>IFERROR(IF(SUMMARY_ENGINE!A38="","",SUMMARY_ENGINE!A38),"")</f>
        <v/>
      </c>
      <c r="B46" s="51" t="str">
        <f>IFERROR(IF(SUMMARY_ENGINE!A38="","",SUMMARY_ENGINE!C38),"")</f>
        <v/>
      </c>
      <c r="C46" s="52">
        <f>IFERROR(SUMMARY_ENGINE!E38,0)</f>
        <v>0</v>
      </c>
      <c r="D46" s="52">
        <f>IFERROR(SUMMARY_ENGINE!F38,0)</f>
        <v>0</v>
      </c>
      <c r="E46" s="53">
        <f>IFERROR(SUMMARY_ENGINE!I38,0)</f>
        <v>0</v>
      </c>
      <c r="F46" s="54">
        <f>IFERROR(SUMMARY_ENGINE!H38,0)</f>
        <v>0</v>
      </c>
      <c r="G46" s="55">
        <f>IFERROR(SUMMARY_ENGINE!J38,0)</f>
        <v>0</v>
      </c>
      <c r="H46" s="56">
        <f>IFERROR(SUMMARY_ENGINE!K38,0)</f>
        <v>0</v>
      </c>
      <c r="I46" s="56">
        <f>IFERROR(SUMMARY_ENGINE!M38,0)</f>
        <v>0</v>
      </c>
      <c r="J46" s="57" t="str">
        <f>IFERROR(SUMMARY_ENGINE!N38,"—")</f>
        <v>—</v>
      </c>
    </row>
    <row r="47" ht="18.75" customHeight="1">
      <c r="A47" s="58" t="str">
        <f>IFERROR(IF(SUMMARY_ENGINE!A39="","",SUMMARY_ENGINE!A39),"")</f>
        <v/>
      </c>
      <c r="B47" s="59" t="str">
        <f>IFERROR(IF(SUMMARY_ENGINE!A39="","",SUMMARY_ENGINE!C39),"")</f>
        <v/>
      </c>
      <c r="C47" s="60">
        <f>IFERROR(SUMMARY_ENGINE!E39,0)</f>
        <v>0</v>
      </c>
      <c r="D47" s="60">
        <f>IFERROR(SUMMARY_ENGINE!F39,0)</f>
        <v>0</v>
      </c>
      <c r="E47" s="61">
        <f>IFERROR(SUMMARY_ENGINE!I39,0)</f>
        <v>0</v>
      </c>
      <c r="F47" s="62">
        <f>IFERROR(SUMMARY_ENGINE!H39,0)</f>
        <v>0</v>
      </c>
      <c r="G47" s="63">
        <f>IFERROR(SUMMARY_ENGINE!J39,0)</f>
        <v>0</v>
      </c>
      <c r="H47" s="64">
        <f>IFERROR(SUMMARY_ENGINE!K39,0)</f>
        <v>0</v>
      </c>
      <c r="I47" s="64">
        <f>IFERROR(SUMMARY_ENGINE!M39,0)</f>
        <v>0</v>
      </c>
      <c r="J47" s="65" t="str">
        <f>IFERROR(SUMMARY_ENGINE!N39,"—")</f>
        <v>—</v>
      </c>
    </row>
    <row r="48" ht="18.75" customHeight="1">
      <c r="A48" s="50" t="str">
        <f>IFERROR(IF(SUMMARY_ENGINE!A40="","",SUMMARY_ENGINE!A40),"")</f>
        <v/>
      </c>
      <c r="B48" s="51" t="str">
        <f>IFERROR(IF(SUMMARY_ENGINE!A40="","",SUMMARY_ENGINE!C40),"")</f>
        <v/>
      </c>
      <c r="C48" s="52">
        <f>IFERROR(SUMMARY_ENGINE!E40,0)</f>
        <v>0</v>
      </c>
      <c r="D48" s="52">
        <f>IFERROR(SUMMARY_ENGINE!F40,0)</f>
        <v>0</v>
      </c>
      <c r="E48" s="53">
        <f>IFERROR(SUMMARY_ENGINE!I40,0)</f>
        <v>0</v>
      </c>
      <c r="F48" s="54">
        <f>IFERROR(SUMMARY_ENGINE!H40,0)</f>
        <v>0</v>
      </c>
      <c r="G48" s="55">
        <f>IFERROR(SUMMARY_ENGINE!J40,0)</f>
        <v>0</v>
      </c>
      <c r="H48" s="56">
        <f>IFERROR(SUMMARY_ENGINE!K40,0)</f>
        <v>0</v>
      </c>
      <c r="I48" s="56">
        <f>IFERROR(SUMMARY_ENGINE!M40,0)</f>
        <v>0</v>
      </c>
      <c r="J48" s="57" t="str">
        <f>IFERROR(SUMMARY_ENGINE!N40,"—")</f>
        <v>—</v>
      </c>
    </row>
    <row r="49" ht="18.75" customHeight="1">
      <c r="A49" s="58" t="str">
        <f>IFERROR(IF(SUMMARY_ENGINE!A41="","",SUMMARY_ENGINE!A41),"")</f>
        <v/>
      </c>
      <c r="B49" s="59" t="str">
        <f>IFERROR(IF(SUMMARY_ENGINE!A41="","",SUMMARY_ENGINE!C41),"")</f>
        <v/>
      </c>
      <c r="C49" s="60">
        <f>IFERROR(SUMMARY_ENGINE!E41,0)</f>
        <v>0</v>
      </c>
      <c r="D49" s="60">
        <f>IFERROR(SUMMARY_ENGINE!F41,0)</f>
        <v>0</v>
      </c>
      <c r="E49" s="61">
        <f>IFERROR(SUMMARY_ENGINE!I41,0)</f>
        <v>0</v>
      </c>
      <c r="F49" s="62">
        <f>IFERROR(SUMMARY_ENGINE!H41,0)</f>
        <v>0</v>
      </c>
      <c r="G49" s="63">
        <f>IFERROR(SUMMARY_ENGINE!J41,0)</f>
        <v>0</v>
      </c>
      <c r="H49" s="64">
        <f>IFERROR(SUMMARY_ENGINE!K41,0)</f>
        <v>0</v>
      </c>
      <c r="I49" s="64">
        <f>IFERROR(SUMMARY_ENGINE!M41,0)</f>
        <v>0</v>
      </c>
      <c r="J49" s="65" t="str">
        <f>IFERROR(SUMMARY_ENGINE!N41,"—")</f>
        <v>—</v>
      </c>
    </row>
    <row r="50" ht="18.75" customHeight="1">
      <c r="A50" s="50" t="str">
        <f>IFERROR(IF(SUMMARY_ENGINE!A42="","",SUMMARY_ENGINE!A42),"")</f>
        <v/>
      </c>
      <c r="B50" s="51" t="str">
        <f>IFERROR(IF(SUMMARY_ENGINE!A42="","",SUMMARY_ENGINE!C42),"")</f>
        <v/>
      </c>
      <c r="C50" s="52">
        <f>IFERROR(SUMMARY_ENGINE!E42,0)</f>
        <v>0</v>
      </c>
      <c r="D50" s="52">
        <f>IFERROR(SUMMARY_ENGINE!F42,0)</f>
        <v>0</v>
      </c>
      <c r="E50" s="53">
        <f>IFERROR(SUMMARY_ENGINE!I42,0)</f>
        <v>0</v>
      </c>
      <c r="F50" s="54">
        <f>IFERROR(SUMMARY_ENGINE!H42,0)</f>
        <v>0</v>
      </c>
      <c r="G50" s="55">
        <f>IFERROR(SUMMARY_ENGINE!J42,0)</f>
        <v>0</v>
      </c>
      <c r="H50" s="56">
        <f>IFERROR(SUMMARY_ENGINE!K42,0)</f>
        <v>0</v>
      </c>
      <c r="I50" s="56">
        <f>IFERROR(SUMMARY_ENGINE!M42,0)</f>
        <v>0</v>
      </c>
      <c r="J50" s="57" t="str">
        <f>IFERROR(SUMMARY_ENGINE!N42,"—")</f>
        <v>—</v>
      </c>
    </row>
    <row r="51" ht="18.75" customHeight="1">
      <c r="A51" s="58" t="str">
        <f>IFERROR(IF(SUMMARY_ENGINE!A43="","",SUMMARY_ENGINE!A43),"")</f>
        <v/>
      </c>
      <c r="B51" s="59" t="str">
        <f>IFERROR(IF(SUMMARY_ENGINE!A43="","",SUMMARY_ENGINE!C43),"")</f>
        <v/>
      </c>
      <c r="C51" s="60">
        <f>IFERROR(SUMMARY_ENGINE!E43,0)</f>
        <v>0</v>
      </c>
      <c r="D51" s="60">
        <f>IFERROR(SUMMARY_ENGINE!F43,0)</f>
        <v>0</v>
      </c>
      <c r="E51" s="61">
        <f>IFERROR(SUMMARY_ENGINE!I43,0)</f>
        <v>0</v>
      </c>
      <c r="F51" s="62">
        <f>IFERROR(SUMMARY_ENGINE!H43,0)</f>
        <v>0</v>
      </c>
      <c r="G51" s="63">
        <f>IFERROR(SUMMARY_ENGINE!J43,0)</f>
        <v>0</v>
      </c>
      <c r="H51" s="64">
        <f>IFERROR(SUMMARY_ENGINE!K43,0)</f>
        <v>0</v>
      </c>
      <c r="I51" s="64">
        <f>IFERROR(SUMMARY_ENGINE!M43,0)</f>
        <v>0</v>
      </c>
      <c r="J51" s="65" t="str">
        <f>IFERROR(SUMMARY_ENGINE!N43,"—")</f>
        <v>—</v>
      </c>
    </row>
    <row r="52" ht="33.75" customHeight="1">
      <c r="A52" s="66" t="s">
        <v>153</v>
      </c>
      <c r="B52" s="22"/>
      <c r="C52" s="22"/>
      <c r="D52" s="22"/>
      <c r="E52" s="22"/>
      <c r="F52" s="22"/>
      <c r="G52" s="22"/>
      <c r="H52" s="22"/>
      <c r="I52" s="22"/>
      <c r="J52" s="67"/>
    </row>
    <row r="53" ht="26.25" customHeight="1">
      <c r="A53" s="68" t="s">
        <v>154</v>
      </c>
      <c r="B53" s="67"/>
      <c r="C53" s="69">
        <f>IFERROR(IF(COUNTA(CASHFLOW!$A$3:$A$1002)=0,0,ABS(SUMIFS(CASHFLOW!$D:$D,CASHFLOW!$C:$C,"Keluar"))/MAX(1,COUNTIFS(CASHFLOW!$I:$I,"&lt;&gt;")-1)),0)</f>
        <v>137200</v>
      </c>
      <c r="D53" s="67"/>
      <c r="E53" s="70" t="s">
        <v>155</v>
      </c>
      <c r="F53" s="22"/>
      <c r="G53" s="22"/>
      <c r="H53" s="22"/>
      <c r="I53" s="22"/>
      <c r="J53" s="67"/>
    </row>
    <row r="54" ht="22.5" customHeight="1">
      <c r="A54" s="68" t="s">
        <v>156</v>
      </c>
      <c r="B54" s="67"/>
      <c r="C54" s="69">
        <f>IFERROR(IF(C53=0,"∞",MAX(CASHFLOW!$G:$G)/C53),0)</f>
        <v>898.6880466</v>
      </c>
      <c r="D54" s="67"/>
      <c r="E54" s="70" t="s">
        <v>157</v>
      </c>
      <c r="F54" s="22"/>
      <c r="G54" s="22"/>
      <c r="H54" s="22"/>
      <c r="I54" s="22"/>
      <c r="J54" s="67"/>
    </row>
    <row r="55" ht="24.0" customHeight="1">
      <c r="A55" s="68" t="s">
        <v>158</v>
      </c>
      <c r="B55" s="67"/>
      <c r="C55" s="69">
        <f>IFERROR(IF(COUNTA(SUMMARY_ENGINE!$A$4:$A$203)=0,0,COUNTIFS(SUMMARY_ENGINE!$N:$N,"SOLD OUT")/COUNTA(SUMMARY_ENGINE!$A$4:$A$203)),0)</f>
        <v>0.2857142857</v>
      </c>
      <c r="D55" s="67"/>
      <c r="E55" s="70" t="s">
        <v>159</v>
      </c>
      <c r="F55" s="22"/>
      <c r="G55" s="22"/>
      <c r="H55" s="22"/>
      <c r="I55" s="22"/>
      <c r="J55" s="67"/>
    </row>
    <row r="56" ht="25.5" customHeight="1">
      <c r="A56" s="68" t="s">
        <v>160</v>
      </c>
      <c r="B56" s="67"/>
      <c r="C56" s="69">
        <f>IFERROR(AVERAGEIF(SUMMARY_ENGINE!$K$4:$K$203,"&gt;0",SUMMARY_ENGINE!$K$4:$K$203),0)</f>
        <v>0.4465725011</v>
      </c>
      <c r="D56" s="67"/>
      <c r="E56" s="70" t="s">
        <v>161</v>
      </c>
      <c r="F56" s="22"/>
      <c r="G56" s="22"/>
      <c r="H56" s="22"/>
      <c r="I56" s="22"/>
      <c r="J56" s="67"/>
    </row>
    <row r="57" ht="27.75" customHeight="1">
      <c r="A57" s="68" t="s">
        <v>162</v>
      </c>
      <c r="B57" s="67"/>
      <c r="C57" s="69">
        <f>IFERROR(SUMPRODUCT((SUMMARY_ENGINE!$G$4:$G$203&gt;0)*(SUMMARY_ENGINE!$H$4:$H$203/SUMMARY_ENGINE!$E$4:$E$203)*SUMMARY_ENGINE!$G$4:$G$203),0)</f>
        <v>0</v>
      </c>
      <c r="D57" s="67"/>
      <c r="E57" s="70" t="s">
        <v>163</v>
      </c>
      <c r="F57" s="22"/>
      <c r="G57" s="22"/>
      <c r="H57" s="22"/>
      <c r="I57" s="22"/>
      <c r="J57" s="67"/>
    </row>
    <row r="58" ht="18.75" customHeight="1">
      <c r="A58" s="50" t="str">
        <f>IFERROR(IF(SUMMARY_ENGINE!A50="","",SUMMARY_ENGINE!A50),"")</f>
        <v/>
      </c>
      <c r="B58" s="51" t="str">
        <f>IFERROR(IF(SUMMARY_ENGINE!A50="","",SUMMARY_ENGINE!C50),"")</f>
        <v/>
      </c>
      <c r="C58" s="52">
        <f>IFERROR(SUMMARY_ENGINE!E50,0)</f>
        <v>0</v>
      </c>
      <c r="D58" s="52">
        <f>IFERROR(SUMMARY_ENGINE!F50,0)</f>
        <v>0</v>
      </c>
      <c r="E58" s="53">
        <f>IFERROR(SUMMARY_ENGINE!I50,0)</f>
        <v>0</v>
      </c>
      <c r="F58" s="54">
        <f>IFERROR(SUMMARY_ENGINE!H50,0)</f>
        <v>0</v>
      </c>
      <c r="G58" s="55">
        <f>IFERROR(SUMMARY_ENGINE!J50,0)</f>
        <v>0</v>
      </c>
      <c r="H58" s="56">
        <f>IFERROR(SUMMARY_ENGINE!K50,0)</f>
        <v>0</v>
      </c>
      <c r="I58" s="56">
        <f>IFERROR(SUMMARY_ENGINE!M50,0)</f>
        <v>0</v>
      </c>
      <c r="J58" s="57" t="str">
        <f>IFERROR(SUMMARY_ENGINE!N50,"—")</f>
        <v>—</v>
      </c>
    </row>
    <row r="59" ht="18.75" customHeight="1">
      <c r="A59" s="58" t="str">
        <f>IFERROR(IF(SUMMARY_ENGINE!A51="","",SUMMARY_ENGINE!A51),"")</f>
        <v/>
      </c>
      <c r="B59" s="59" t="str">
        <f>IFERROR(IF(SUMMARY_ENGINE!A51="","",SUMMARY_ENGINE!C51),"")</f>
        <v/>
      </c>
      <c r="C59" s="60">
        <f>IFERROR(SUMMARY_ENGINE!E51,0)</f>
        <v>0</v>
      </c>
      <c r="D59" s="60">
        <f>IFERROR(SUMMARY_ENGINE!F51,0)</f>
        <v>0</v>
      </c>
      <c r="E59" s="61">
        <f>IFERROR(SUMMARY_ENGINE!I51,0)</f>
        <v>0</v>
      </c>
      <c r="F59" s="62">
        <f>IFERROR(SUMMARY_ENGINE!H51,0)</f>
        <v>0</v>
      </c>
      <c r="G59" s="63">
        <f>IFERROR(SUMMARY_ENGINE!J51,0)</f>
        <v>0</v>
      </c>
      <c r="H59" s="64">
        <f>IFERROR(SUMMARY_ENGINE!K51,0)</f>
        <v>0</v>
      </c>
      <c r="I59" s="64">
        <f>IFERROR(SUMMARY_ENGINE!M51,0)</f>
        <v>0</v>
      </c>
      <c r="J59" s="65" t="str">
        <f>IFERROR(SUMMARY_ENGINE!N51,"—")</f>
        <v>—</v>
      </c>
    </row>
    <row r="60" ht="18.75" customHeight="1">
      <c r="A60" s="50" t="str">
        <f>IFERROR(IF(SUMMARY_ENGINE!A52="","",SUMMARY_ENGINE!A52),"")</f>
        <v/>
      </c>
      <c r="B60" s="51" t="str">
        <f>IFERROR(IF(SUMMARY_ENGINE!A52="","",SUMMARY_ENGINE!C52),"")</f>
        <v/>
      </c>
      <c r="C60" s="52">
        <f>IFERROR(SUMMARY_ENGINE!E52,0)</f>
        <v>0</v>
      </c>
      <c r="D60" s="52">
        <f>IFERROR(SUMMARY_ENGINE!F52,0)</f>
        <v>0</v>
      </c>
      <c r="E60" s="53">
        <f>IFERROR(SUMMARY_ENGINE!I52,0)</f>
        <v>0</v>
      </c>
      <c r="F60" s="54">
        <f>IFERROR(SUMMARY_ENGINE!H52,0)</f>
        <v>0</v>
      </c>
      <c r="G60" s="55">
        <f>IFERROR(SUMMARY_ENGINE!J52,0)</f>
        <v>0</v>
      </c>
      <c r="H60" s="56">
        <f>IFERROR(SUMMARY_ENGINE!K52,0)</f>
        <v>0</v>
      </c>
      <c r="I60" s="56">
        <f>IFERROR(SUMMARY_ENGINE!M52,0)</f>
        <v>0</v>
      </c>
      <c r="J60" s="57" t="str">
        <f>IFERROR(SUMMARY_ENGINE!N52,"—")</f>
        <v>—</v>
      </c>
    </row>
    <row r="61" ht="18.75" customHeight="1">
      <c r="A61" s="58" t="str">
        <f>IFERROR(IF(SUMMARY_ENGINE!A53="","",SUMMARY_ENGINE!A53),"")</f>
        <v/>
      </c>
      <c r="B61" s="59" t="str">
        <f>IFERROR(IF(SUMMARY_ENGINE!A53="","",SUMMARY_ENGINE!C53),"")</f>
        <v/>
      </c>
      <c r="C61" s="60">
        <f>IFERROR(SUMMARY_ENGINE!E53,0)</f>
        <v>0</v>
      </c>
      <c r="D61" s="60">
        <f>IFERROR(SUMMARY_ENGINE!F53,0)</f>
        <v>0</v>
      </c>
      <c r="E61" s="61">
        <f>IFERROR(SUMMARY_ENGINE!I53,0)</f>
        <v>0</v>
      </c>
      <c r="F61" s="62">
        <f>IFERROR(SUMMARY_ENGINE!H53,0)</f>
        <v>0</v>
      </c>
      <c r="G61" s="63">
        <f>IFERROR(SUMMARY_ENGINE!J53,0)</f>
        <v>0</v>
      </c>
      <c r="H61" s="64">
        <f>IFERROR(SUMMARY_ENGINE!K53,0)</f>
        <v>0</v>
      </c>
      <c r="I61" s="64">
        <f>IFERROR(SUMMARY_ENGINE!M53,0)</f>
        <v>0</v>
      </c>
      <c r="J61" s="65" t="str">
        <f>IFERROR(SUMMARY_ENGINE!N53,"—")</f>
        <v>—</v>
      </c>
    </row>
    <row r="62" ht="18.75" customHeight="1">
      <c r="A62" s="50" t="str">
        <f>IFERROR(IF(SUMMARY_ENGINE!A54="","",SUMMARY_ENGINE!A54),"")</f>
        <v/>
      </c>
      <c r="B62" s="51" t="str">
        <f>IFERROR(IF(SUMMARY_ENGINE!A54="","",SUMMARY_ENGINE!C54),"")</f>
        <v/>
      </c>
      <c r="C62" s="52">
        <f>IFERROR(SUMMARY_ENGINE!E54,0)</f>
        <v>0</v>
      </c>
      <c r="D62" s="52">
        <f>IFERROR(SUMMARY_ENGINE!F54,0)</f>
        <v>0</v>
      </c>
      <c r="E62" s="53">
        <f>IFERROR(SUMMARY_ENGINE!I54,0)</f>
        <v>0</v>
      </c>
      <c r="F62" s="54">
        <f>IFERROR(SUMMARY_ENGINE!H54,0)</f>
        <v>0</v>
      </c>
      <c r="G62" s="55">
        <f>IFERROR(SUMMARY_ENGINE!J54,0)</f>
        <v>0</v>
      </c>
      <c r="H62" s="56">
        <f>IFERROR(SUMMARY_ENGINE!K54,0)</f>
        <v>0</v>
      </c>
      <c r="I62" s="56">
        <f>IFERROR(SUMMARY_ENGINE!M54,0)</f>
        <v>0</v>
      </c>
      <c r="J62" s="57" t="str">
        <f>IFERROR(SUMMARY_ENGINE!N54,"—")</f>
        <v>—</v>
      </c>
    </row>
    <row r="63" ht="18.75" customHeight="1">
      <c r="A63" s="58" t="str">
        <f>IFERROR(IF(SUMMARY_ENGINE!A55="","",SUMMARY_ENGINE!A55),"")</f>
        <v/>
      </c>
      <c r="B63" s="59" t="str">
        <f>IFERROR(IF(SUMMARY_ENGINE!A55="","",SUMMARY_ENGINE!C55),"")</f>
        <v/>
      </c>
      <c r="C63" s="60">
        <f>IFERROR(SUMMARY_ENGINE!E55,0)</f>
        <v>0</v>
      </c>
      <c r="D63" s="60">
        <f>IFERROR(SUMMARY_ENGINE!F55,0)</f>
        <v>0</v>
      </c>
      <c r="E63" s="61">
        <f>IFERROR(SUMMARY_ENGINE!I55,0)</f>
        <v>0</v>
      </c>
      <c r="F63" s="62">
        <f>IFERROR(SUMMARY_ENGINE!H55,0)</f>
        <v>0</v>
      </c>
      <c r="G63" s="63">
        <f>IFERROR(SUMMARY_ENGINE!J55,0)</f>
        <v>0</v>
      </c>
      <c r="H63" s="64">
        <f>IFERROR(SUMMARY_ENGINE!K55,0)</f>
        <v>0</v>
      </c>
      <c r="I63" s="64">
        <f>IFERROR(SUMMARY_ENGINE!M55,0)</f>
        <v>0</v>
      </c>
      <c r="J63" s="65" t="str">
        <f>IFERROR(SUMMARY_ENGINE!N55,"—")</f>
        <v>—</v>
      </c>
    </row>
    <row r="64" ht="18.75" customHeight="1">
      <c r="A64" s="50" t="str">
        <f>IFERROR(IF(SUMMARY_ENGINE!A56="","",SUMMARY_ENGINE!A56),"")</f>
        <v/>
      </c>
      <c r="B64" s="51" t="str">
        <f>IFERROR(IF(SUMMARY_ENGINE!A56="","",SUMMARY_ENGINE!C56),"")</f>
        <v/>
      </c>
      <c r="C64" s="52">
        <f>IFERROR(SUMMARY_ENGINE!E56,0)</f>
        <v>0</v>
      </c>
      <c r="D64" s="52">
        <f>IFERROR(SUMMARY_ENGINE!F56,0)</f>
        <v>0</v>
      </c>
      <c r="E64" s="53">
        <f>IFERROR(SUMMARY_ENGINE!I56,0)</f>
        <v>0</v>
      </c>
      <c r="F64" s="54">
        <f>IFERROR(SUMMARY_ENGINE!H56,0)</f>
        <v>0</v>
      </c>
      <c r="G64" s="55">
        <f>IFERROR(SUMMARY_ENGINE!J56,0)</f>
        <v>0</v>
      </c>
      <c r="H64" s="56">
        <f>IFERROR(SUMMARY_ENGINE!K56,0)</f>
        <v>0</v>
      </c>
      <c r="I64" s="56">
        <f>IFERROR(SUMMARY_ENGINE!M56,0)</f>
        <v>0</v>
      </c>
      <c r="J64" s="57" t="str">
        <f>IFERROR(SUMMARY_ENGINE!N56,"—")</f>
        <v>—</v>
      </c>
    </row>
    <row r="65" ht="18.75" customHeight="1">
      <c r="A65" s="58" t="str">
        <f>IFERROR(IF(SUMMARY_ENGINE!A57="","",SUMMARY_ENGINE!A57),"")</f>
        <v/>
      </c>
      <c r="B65" s="59" t="str">
        <f>IFERROR(IF(SUMMARY_ENGINE!A57="","",SUMMARY_ENGINE!C57),"")</f>
        <v/>
      </c>
      <c r="C65" s="60">
        <f>IFERROR(SUMMARY_ENGINE!E57,0)</f>
        <v>0</v>
      </c>
      <c r="D65" s="60">
        <f>IFERROR(SUMMARY_ENGINE!F57,0)</f>
        <v>0</v>
      </c>
      <c r="E65" s="61">
        <f>IFERROR(SUMMARY_ENGINE!I57,0)</f>
        <v>0</v>
      </c>
      <c r="F65" s="62">
        <f>IFERROR(SUMMARY_ENGINE!H57,0)</f>
        <v>0</v>
      </c>
      <c r="G65" s="63">
        <f>IFERROR(SUMMARY_ENGINE!J57,0)</f>
        <v>0</v>
      </c>
      <c r="H65" s="64">
        <f>IFERROR(SUMMARY_ENGINE!K57,0)</f>
        <v>0</v>
      </c>
      <c r="I65" s="64">
        <f>IFERROR(SUMMARY_ENGINE!M57,0)</f>
        <v>0</v>
      </c>
      <c r="J65" s="65" t="str">
        <f>IFERROR(SUMMARY_ENGINE!N57,"—")</f>
        <v>—</v>
      </c>
    </row>
    <row r="66" ht="18.75" customHeight="1">
      <c r="A66" s="50" t="str">
        <f>IFERROR(IF(SUMMARY_ENGINE!A58="","",SUMMARY_ENGINE!A58),"")</f>
        <v/>
      </c>
      <c r="B66" s="51" t="str">
        <f>IFERROR(IF(SUMMARY_ENGINE!A58="","",SUMMARY_ENGINE!C58),"")</f>
        <v/>
      </c>
      <c r="C66" s="52">
        <f>IFERROR(SUMMARY_ENGINE!E58,0)</f>
        <v>0</v>
      </c>
      <c r="D66" s="52">
        <f>IFERROR(SUMMARY_ENGINE!F58,0)</f>
        <v>0</v>
      </c>
      <c r="E66" s="53">
        <f>IFERROR(SUMMARY_ENGINE!I58,0)</f>
        <v>0</v>
      </c>
      <c r="F66" s="54">
        <f>IFERROR(SUMMARY_ENGINE!H58,0)</f>
        <v>0</v>
      </c>
      <c r="G66" s="55">
        <f>IFERROR(SUMMARY_ENGINE!J58,0)</f>
        <v>0</v>
      </c>
      <c r="H66" s="56">
        <f>IFERROR(SUMMARY_ENGINE!K58,0)</f>
        <v>0</v>
      </c>
      <c r="I66" s="56">
        <f>IFERROR(SUMMARY_ENGINE!M58,0)</f>
        <v>0</v>
      </c>
      <c r="J66" s="57" t="str">
        <f>IFERROR(SUMMARY_ENGINE!N58,"—")</f>
        <v>—</v>
      </c>
    </row>
    <row r="67" ht="18.75" customHeight="1">
      <c r="A67" s="58" t="str">
        <f>IFERROR(IF(SUMMARY_ENGINE!A59="","",SUMMARY_ENGINE!A59),"")</f>
        <v/>
      </c>
      <c r="B67" s="59" t="str">
        <f>IFERROR(IF(SUMMARY_ENGINE!A59="","",SUMMARY_ENGINE!C59),"")</f>
        <v/>
      </c>
      <c r="C67" s="60">
        <f>IFERROR(SUMMARY_ENGINE!E59,0)</f>
        <v>0</v>
      </c>
      <c r="D67" s="60">
        <f>IFERROR(SUMMARY_ENGINE!F59,0)</f>
        <v>0</v>
      </c>
      <c r="E67" s="61">
        <f>IFERROR(SUMMARY_ENGINE!I59,0)</f>
        <v>0</v>
      </c>
      <c r="F67" s="62">
        <f>IFERROR(SUMMARY_ENGINE!H59,0)</f>
        <v>0</v>
      </c>
      <c r="G67" s="63">
        <f>IFERROR(SUMMARY_ENGINE!J59,0)</f>
        <v>0</v>
      </c>
      <c r="H67" s="64">
        <f>IFERROR(SUMMARY_ENGINE!K59,0)</f>
        <v>0</v>
      </c>
      <c r="I67" s="64">
        <f>IFERROR(SUMMARY_ENGINE!M59,0)</f>
        <v>0</v>
      </c>
      <c r="J67" s="65" t="str">
        <f>IFERROR(SUMMARY_ENGINE!N59,"—")</f>
        <v>—</v>
      </c>
    </row>
    <row r="68" ht="18.75" customHeight="1">
      <c r="A68" s="50" t="str">
        <f>IFERROR(IF(SUMMARY_ENGINE!A60="","",SUMMARY_ENGINE!A60),"")</f>
        <v/>
      </c>
      <c r="B68" s="51" t="str">
        <f>IFERROR(IF(SUMMARY_ENGINE!A60="","",SUMMARY_ENGINE!C60),"")</f>
        <v/>
      </c>
      <c r="C68" s="52">
        <f>IFERROR(SUMMARY_ENGINE!E60,0)</f>
        <v>0</v>
      </c>
      <c r="D68" s="52">
        <f>IFERROR(SUMMARY_ENGINE!F60,0)</f>
        <v>0</v>
      </c>
      <c r="E68" s="53">
        <f>IFERROR(SUMMARY_ENGINE!I60,0)</f>
        <v>0</v>
      </c>
      <c r="F68" s="54">
        <f>IFERROR(SUMMARY_ENGINE!H60,0)</f>
        <v>0</v>
      </c>
      <c r="G68" s="55">
        <f>IFERROR(SUMMARY_ENGINE!J60,0)</f>
        <v>0</v>
      </c>
      <c r="H68" s="56">
        <f>IFERROR(SUMMARY_ENGINE!K60,0)</f>
        <v>0</v>
      </c>
      <c r="I68" s="56">
        <f>IFERROR(SUMMARY_ENGINE!M60,0)</f>
        <v>0</v>
      </c>
      <c r="J68" s="57" t="str">
        <f>IFERROR(SUMMARY_ENGINE!N60,"—")</f>
        <v>—</v>
      </c>
    </row>
    <row r="69" ht="18.75" customHeight="1">
      <c r="A69" s="58" t="str">
        <f>IFERROR(IF(SUMMARY_ENGINE!A61="","",SUMMARY_ENGINE!A61),"")</f>
        <v/>
      </c>
      <c r="B69" s="59" t="str">
        <f>IFERROR(IF(SUMMARY_ENGINE!A61="","",SUMMARY_ENGINE!C61),"")</f>
        <v/>
      </c>
      <c r="C69" s="60">
        <f>IFERROR(SUMMARY_ENGINE!E61,0)</f>
        <v>0</v>
      </c>
      <c r="D69" s="60">
        <f>IFERROR(SUMMARY_ENGINE!F61,0)</f>
        <v>0</v>
      </c>
      <c r="E69" s="61">
        <f>IFERROR(SUMMARY_ENGINE!I61,0)</f>
        <v>0</v>
      </c>
      <c r="F69" s="62">
        <f>IFERROR(SUMMARY_ENGINE!H61,0)</f>
        <v>0</v>
      </c>
      <c r="G69" s="63">
        <f>IFERROR(SUMMARY_ENGINE!J61,0)</f>
        <v>0</v>
      </c>
      <c r="H69" s="64">
        <f>IFERROR(SUMMARY_ENGINE!K61,0)</f>
        <v>0</v>
      </c>
      <c r="I69" s="64">
        <f>IFERROR(SUMMARY_ENGINE!M61,0)</f>
        <v>0</v>
      </c>
      <c r="J69" s="65" t="str">
        <f>IFERROR(SUMMARY_ENGINE!N61,"—")</f>
        <v>—</v>
      </c>
    </row>
    <row r="70" ht="18.75" customHeight="1">
      <c r="A70" s="50" t="str">
        <f>IFERROR(IF(SUMMARY_ENGINE!A62="","",SUMMARY_ENGINE!A62),"")</f>
        <v/>
      </c>
      <c r="B70" s="51" t="str">
        <f>IFERROR(IF(SUMMARY_ENGINE!A62="","",SUMMARY_ENGINE!C62),"")</f>
        <v/>
      </c>
      <c r="C70" s="52">
        <f>IFERROR(SUMMARY_ENGINE!E62,0)</f>
        <v>0</v>
      </c>
      <c r="D70" s="52">
        <f>IFERROR(SUMMARY_ENGINE!F62,0)</f>
        <v>0</v>
      </c>
      <c r="E70" s="53">
        <f>IFERROR(SUMMARY_ENGINE!I62,0)</f>
        <v>0</v>
      </c>
      <c r="F70" s="54">
        <f>IFERROR(SUMMARY_ENGINE!H62,0)</f>
        <v>0</v>
      </c>
      <c r="G70" s="55">
        <f>IFERROR(SUMMARY_ENGINE!J62,0)</f>
        <v>0</v>
      </c>
      <c r="H70" s="56">
        <f>IFERROR(SUMMARY_ENGINE!K62,0)</f>
        <v>0</v>
      </c>
      <c r="I70" s="56">
        <f>IFERROR(SUMMARY_ENGINE!M62,0)</f>
        <v>0</v>
      </c>
      <c r="J70" s="57" t="str">
        <f>IFERROR(SUMMARY_ENGINE!N62,"—")</f>
        <v>—</v>
      </c>
    </row>
    <row r="71" ht="18.75" customHeight="1">
      <c r="A71" s="58" t="str">
        <f>IFERROR(IF(SUMMARY_ENGINE!A63="","",SUMMARY_ENGINE!A63),"")</f>
        <v/>
      </c>
      <c r="B71" s="59" t="str">
        <f>IFERROR(IF(SUMMARY_ENGINE!A63="","",SUMMARY_ENGINE!C63),"")</f>
        <v/>
      </c>
      <c r="C71" s="60">
        <f>IFERROR(SUMMARY_ENGINE!E63,0)</f>
        <v>0</v>
      </c>
      <c r="D71" s="60">
        <f>IFERROR(SUMMARY_ENGINE!F63,0)</f>
        <v>0</v>
      </c>
      <c r="E71" s="61">
        <f>IFERROR(SUMMARY_ENGINE!I63,0)</f>
        <v>0</v>
      </c>
      <c r="F71" s="62">
        <f>IFERROR(SUMMARY_ENGINE!H63,0)</f>
        <v>0</v>
      </c>
      <c r="G71" s="63">
        <f>IFERROR(SUMMARY_ENGINE!J63,0)</f>
        <v>0</v>
      </c>
      <c r="H71" s="64">
        <f>IFERROR(SUMMARY_ENGINE!K63,0)</f>
        <v>0</v>
      </c>
      <c r="I71" s="64">
        <f>IFERROR(SUMMARY_ENGINE!M63,0)</f>
        <v>0</v>
      </c>
      <c r="J71" s="65" t="str">
        <f>IFERROR(SUMMARY_ENGINE!N63,"—")</f>
        <v>—</v>
      </c>
    </row>
    <row r="72" ht="18.75" customHeight="1">
      <c r="A72" s="50" t="str">
        <f>IFERROR(IF(SUMMARY_ENGINE!A64="","",SUMMARY_ENGINE!A64),"")</f>
        <v/>
      </c>
      <c r="B72" s="51" t="str">
        <f>IFERROR(IF(SUMMARY_ENGINE!A64="","",SUMMARY_ENGINE!C64),"")</f>
        <v/>
      </c>
      <c r="C72" s="52">
        <f>IFERROR(SUMMARY_ENGINE!E64,0)</f>
        <v>0</v>
      </c>
      <c r="D72" s="52">
        <f>IFERROR(SUMMARY_ENGINE!F64,0)</f>
        <v>0</v>
      </c>
      <c r="E72" s="53">
        <f>IFERROR(SUMMARY_ENGINE!I64,0)</f>
        <v>0</v>
      </c>
      <c r="F72" s="54">
        <f>IFERROR(SUMMARY_ENGINE!H64,0)</f>
        <v>0</v>
      </c>
      <c r="G72" s="55">
        <f>IFERROR(SUMMARY_ENGINE!J64,0)</f>
        <v>0</v>
      </c>
      <c r="H72" s="56">
        <f>IFERROR(SUMMARY_ENGINE!K64,0)</f>
        <v>0</v>
      </c>
      <c r="I72" s="56">
        <f>IFERROR(SUMMARY_ENGINE!M64,0)</f>
        <v>0</v>
      </c>
      <c r="J72" s="57" t="str">
        <f>IFERROR(SUMMARY_ENGINE!N64,"—")</f>
        <v>—</v>
      </c>
    </row>
    <row r="73" ht="18.75" customHeight="1">
      <c r="A73" s="58" t="str">
        <f>IFERROR(IF(SUMMARY_ENGINE!A65="","",SUMMARY_ENGINE!A65),"")</f>
        <v/>
      </c>
      <c r="B73" s="59" t="str">
        <f>IFERROR(IF(SUMMARY_ENGINE!A65="","",SUMMARY_ENGINE!C65),"")</f>
        <v/>
      </c>
      <c r="C73" s="60">
        <f>IFERROR(SUMMARY_ENGINE!E65,0)</f>
        <v>0</v>
      </c>
      <c r="D73" s="60">
        <f>IFERROR(SUMMARY_ENGINE!F65,0)</f>
        <v>0</v>
      </c>
      <c r="E73" s="61">
        <f>IFERROR(SUMMARY_ENGINE!I65,0)</f>
        <v>0</v>
      </c>
      <c r="F73" s="62">
        <f>IFERROR(SUMMARY_ENGINE!H65,0)</f>
        <v>0</v>
      </c>
      <c r="G73" s="63">
        <f>IFERROR(SUMMARY_ENGINE!J65,0)</f>
        <v>0</v>
      </c>
      <c r="H73" s="64">
        <f>IFERROR(SUMMARY_ENGINE!K65,0)</f>
        <v>0</v>
      </c>
      <c r="I73" s="64">
        <f>IFERROR(SUMMARY_ENGINE!M65,0)</f>
        <v>0</v>
      </c>
      <c r="J73" s="65" t="str">
        <f>IFERROR(SUMMARY_ENGINE!N65,"—")</f>
        <v>—</v>
      </c>
    </row>
    <row r="74" ht="18.75" customHeight="1">
      <c r="A74" s="50" t="str">
        <f>IFERROR(IF(SUMMARY_ENGINE!A66="","",SUMMARY_ENGINE!A66),"")</f>
        <v/>
      </c>
      <c r="B74" s="51" t="str">
        <f>IFERROR(IF(SUMMARY_ENGINE!A66="","",SUMMARY_ENGINE!C66),"")</f>
        <v/>
      </c>
      <c r="C74" s="52">
        <f>IFERROR(SUMMARY_ENGINE!E66,0)</f>
        <v>0</v>
      </c>
      <c r="D74" s="52">
        <f>IFERROR(SUMMARY_ENGINE!F66,0)</f>
        <v>0</v>
      </c>
      <c r="E74" s="53">
        <f>IFERROR(SUMMARY_ENGINE!I66,0)</f>
        <v>0</v>
      </c>
      <c r="F74" s="54">
        <f>IFERROR(SUMMARY_ENGINE!H66,0)</f>
        <v>0</v>
      </c>
      <c r="G74" s="55">
        <f>IFERROR(SUMMARY_ENGINE!J66,0)</f>
        <v>0</v>
      </c>
      <c r="H74" s="56">
        <f>IFERROR(SUMMARY_ENGINE!K66,0)</f>
        <v>0</v>
      </c>
      <c r="I74" s="56">
        <f>IFERROR(SUMMARY_ENGINE!M66,0)</f>
        <v>0</v>
      </c>
      <c r="J74" s="57" t="str">
        <f>IFERROR(SUMMARY_ENGINE!N66,"—")</f>
        <v>—</v>
      </c>
    </row>
    <row r="75" ht="18.75" customHeight="1">
      <c r="A75" s="58" t="str">
        <f>IFERROR(IF(SUMMARY_ENGINE!A67="","",SUMMARY_ENGINE!A67),"")</f>
        <v/>
      </c>
      <c r="B75" s="59" t="str">
        <f>IFERROR(IF(SUMMARY_ENGINE!A67="","",SUMMARY_ENGINE!C67),"")</f>
        <v/>
      </c>
      <c r="C75" s="60">
        <f>IFERROR(SUMMARY_ENGINE!E67,0)</f>
        <v>0</v>
      </c>
      <c r="D75" s="60">
        <f>IFERROR(SUMMARY_ENGINE!F67,0)</f>
        <v>0</v>
      </c>
      <c r="E75" s="61">
        <f>IFERROR(SUMMARY_ENGINE!I67,0)</f>
        <v>0</v>
      </c>
      <c r="F75" s="62">
        <f>IFERROR(SUMMARY_ENGINE!H67,0)</f>
        <v>0</v>
      </c>
      <c r="G75" s="63">
        <f>IFERROR(SUMMARY_ENGINE!J67,0)</f>
        <v>0</v>
      </c>
      <c r="H75" s="64">
        <f>IFERROR(SUMMARY_ENGINE!K67,0)</f>
        <v>0</v>
      </c>
      <c r="I75" s="64">
        <f>IFERROR(SUMMARY_ENGINE!M67,0)</f>
        <v>0</v>
      </c>
      <c r="J75" s="65" t="str">
        <f>IFERROR(SUMMARY_ENGINE!N67,"—")</f>
        <v>—</v>
      </c>
    </row>
    <row r="76" ht="18.75" customHeight="1">
      <c r="A76" s="50" t="str">
        <f>IFERROR(IF(SUMMARY_ENGINE!A68="","",SUMMARY_ENGINE!A68),"")</f>
        <v/>
      </c>
      <c r="B76" s="51" t="str">
        <f>IFERROR(IF(SUMMARY_ENGINE!A68="","",SUMMARY_ENGINE!C68),"")</f>
        <v/>
      </c>
      <c r="C76" s="52">
        <f>IFERROR(SUMMARY_ENGINE!E68,0)</f>
        <v>0</v>
      </c>
      <c r="D76" s="52">
        <f>IFERROR(SUMMARY_ENGINE!F68,0)</f>
        <v>0</v>
      </c>
      <c r="E76" s="53">
        <f>IFERROR(SUMMARY_ENGINE!I68,0)</f>
        <v>0</v>
      </c>
      <c r="F76" s="54">
        <f>IFERROR(SUMMARY_ENGINE!H68,0)</f>
        <v>0</v>
      </c>
      <c r="G76" s="55">
        <f>IFERROR(SUMMARY_ENGINE!J68,0)</f>
        <v>0</v>
      </c>
      <c r="H76" s="56">
        <f>IFERROR(SUMMARY_ENGINE!K68,0)</f>
        <v>0</v>
      </c>
      <c r="I76" s="56">
        <f>IFERROR(SUMMARY_ENGINE!M68,0)</f>
        <v>0</v>
      </c>
      <c r="J76" s="57" t="str">
        <f>IFERROR(SUMMARY_ENGINE!N68,"—")</f>
        <v>—</v>
      </c>
    </row>
    <row r="77" ht="18.75" customHeight="1">
      <c r="A77" s="58" t="str">
        <f>IFERROR(IF(SUMMARY_ENGINE!A69="","",SUMMARY_ENGINE!A69),"")</f>
        <v/>
      </c>
      <c r="B77" s="59" t="str">
        <f>IFERROR(IF(SUMMARY_ENGINE!A69="","",SUMMARY_ENGINE!C69),"")</f>
        <v/>
      </c>
      <c r="C77" s="60">
        <f>IFERROR(SUMMARY_ENGINE!E69,0)</f>
        <v>0</v>
      </c>
      <c r="D77" s="60">
        <f>IFERROR(SUMMARY_ENGINE!F69,0)</f>
        <v>0</v>
      </c>
      <c r="E77" s="61">
        <f>IFERROR(SUMMARY_ENGINE!I69,0)</f>
        <v>0</v>
      </c>
      <c r="F77" s="62">
        <f>IFERROR(SUMMARY_ENGINE!H69,0)</f>
        <v>0</v>
      </c>
      <c r="G77" s="63">
        <f>IFERROR(SUMMARY_ENGINE!J69,0)</f>
        <v>0</v>
      </c>
      <c r="H77" s="64">
        <f>IFERROR(SUMMARY_ENGINE!K69,0)</f>
        <v>0</v>
      </c>
      <c r="I77" s="64">
        <f>IFERROR(SUMMARY_ENGINE!M69,0)</f>
        <v>0</v>
      </c>
      <c r="J77" s="65" t="str">
        <f>IFERROR(SUMMARY_ENGINE!N69,"—")</f>
        <v>—</v>
      </c>
    </row>
    <row r="78" ht="18.75" customHeight="1">
      <c r="A78" s="50" t="str">
        <f>IFERROR(IF(SUMMARY_ENGINE!A70="","",SUMMARY_ENGINE!A70),"")</f>
        <v/>
      </c>
      <c r="B78" s="51" t="str">
        <f>IFERROR(IF(SUMMARY_ENGINE!A70="","",SUMMARY_ENGINE!C70),"")</f>
        <v/>
      </c>
      <c r="C78" s="52">
        <f>IFERROR(SUMMARY_ENGINE!E70,0)</f>
        <v>0</v>
      </c>
      <c r="D78" s="52">
        <f>IFERROR(SUMMARY_ENGINE!F70,0)</f>
        <v>0</v>
      </c>
      <c r="E78" s="53">
        <f>IFERROR(SUMMARY_ENGINE!I70,0)</f>
        <v>0</v>
      </c>
      <c r="F78" s="54">
        <f>IFERROR(SUMMARY_ENGINE!H70,0)</f>
        <v>0</v>
      </c>
      <c r="G78" s="55">
        <f>IFERROR(SUMMARY_ENGINE!J70,0)</f>
        <v>0</v>
      </c>
      <c r="H78" s="56">
        <f>IFERROR(SUMMARY_ENGINE!K70,0)</f>
        <v>0</v>
      </c>
      <c r="I78" s="56">
        <f>IFERROR(SUMMARY_ENGINE!M70,0)</f>
        <v>0</v>
      </c>
      <c r="J78" s="57" t="str">
        <f>IFERROR(SUMMARY_ENGINE!N70,"—")</f>
        <v>—</v>
      </c>
    </row>
    <row r="79" ht="18.75" customHeight="1">
      <c r="A79" s="58" t="str">
        <f>IFERROR(IF(SUMMARY_ENGINE!A71="","",SUMMARY_ENGINE!A71),"")</f>
        <v/>
      </c>
      <c r="B79" s="59" t="str">
        <f>IFERROR(IF(SUMMARY_ENGINE!A71="","",SUMMARY_ENGINE!C71),"")</f>
        <v/>
      </c>
      <c r="C79" s="60">
        <f>IFERROR(SUMMARY_ENGINE!E71,0)</f>
        <v>0</v>
      </c>
      <c r="D79" s="60">
        <f>IFERROR(SUMMARY_ENGINE!F71,0)</f>
        <v>0</v>
      </c>
      <c r="E79" s="61">
        <f>IFERROR(SUMMARY_ENGINE!I71,0)</f>
        <v>0</v>
      </c>
      <c r="F79" s="62">
        <f>IFERROR(SUMMARY_ENGINE!H71,0)</f>
        <v>0</v>
      </c>
      <c r="G79" s="63">
        <f>IFERROR(SUMMARY_ENGINE!J71,0)</f>
        <v>0</v>
      </c>
      <c r="H79" s="64">
        <f>IFERROR(SUMMARY_ENGINE!K71,0)</f>
        <v>0</v>
      </c>
      <c r="I79" s="64">
        <f>IFERROR(SUMMARY_ENGINE!M71,0)</f>
        <v>0</v>
      </c>
      <c r="J79" s="65" t="str">
        <f>IFERROR(SUMMARY_ENGINE!N71,"—")</f>
        <v>—</v>
      </c>
    </row>
    <row r="80" ht="18.75" customHeight="1">
      <c r="A80" s="50" t="str">
        <f>IFERROR(IF(SUMMARY_ENGINE!A72="","",SUMMARY_ENGINE!A72),"")</f>
        <v/>
      </c>
      <c r="B80" s="51" t="str">
        <f>IFERROR(IF(SUMMARY_ENGINE!A72="","",SUMMARY_ENGINE!C72),"")</f>
        <v/>
      </c>
      <c r="C80" s="52">
        <f>IFERROR(SUMMARY_ENGINE!E72,0)</f>
        <v>0</v>
      </c>
      <c r="D80" s="52">
        <f>IFERROR(SUMMARY_ENGINE!F72,0)</f>
        <v>0</v>
      </c>
      <c r="E80" s="53">
        <f>IFERROR(SUMMARY_ENGINE!I72,0)</f>
        <v>0</v>
      </c>
      <c r="F80" s="54">
        <f>IFERROR(SUMMARY_ENGINE!H72,0)</f>
        <v>0</v>
      </c>
      <c r="G80" s="55">
        <f>IFERROR(SUMMARY_ENGINE!J72,0)</f>
        <v>0</v>
      </c>
      <c r="H80" s="56">
        <f>IFERROR(SUMMARY_ENGINE!K72,0)</f>
        <v>0</v>
      </c>
      <c r="I80" s="56">
        <f>IFERROR(SUMMARY_ENGINE!M72,0)</f>
        <v>0</v>
      </c>
      <c r="J80" s="57" t="str">
        <f>IFERROR(SUMMARY_ENGINE!N72,"—")</f>
        <v>—</v>
      </c>
    </row>
    <row r="81" ht="18.75" customHeight="1">
      <c r="A81" s="58" t="str">
        <f>IFERROR(IF(SUMMARY_ENGINE!A73="","",SUMMARY_ENGINE!A73),"")</f>
        <v/>
      </c>
      <c r="B81" s="59" t="str">
        <f>IFERROR(IF(SUMMARY_ENGINE!A73="","",SUMMARY_ENGINE!C73),"")</f>
        <v/>
      </c>
      <c r="C81" s="60">
        <f>IFERROR(SUMMARY_ENGINE!E73,0)</f>
        <v>0</v>
      </c>
      <c r="D81" s="60">
        <f>IFERROR(SUMMARY_ENGINE!F73,0)</f>
        <v>0</v>
      </c>
      <c r="E81" s="61">
        <f>IFERROR(SUMMARY_ENGINE!I73,0)</f>
        <v>0</v>
      </c>
      <c r="F81" s="62">
        <f>IFERROR(SUMMARY_ENGINE!H73,0)</f>
        <v>0</v>
      </c>
      <c r="G81" s="63">
        <f>IFERROR(SUMMARY_ENGINE!J73,0)</f>
        <v>0</v>
      </c>
      <c r="H81" s="64">
        <f>IFERROR(SUMMARY_ENGINE!K73,0)</f>
        <v>0</v>
      </c>
      <c r="I81" s="64">
        <f>IFERROR(SUMMARY_ENGINE!M73,0)</f>
        <v>0</v>
      </c>
      <c r="J81" s="65" t="str">
        <f>IFERROR(SUMMARY_ENGINE!N73,"—")</f>
        <v>—</v>
      </c>
    </row>
    <row r="82" ht="18.75" customHeight="1">
      <c r="A82" s="50" t="str">
        <f>IFERROR(IF(SUMMARY_ENGINE!A74="","",SUMMARY_ENGINE!A74),"")</f>
        <v/>
      </c>
      <c r="B82" s="51" t="str">
        <f>IFERROR(IF(SUMMARY_ENGINE!A74="","",SUMMARY_ENGINE!C74),"")</f>
        <v/>
      </c>
      <c r="C82" s="52">
        <f>IFERROR(SUMMARY_ENGINE!E74,0)</f>
        <v>0</v>
      </c>
      <c r="D82" s="52">
        <f>IFERROR(SUMMARY_ENGINE!F74,0)</f>
        <v>0</v>
      </c>
      <c r="E82" s="53">
        <f>IFERROR(SUMMARY_ENGINE!I74,0)</f>
        <v>0</v>
      </c>
      <c r="F82" s="54">
        <f>IFERROR(SUMMARY_ENGINE!H74,0)</f>
        <v>0</v>
      </c>
      <c r="G82" s="55">
        <f>IFERROR(SUMMARY_ENGINE!J74,0)</f>
        <v>0</v>
      </c>
      <c r="H82" s="56">
        <f>IFERROR(SUMMARY_ENGINE!K74,0)</f>
        <v>0</v>
      </c>
      <c r="I82" s="56">
        <f>IFERROR(SUMMARY_ENGINE!M74,0)</f>
        <v>0</v>
      </c>
      <c r="J82" s="57" t="str">
        <f>IFERROR(SUMMARY_ENGINE!N74,"—")</f>
        <v>—</v>
      </c>
    </row>
    <row r="83" ht="18.75" customHeight="1">
      <c r="A83" s="58" t="str">
        <f>IFERROR(IF(SUMMARY_ENGINE!A75="","",SUMMARY_ENGINE!A75),"")</f>
        <v/>
      </c>
      <c r="B83" s="59" t="str">
        <f>IFERROR(IF(SUMMARY_ENGINE!A75="","",SUMMARY_ENGINE!C75),"")</f>
        <v/>
      </c>
      <c r="C83" s="60">
        <f>IFERROR(SUMMARY_ENGINE!E75,0)</f>
        <v>0</v>
      </c>
      <c r="D83" s="60">
        <f>IFERROR(SUMMARY_ENGINE!F75,0)</f>
        <v>0</v>
      </c>
      <c r="E83" s="61">
        <f>IFERROR(SUMMARY_ENGINE!I75,0)</f>
        <v>0</v>
      </c>
      <c r="F83" s="62">
        <f>IFERROR(SUMMARY_ENGINE!H75,0)</f>
        <v>0</v>
      </c>
      <c r="G83" s="63">
        <f>IFERROR(SUMMARY_ENGINE!J75,0)</f>
        <v>0</v>
      </c>
      <c r="H83" s="64">
        <f>IFERROR(SUMMARY_ENGINE!K75,0)</f>
        <v>0</v>
      </c>
      <c r="I83" s="64">
        <f>IFERROR(SUMMARY_ENGINE!M75,0)</f>
        <v>0</v>
      </c>
      <c r="J83" s="65" t="str">
        <f>IFERROR(SUMMARY_ENGINE!N75,"—")</f>
        <v>—</v>
      </c>
    </row>
    <row r="84" ht="18.75" customHeight="1">
      <c r="A84" s="50" t="str">
        <f>IFERROR(IF(SUMMARY_ENGINE!A76="","",SUMMARY_ENGINE!A76),"")</f>
        <v/>
      </c>
      <c r="B84" s="51" t="str">
        <f>IFERROR(IF(SUMMARY_ENGINE!A76="","",SUMMARY_ENGINE!C76),"")</f>
        <v/>
      </c>
      <c r="C84" s="52">
        <f>IFERROR(SUMMARY_ENGINE!E76,0)</f>
        <v>0</v>
      </c>
      <c r="D84" s="52">
        <f>IFERROR(SUMMARY_ENGINE!F76,0)</f>
        <v>0</v>
      </c>
      <c r="E84" s="53">
        <f>IFERROR(SUMMARY_ENGINE!I76,0)</f>
        <v>0</v>
      </c>
      <c r="F84" s="54">
        <f>IFERROR(SUMMARY_ENGINE!H76,0)</f>
        <v>0</v>
      </c>
      <c r="G84" s="55">
        <f>IFERROR(SUMMARY_ENGINE!J76,0)</f>
        <v>0</v>
      </c>
      <c r="H84" s="56">
        <f>IFERROR(SUMMARY_ENGINE!K76,0)</f>
        <v>0</v>
      </c>
      <c r="I84" s="56">
        <f>IFERROR(SUMMARY_ENGINE!M76,0)</f>
        <v>0</v>
      </c>
      <c r="J84" s="57" t="str">
        <f>IFERROR(SUMMARY_ENGINE!N76,"—")</f>
        <v>—</v>
      </c>
    </row>
    <row r="85" ht="18.75" customHeight="1">
      <c r="A85" s="58" t="str">
        <f>IFERROR(IF(SUMMARY_ENGINE!A77="","",SUMMARY_ENGINE!A77),"")</f>
        <v/>
      </c>
      <c r="B85" s="59" t="str">
        <f>IFERROR(IF(SUMMARY_ENGINE!A77="","",SUMMARY_ENGINE!C77),"")</f>
        <v/>
      </c>
      <c r="C85" s="60">
        <f>IFERROR(SUMMARY_ENGINE!E77,0)</f>
        <v>0</v>
      </c>
      <c r="D85" s="60">
        <f>IFERROR(SUMMARY_ENGINE!F77,0)</f>
        <v>0</v>
      </c>
      <c r="E85" s="61">
        <f>IFERROR(SUMMARY_ENGINE!I77,0)</f>
        <v>0</v>
      </c>
      <c r="F85" s="62">
        <f>IFERROR(SUMMARY_ENGINE!H77,0)</f>
        <v>0</v>
      </c>
      <c r="G85" s="63">
        <f>IFERROR(SUMMARY_ENGINE!J77,0)</f>
        <v>0</v>
      </c>
      <c r="H85" s="64">
        <f>IFERROR(SUMMARY_ENGINE!K77,0)</f>
        <v>0</v>
      </c>
      <c r="I85" s="64">
        <f>IFERROR(SUMMARY_ENGINE!M77,0)</f>
        <v>0</v>
      </c>
      <c r="J85" s="65" t="str">
        <f>IFERROR(SUMMARY_ENGINE!N77,"—")</f>
        <v>—</v>
      </c>
    </row>
    <row r="86" ht="18.75" customHeight="1">
      <c r="A86" s="50" t="str">
        <f>IFERROR(IF(SUMMARY_ENGINE!A78="","",SUMMARY_ENGINE!A78),"")</f>
        <v/>
      </c>
      <c r="B86" s="51" t="str">
        <f>IFERROR(IF(SUMMARY_ENGINE!A78="","",SUMMARY_ENGINE!C78),"")</f>
        <v/>
      </c>
      <c r="C86" s="52">
        <f>IFERROR(SUMMARY_ENGINE!E78,0)</f>
        <v>0</v>
      </c>
      <c r="D86" s="52">
        <f>IFERROR(SUMMARY_ENGINE!F78,0)</f>
        <v>0</v>
      </c>
      <c r="E86" s="53">
        <f>IFERROR(SUMMARY_ENGINE!I78,0)</f>
        <v>0</v>
      </c>
      <c r="F86" s="54">
        <f>IFERROR(SUMMARY_ENGINE!H78,0)</f>
        <v>0</v>
      </c>
      <c r="G86" s="55">
        <f>IFERROR(SUMMARY_ENGINE!J78,0)</f>
        <v>0</v>
      </c>
      <c r="H86" s="56">
        <f>IFERROR(SUMMARY_ENGINE!K78,0)</f>
        <v>0</v>
      </c>
      <c r="I86" s="56">
        <f>IFERROR(SUMMARY_ENGINE!M78,0)</f>
        <v>0</v>
      </c>
      <c r="J86" s="57" t="str">
        <f>IFERROR(SUMMARY_ENGINE!N78,"—")</f>
        <v>—</v>
      </c>
    </row>
    <row r="87" ht="18.75" customHeight="1">
      <c r="A87" s="58" t="str">
        <f>IFERROR(IF(SUMMARY_ENGINE!A79="","",SUMMARY_ENGINE!A79),"")</f>
        <v/>
      </c>
      <c r="B87" s="59" t="str">
        <f>IFERROR(IF(SUMMARY_ENGINE!A79="","",SUMMARY_ENGINE!C79),"")</f>
        <v/>
      </c>
      <c r="C87" s="60">
        <f>IFERROR(SUMMARY_ENGINE!E79,0)</f>
        <v>0</v>
      </c>
      <c r="D87" s="60">
        <f>IFERROR(SUMMARY_ENGINE!F79,0)</f>
        <v>0</v>
      </c>
      <c r="E87" s="61">
        <f>IFERROR(SUMMARY_ENGINE!I79,0)</f>
        <v>0</v>
      </c>
      <c r="F87" s="62">
        <f>IFERROR(SUMMARY_ENGINE!H79,0)</f>
        <v>0</v>
      </c>
      <c r="G87" s="63">
        <f>IFERROR(SUMMARY_ENGINE!J79,0)</f>
        <v>0</v>
      </c>
      <c r="H87" s="64">
        <f>IFERROR(SUMMARY_ENGINE!K79,0)</f>
        <v>0</v>
      </c>
      <c r="I87" s="64">
        <f>IFERROR(SUMMARY_ENGINE!M79,0)</f>
        <v>0</v>
      </c>
      <c r="J87" s="65" t="str">
        <f>IFERROR(SUMMARY_ENGINE!N79,"—")</f>
        <v>—</v>
      </c>
    </row>
    <row r="88" ht="18.75" customHeight="1">
      <c r="A88" s="50" t="str">
        <f>IFERROR(IF(SUMMARY_ENGINE!A80="","",SUMMARY_ENGINE!A80),"")</f>
        <v/>
      </c>
      <c r="B88" s="51" t="str">
        <f>IFERROR(IF(SUMMARY_ENGINE!A80="","",SUMMARY_ENGINE!C80),"")</f>
        <v/>
      </c>
      <c r="C88" s="52">
        <f>IFERROR(SUMMARY_ENGINE!E80,0)</f>
        <v>0</v>
      </c>
      <c r="D88" s="52">
        <f>IFERROR(SUMMARY_ENGINE!F80,0)</f>
        <v>0</v>
      </c>
      <c r="E88" s="53">
        <f>IFERROR(SUMMARY_ENGINE!I80,0)</f>
        <v>0</v>
      </c>
      <c r="F88" s="54">
        <f>IFERROR(SUMMARY_ENGINE!H80,0)</f>
        <v>0</v>
      </c>
      <c r="G88" s="55">
        <f>IFERROR(SUMMARY_ENGINE!J80,0)</f>
        <v>0</v>
      </c>
      <c r="H88" s="56">
        <f>IFERROR(SUMMARY_ENGINE!K80,0)</f>
        <v>0</v>
      </c>
      <c r="I88" s="56">
        <f>IFERROR(SUMMARY_ENGINE!M80,0)</f>
        <v>0</v>
      </c>
      <c r="J88" s="57" t="str">
        <f>IFERROR(SUMMARY_ENGINE!N80,"—")</f>
        <v>—</v>
      </c>
    </row>
    <row r="89" ht="18.75" customHeight="1">
      <c r="A89" s="58" t="str">
        <f>IFERROR(IF(SUMMARY_ENGINE!A81="","",SUMMARY_ENGINE!A81),"")</f>
        <v/>
      </c>
      <c r="B89" s="59" t="str">
        <f>IFERROR(IF(SUMMARY_ENGINE!A81="","",SUMMARY_ENGINE!C81),"")</f>
        <v/>
      </c>
      <c r="C89" s="60">
        <f>IFERROR(SUMMARY_ENGINE!E81,0)</f>
        <v>0</v>
      </c>
      <c r="D89" s="60">
        <f>IFERROR(SUMMARY_ENGINE!F81,0)</f>
        <v>0</v>
      </c>
      <c r="E89" s="61">
        <f>IFERROR(SUMMARY_ENGINE!I81,0)</f>
        <v>0</v>
      </c>
      <c r="F89" s="62">
        <f>IFERROR(SUMMARY_ENGINE!H81,0)</f>
        <v>0</v>
      </c>
      <c r="G89" s="63">
        <f>IFERROR(SUMMARY_ENGINE!J81,0)</f>
        <v>0</v>
      </c>
      <c r="H89" s="64">
        <f>IFERROR(SUMMARY_ENGINE!K81,0)</f>
        <v>0</v>
      </c>
      <c r="I89" s="64">
        <f>IFERROR(SUMMARY_ENGINE!M81,0)</f>
        <v>0</v>
      </c>
      <c r="J89" s="65" t="str">
        <f>IFERROR(SUMMARY_ENGINE!N81,"—")</f>
        <v>—</v>
      </c>
    </row>
    <row r="90" ht="18.75" customHeight="1">
      <c r="A90" s="50" t="str">
        <f>IFERROR(IF(SUMMARY_ENGINE!A82="","",SUMMARY_ENGINE!A82),"")</f>
        <v/>
      </c>
      <c r="B90" s="51" t="str">
        <f>IFERROR(IF(SUMMARY_ENGINE!A82="","",SUMMARY_ENGINE!C82),"")</f>
        <v/>
      </c>
      <c r="C90" s="52">
        <f>IFERROR(SUMMARY_ENGINE!E82,0)</f>
        <v>0</v>
      </c>
      <c r="D90" s="52">
        <f>IFERROR(SUMMARY_ENGINE!F82,0)</f>
        <v>0</v>
      </c>
      <c r="E90" s="53">
        <f>IFERROR(SUMMARY_ENGINE!I82,0)</f>
        <v>0</v>
      </c>
      <c r="F90" s="54">
        <f>IFERROR(SUMMARY_ENGINE!H82,0)</f>
        <v>0</v>
      </c>
      <c r="G90" s="55">
        <f>IFERROR(SUMMARY_ENGINE!J82,0)</f>
        <v>0</v>
      </c>
      <c r="H90" s="56">
        <f>IFERROR(SUMMARY_ENGINE!K82,0)</f>
        <v>0</v>
      </c>
      <c r="I90" s="56">
        <f>IFERROR(SUMMARY_ENGINE!M82,0)</f>
        <v>0</v>
      </c>
      <c r="J90" s="57" t="str">
        <f>IFERROR(SUMMARY_ENGINE!N82,"—")</f>
        <v>—</v>
      </c>
    </row>
    <row r="91" ht="18.75" customHeight="1">
      <c r="A91" s="58" t="str">
        <f>IFERROR(IF(SUMMARY_ENGINE!A83="","",SUMMARY_ENGINE!A83),"")</f>
        <v/>
      </c>
      <c r="B91" s="59" t="str">
        <f>IFERROR(IF(SUMMARY_ENGINE!A83="","",SUMMARY_ENGINE!C83),"")</f>
        <v/>
      </c>
      <c r="C91" s="60">
        <f>IFERROR(SUMMARY_ENGINE!E83,0)</f>
        <v>0</v>
      </c>
      <c r="D91" s="60">
        <f>IFERROR(SUMMARY_ENGINE!F83,0)</f>
        <v>0</v>
      </c>
      <c r="E91" s="61">
        <f>IFERROR(SUMMARY_ENGINE!I83,0)</f>
        <v>0</v>
      </c>
      <c r="F91" s="62">
        <f>IFERROR(SUMMARY_ENGINE!H83,0)</f>
        <v>0</v>
      </c>
      <c r="G91" s="63">
        <f>IFERROR(SUMMARY_ENGINE!J83,0)</f>
        <v>0</v>
      </c>
      <c r="H91" s="64">
        <f>IFERROR(SUMMARY_ENGINE!K83,0)</f>
        <v>0</v>
      </c>
      <c r="I91" s="64">
        <f>IFERROR(SUMMARY_ENGINE!M83,0)</f>
        <v>0</v>
      </c>
      <c r="J91" s="65" t="str">
        <f>IFERROR(SUMMARY_ENGINE!N83,"—")</f>
        <v>—</v>
      </c>
    </row>
    <row r="92" ht="18.75" customHeight="1">
      <c r="A92" s="50" t="str">
        <f>IFERROR(IF(SUMMARY_ENGINE!A84="","",SUMMARY_ENGINE!A84),"")</f>
        <v/>
      </c>
      <c r="B92" s="51" t="str">
        <f>IFERROR(IF(SUMMARY_ENGINE!A84="","",SUMMARY_ENGINE!C84),"")</f>
        <v/>
      </c>
      <c r="C92" s="52">
        <f>IFERROR(SUMMARY_ENGINE!E84,0)</f>
        <v>0</v>
      </c>
      <c r="D92" s="52">
        <f>IFERROR(SUMMARY_ENGINE!F84,0)</f>
        <v>0</v>
      </c>
      <c r="E92" s="53">
        <f>IFERROR(SUMMARY_ENGINE!I84,0)</f>
        <v>0</v>
      </c>
      <c r="F92" s="54">
        <f>IFERROR(SUMMARY_ENGINE!H84,0)</f>
        <v>0</v>
      </c>
      <c r="G92" s="55">
        <f>IFERROR(SUMMARY_ENGINE!J84,0)</f>
        <v>0</v>
      </c>
      <c r="H92" s="56">
        <f>IFERROR(SUMMARY_ENGINE!K84,0)</f>
        <v>0</v>
      </c>
      <c r="I92" s="56">
        <f>IFERROR(SUMMARY_ENGINE!M84,0)</f>
        <v>0</v>
      </c>
      <c r="J92" s="57" t="str">
        <f>IFERROR(SUMMARY_ENGINE!N84,"—")</f>
        <v>—</v>
      </c>
    </row>
    <row r="93" ht="18.75" customHeight="1">
      <c r="A93" s="58" t="str">
        <f>IFERROR(IF(SUMMARY_ENGINE!A85="","",SUMMARY_ENGINE!A85),"")</f>
        <v/>
      </c>
      <c r="B93" s="59" t="str">
        <f>IFERROR(IF(SUMMARY_ENGINE!A85="","",SUMMARY_ENGINE!C85),"")</f>
        <v/>
      </c>
      <c r="C93" s="60">
        <f>IFERROR(SUMMARY_ENGINE!E85,0)</f>
        <v>0</v>
      </c>
      <c r="D93" s="60">
        <f>IFERROR(SUMMARY_ENGINE!F85,0)</f>
        <v>0</v>
      </c>
      <c r="E93" s="61">
        <f>IFERROR(SUMMARY_ENGINE!I85,0)</f>
        <v>0</v>
      </c>
      <c r="F93" s="62">
        <f>IFERROR(SUMMARY_ENGINE!H85,0)</f>
        <v>0</v>
      </c>
      <c r="G93" s="63">
        <f>IFERROR(SUMMARY_ENGINE!J85,0)</f>
        <v>0</v>
      </c>
      <c r="H93" s="64">
        <f>IFERROR(SUMMARY_ENGINE!K85,0)</f>
        <v>0</v>
      </c>
      <c r="I93" s="64">
        <f>IFERROR(SUMMARY_ENGINE!M85,0)</f>
        <v>0</v>
      </c>
      <c r="J93" s="65" t="str">
        <f>IFERROR(SUMMARY_ENGINE!N85,"—")</f>
        <v>—</v>
      </c>
    </row>
    <row r="94" ht="18.75" customHeight="1">
      <c r="A94" s="50" t="str">
        <f>IFERROR(IF(SUMMARY_ENGINE!A86="","",SUMMARY_ENGINE!A86),"")</f>
        <v/>
      </c>
      <c r="B94" s="51" t="str">
        <f>IFERROR(IF(SUMMARY_ENGINE!A86="","",SUMMARY_ENGINE!C86),"")</f>
        <v/>
      </c>
      <c r="C94" s="52">
        <f>IFERROR(SUMMARY_ENGINE!E86,0)</f>
        <v>0</v>
      </c>
      <c r="D94" s="52">
        <f>IFERROR(SUMMARY_ENGINE!F86,0)</f>
        <v>0</v>
      </c>
      <c r="E94" s="53">
        <f>IFERROR(SUMMARY_ENGINE!I86,0)</f>
        <v>0</v>
      </c>
      <c r="F94" s="54">
        <f>IFERROR(SUMMARY_ENGINE!H86,0)</f>
        <v>0</v>
      </c>
      <c r="G94" s="55">
        <f>IFERROR(SUMMARY_ENGINE!J86,0)</f>
        <v>0</v>
      </c>
      <c r="H94" s="56">
        <f>IFERROR(SUMMARY_ENGINE!K86,0)</f>
        <v>0</v>
      </c>
      <c r="I94" s="56">
        <f>IFERROR(SUMMARY_ENGINE!M86,0)</f>
        <v>0</v>
      </c>
      <c r="J94" s="57" t="str">
        <f>IFERROR(SUMMARY_ENGINE!N86,"—")</f>
        <v>—</v>
      </c>
    </row>
    <row r="95" ht="18.75" customHeight="1">
      <c r="A95" s="58" t="str">
        <f>IFERROR(IF(SUMMARY_ENGINE!A87="","",SUMMARY_ENGINE!A87),"")</f>
        <v/>
      </c>
      <c r="B95" s="59" t="str">
        <f>IFERROR(IF(SUMMARY_ENGINE!A87="","",SUMMARY_ENGINE!C87),"")</f>
        <v/>
      </c>
      <c r="C95" s="60">
        <f>IFERROR(SUMMARY_ENGINE!E87,0)</f>
        <v>0</v>
      </c>
      <c r="D95" s="60">
        <f>IFERROR(SUMMARY_ENGINE!F87,0)</f>
        <v>0</v>
      </c>
      <c r="E95" s="61">
        <f>IFERROR(SUMMARY_ENGINE!I87,0)</f>
        <v>0</v>
      </c>
      <c r="F95" s="62">
        <f>IFERROR(SUMMARY_ENGINE!H87,0)</f>
        <v>0</v>
      </c>
      <c r="G95" s="63">
        <f>IFERROR(SUMMARY_ENGINE!J87,0)</f>
        <v>0</v>
      </c>
      <c r="H95" s="64">
        <f>IFERROR(SUMMARY_ENGINE!K87,0)</f>
        <v>0</v>
      </c>
      <c r="I95" s="64">
        <f>IFERROR(SUMMARY_ENGINE!M87,0)</f>
        <v>0</v>
      </c>
      <c r="J95" s="65" t="str">
        <f>IFERROR(SUMMARY_ENGINE!N87,"—")</f>
        <v>—</v>
      </c>
    </row>
    <row r="96" ht="18.75" customHeight="1">
      <c r="A96" s="50" t="str">
        <f>IFERROR(IF(SUMMARY_ENGINE!A88="","",SUMMARY_ENGINE!A88),"")</f>
        <v/>
      </c>
      <c r="B96" s="51" t="str">
        <f>IFERROR(IF(SUMMARY_ENGINE!A88="","",SUMMARY_ENGINE!C88),"")</f>
        <v/>
      </c>
      <c r="C96" s="52">
        <f>IFERROR(SUMMARY_ENGINE!E88,0)</f>
        <v>0</v>
      </c>
      <c r="D96" s="52">
        <f>IFERROR(SUMMARY_ENGINE!F88,0)</f>
        <v>0</v>
      </c>
      <c r="E96" s="53">
        <f>IFERROR(SUMMARY_ENGINE!I88,0)</f>
        <v>0</v>
      </c>
      <c r="F96" s="54">
        <f>IFERROR(SUMMARY_ENGINE!H88,0)</f>
        <v>0</v>
      </c>
      <c r="G96" s="55">
        <f>IFERROR(SUMMARY_ENGINE!J88,0)</f>
        <v>0</v>
      </c>
      <c r="H96" s="56">
        <f>IFERROR(SUMMARY_ENGINE!K88,0)</f>
        <v>0</v>
      </c>
      <c r="I96" s="56">
        <f>IFERROR(SUMMARY_ENGINE!M88,0)</f>
        <v>0</v>
      </c>
      <c r="J96" s="57" t="str">
        <f>IFERROR(SUMMARY_ENGINE!N88,"—")</f>
        <v>—</v>
      </c>
    </row>
    <row r="97" ht="18.75" customHeight="1">
      <c r="A97" s="58" t="str">
        <f>IFERROR(IF(SUMMARY_ENGINE!A89="","",SUMMARY_ENGINE!A89),"")</f>
        <v/>
      </c>
      <c r="B97" s="59" t="str">
        <f>IFERROR(IF(SUMMARY_ENGINE!A89="","",SUMMARY_ENGINE!C89),"")</f>
        <v/>
      </c>
      <c r="C97" s="60">
        <f>IFERROR(SUMMARY_ENGINE!E89,0)</f>
        <v>0</v>
      </c>
      <c r="D97" s="60">
        <f>IFERROR(SUMMARY_ENGINE!F89,0)</f>
        <v>0</v>
      </c>
      <c r="E97" s="61">
        <f>IFERROR(SUMMARY_ENGINE!I89,0)</f>
        <v>0</v>
      </c>
      <c r="F97" s="62">
        <f>IFERROR(SUMMARY_ENGINE!H89,0)</f>
        <v>0</v>
      </c>
      <c r="G97" s="63">
        <f>IFERROR(SUMMARY_ENGINE!J89,0)</f>
        <v>0</v>
      </c>
      <c r="H97" s="64">
        <f>IFERROR(SUMMARY_ENGINE!K89,0)</f>
        <v>0</v>
      </c>
      <c r="I97" s="64">
        <f>IFERROR(SUMMARY_ENGINE!M89,0)</f>
        <v>0</v>
      </c>
      <c r="J97" s="65" t="str">
        <f>IFERROR(SUMMARY_ENGINE!N89,"—")</f>
        <v>—</v>
      </c>
    </row>
    <row r="98" ht="18.75" customHeight="1">
      <c r="A98" s="50" t="str">
        <f>IFERROR(IF(SUMMARY_ENGINE!A90="","",SUMMARY_ENGINE!A90),"")</f>
        <v/>
      </c>
      <c r="B98" s="51" t="str">
        <f>IFERROR(IF(SUMMARY_ENGINE!A90="","",SUMMARY_ENGINE!C90),"")</f>
        <v/>
      </c>
      <c r="C98" s="52">
        <f>IFERROR(SUMMARY_ENGINE!E90,0)</f>
        <v>0</v>
      </c>
      <c r="D98" s="52">
        <f>IFERROR(SUMMARY_ENGINE!F90,0)</f>
        <v>0</v>
      </c>
      <c r="E98" s="53">
        <f>IFERROR(SUMMARY_ENGINE!I90,0)</f>
        <v>0</v>
      </c>
      <c r="F98" s="54">
        <f>IFERROR(SUMMARY_ENGINE!H90,0)</f>
        <v>0</v>
      </c>
      <c r="G98" s="55">
        <f>IFERROR(SUMMARY_ENGINE!J90,0)</f>
        <v>0</v>
      </c>
      <c r="H98" s="56">
        <f>IFERROR(SUMMARY_ENGINE!K90,0)</f>
        <v>0</v>
      </c>
      <c r="I98" s="56">
        <f>IFERROR(SUMMARY_ENGINE!M90,0)</f>
        <v>0</v>
      </c>
      <c r="J98" s="57" t="str">
        <f>IFERROR(SUMMARY_ENGINE!N90,"—")</f>
        <v>—</v>
      </c>
    </row>
    <row r="99" ht="18.75" customHeight="1">
      <c r="A99" s="58" t="str">
        <f>IFERROR(IF(SUMMARY_ENGINE!A91="","",SUMMARY_ENGINE!A91),"")</f>
        <v/>
      </c>
      <c r="B99" s="59" t="str">
        <f>IFERROR(IF(SUMMARY_ENGINE!A91="","",SUMMARY_ENGINE!C91),"")</f>
        <v/>
      </c>
      <c r="C99" s="60">
        <f>IFERROR(SUMMARY_ENGINE!E91,0)</f>
        <v>0</v>
      </c>
      <c r="D99" s="60">
        <f>IFERROR(SUMMARY_ENGINE!F91,0)</f>
        <v>0</v>
      </c>
      <c r="E99" s="61">
        <f>IFERROR(SUMMARY_ENGINE!I91,0)</f>
        <v>0</v>
      </c>
      <c r="F99" s="62">
        <f>IFERROR(SUMMARY_ENGINE!H91,0)</f>
        <v>0</v>
      </c>
      <c r="G99" s="63">
        <f>IFERROR(SUMMARY_ENGINE!J91,0)</f>
        <v>0</v>
      </c>
      <c r="H99" s="64">
        <f>IFERROR(SUMMARY_ENGINE!K91,0)</f>
        <v>0</v>
      </c>
      <c r="I99" s="64">
        <f>IFERROR(SUMMARY_ENGINE!M91,0)</f>
        <v>0</v>
      </c>
      <c r="J99" s="65" t="str">
        <f>IFERROR(SUMMARY_ENGINE!N91,"—")</f>
        <v>—</v>
      </c>
    </row>
    <row r="100" ht="18.75" customHeight="1">
      <c r="A100" s="50" t="str">
        <f>IFERROR(IF(SUMMARY_ENGINE!A92="","",SUMMARY_ENGINE!A92),"")</f>
        <v/>
      </c>
      <c r="B100" s="51" t="str">
        <f>IFERROR(IF(SUMMARY_ENGINE!A92="","",SUMMARY_ENGINE!C92),"")</f>
        <v/>
      </c>
      <c r="C100" s="52">
        <f>IFERROR(SUMMARY_ENGINE!E92,0)</f>
        <v>0</v>
      </c>
      <c r="D100" s="52">
        <f>IFERROR(SUMMARY_ENGINE!F92,0)</f>
        <v>0</v>
      </c>
      <c r="E100" s="53">
        <f>IFERROR(SUMMARY_ENGINE!I92,0)</f>
        <v>0</v>
      </c>
      <c r="F100" s="54">
        <f>IFERROR(SUMMARY_ENGINE!H92,0)</f>
        <v>0</v>
      </c>
      <c r="G100" s="55">
        <f>IFERROR(SUMMARY_ENGINE!J92,0)</f>
        <v>0</v>
      </c>
      <c r="H100" s="56">
        <f>IFERROR(SUMMARY_ENGINE!K92,0)</f>
        <v>0</v>
      </c>
      <c r="I100" s="56">
        <f>IFERROR(SUMMARY_ENGINE!M92,0)</f>
        <v>0</v>
      </c>
      <c r="J100" s="57" t="str">
        <f>IFERROR(SUMMARY_ENGINE!N92,"—")</f>
        <v>—</v>
      </c>
    </row>
    <row r="101" ht="18.75" customHeight="1">
      <c r="A101" s="58" t="str">
        <f>IFERROR(IF(SUMMARY_ENGINE!A93="","",SUMMARY_ENGINE!A93),"")</f>
        <v/>
      </c>
      <c r="B101" s="59" t="str">
        <f>IFERROR(IF(SUMMARY_ENGINE!A93="","",SUMMARY_ENGINE!C93),"")</f>
        <v/>
      </c>
      <c r="C101" s="60">
        <f>IFERROR(SUMMARY_ENGINE!E93,0)</f>
        <v>0</v>
      </c>
      <c r="D101" s="60">
        <f>IFERROR(SUMMARY_ENGINE!F93,0)</f>
        <v>0</v>
      </c>
      <c r="E101" s="61">
        <f>IFERROR(SUMMARY_ENGINE!I93,0)</f>
        <v>0</v>
      </c>
      <c r="F101" s="62">
        <f>IFERROR(SUMMARY_ENGINE!H93,0)</f>
        <v>0</v>
      </c>
      <c r="G101" s="63">
        <f>IFERROR(SUMMARY_ENGINE!J93,0)</f>
        <v>0</v>
      </c>
      <c r="H101" s="64">
        <f>IFERROR(SUMMARY_ENGINE!K93,0)</f>
        <v>0</v>
      </c>
      <c r="I101" s="64">
        <f>IFERROR(SUMMARY_ENGINE!M93,0)</f>
        <v>0</v>
      </c>
      <c r="J101" s="65" t="str">
        <f>IFERROR(SUMMARY_ENGINE!N93,"—")</f>
        <v>—</v>
      </c>
    </row>
    <row r="102" ht="18.75" customHeight="1">
      <c r="A102" s="50" t="str">
        <f>IFERROR(IF(SUMMARY_ENGINE!A94="","",SUMMARY_ENGINE!A94),"")</f>
        <v/>
      </c>
      <c r="B102" s="51" t="str">
        <f>IFERROR(IF(SUMMARY_ENGINE!A94="","",SUMMARY_ENGINE!C94),"")</f>
        <v/>
      </c>
      <c r="C102" s="52">
        <f>IFERROR(SUMMARY_ENGINE!E94,0)</f>
        <v>0</v>
      </c>
      <c r="D102" s="52">
        <f>IFERROR(SUMMARY_ENGINE!F94,0)</f>
        <v>0</v>
      </c>
      <c r="E102" s="53">
        <f>IFERROR(SUMMARY_ENGINE!I94,0)</f>
        <v>0</v>
      </c>
      <c r="F102" s="54">
        <f>IFERROR(SUMMARY_ENGINE!H94,0)</f>
        <v>0</v>
      </c>
      <c r="G102" s="55">
        <f>IFERROR(SUMMARY_ENGINE!J94,0)</f>
        <v>0</v>
      </c>
      <c r="H102" s="56">
        <f>IFERROR(SUMMARY_ENGINE!K94,0)</f>
        <v>0</v>
      </c>
      <c r="I102" s="56">
        <f>IFERROR(SUMMARY_ENGINE!M94,0)</f>
        <v>0</v>
      </c>
      <c r="J102" s="57" t="str">
        <f>IFERROR(SUMMARY_ENGINE!N94,"—")</f>
        <v>—</v>
      </c>
    </row>
    <row r="103" ht="18.75" customHeight="1">
      <c r="A103" s="58" t="str">
        <f>IFERROR(IF(SUMMARY_ENGINE!A95="","",SUMMARY_ENGINE!A95),"")</f>
        <v/>
      </c>
      <c r="B103" s="59" t="str">
        <f>IFERROR(IF(SUMMARY_ENGINE!A95="","",SUMMARY_ENGINE!C95),"")</f>
        <v/>
      </c>
      <c r="C103" s="60">
        <f>IFERROR(SUMMARY_ENGINE!E95,0)</f>
        <v>0</v>
      </c>
      <c r="D103" s="60">
        <f>IFERROR(SUMMARY_ENGINE!F95,0)</f>
        <v>0</v>
      </c>
      <c r="E103" s="61">
        <f>IFERROR(SUMMARY_ENGINE!I95,0)</f>
        <v>0</v>
      </c>
      <c r="F103" s="62">
        <f>IFERROR(SUMMARY_ENGINE!H95,0)</f>
        <v>0</v>
      </c>
      <c r="G103" s="63">
        <f>IFERROR(SUMMARY_ENGINE!J95,0)</f>
        <v>0</v>
      </c>
      <c r="H103" s="64">
        <f>IFERROR(SUMMARY_ENGINE!K95,0)</f>
        <v>0</v>
      </c>
      <c r="I103" s="64">
        <f>IFERROR(SUMMARY_ENGINE!M95,0)</f>
        <v>0</v>
      </c>
      <c r="J103" s="65" t="str">
        <f>IFERROR(SUMMARY_ENGINE!N95,"—")</f>
        <v>—</v>
      </c>
    </row>
    <row r="104" ht="18.75" customHeight="1">
      <c r="A104" s="50" t="str">
        <f>IFERROR(IF(SUMMARY_ENGINE!A96="","",SUMMARY_ENGINE!A96),"")</f>
        <v/>
      </c>
      <c r="B104" s="51" t="str">
        <f>IFERROR(IF(SUMMARY_ENGINE!A96="","",SUMMARY_ENGINE!C96),"")</f>
        <v/>
      </c>
      <c r="C104" s="52">
        <f>IFERROR(SUMMARY_ENGINE!E96,0)</f>
        <v>0</v>
      </c>
      <c r="D104" s="52">
        <f>IFERROR(SUMMARY_ENGINE!F96,0)</f>
        <v>0</v>
      </c>
      <c r="E104" s="53">
        <f>IFERROR(SUMMARY_ENGINE!I96,0)</f>
        <v>0</v>
      </c>
      <c r="F104" s="54">
        <f>IFERROR(SUMMARY_ENGINE!H96,0)</f>
        <v>0</v>
      </c>
      <c r="G104" s="55">
        <f>IFERROR(SUMMARY_ENGINE!J96,0)</f>
        <v>0</v>
      </c>
      <c r="H104" s="56">
        <f>IFERROR(SUMMARY_ENGINE!K96,0)</f>
        <v>0</v>
      </c>
      <c r="I104" s="56">
        <f>IFERROR(SUMMARY_ENGINE!M96,0)</f>
        <v>0</v>
      </c>
      <c r="J104" s="57" t="str">
        <f>IFERROR(SUMMARY_ENGINE!N96,"—")</f>
        <v>—</v>
      </c>
    </row>
    <row r="105" ht="18.75" customHeight="1">
      <c r="A105" s="58" t="str">
        <f>IFERROR(IF(SUMMARY_ENGINE!A97="","",SUMMARY_ENGINE!A97),"")</f>
        <v/>
      </c>
      <c r="B105" s="59" t="str">
        <f>IFERROR(IF(SUMMARY_ENGINE!A97="","",SUMMARY_ENGINE!C97),"")</f>
        <v/>
      </c>
      <c r="C105" s="60">
        <f>IFERROR(SUMMARY_ENGINE!E97,0)</f>
        <v>0</v>
      </c>
      <c r="D105" s="60">
        <f>IFERROR(SUMMARY_ENGINE!F97,0)</f>
        <v>0</v>
      </c>
      <c r="E105" s="61">
        <f>IFERROR(SUMMARY_ENGINE!I97,0)</f>
        <v>0</v>
      </c>
      <c r="F105" s="62">
        <f>IFERROR(SUMMARY_ENGINE!H97,0)</f>
        <v>0</v>
      </c>
      <c r="G105" s="63">
        <f>IFERROR(SUMMARY_ENGINE!J97,0)</f>
        <v>0</v>
      </c>
      <c r="H105" s="64">
        <f>IFERROR(SUMMARY_ENGINE!K97,0)</f>
        <v>0</v>
      </c>
      <c r="I105" s="64">
        <f>IFERROR(SUMMARY_ENGINE!M97,0)</f>
        <v>0</v>
      </c>
      <c r="J105" s="65" t="str">
        <f>IFERROR(SUMMARY_ENGINE!N97,"—")</f>
        <v>—</v>
      </c>
    </row>
    <row r="106" ht="18.75" customHeight="1">
      <c r="A106" s="50" t="str">
        <f>IFERROR(IF(SUMMARY_ENGINE!A98="","",SUMMARY_ENGINE!A98),"")</f>
        <v/>
      </c>
      <c r="B106" s="51" t="str">
        <f>IFERROR(IF(SUMMARY_ENGINE!A98="","",SUMMARY_ENGINE!C98),"")</f>
        <v/>
      </c>
      <c r="C106" s="52">
        <f>IFERROR(SUMMARY_ENGINE!E98,0)</f>
        <v>0</v>
      </c>
      <c r="D106" s="52">
        <f>IFERROR(SUMMARY_ENGINE!F98,0)</f>
        <v>0</v>
      </c>
      <c r="E106" s="53">
        <f>IFERROR(SUMMARY_ENGINE!I98,0)</f>
        <v>0</v>
      </c>
      <c r="F106" s="54">
        <f>IFERROR(SUMMARY_ENGINE!H98,0)</f>
        <v>0</v>
      </c>
      <c r="G106" s="55">
        <f>IFERROR(SUMMARY_ENGINE!J98,0)</f>
        <v>0</v>
      </c>
      <c r="H106" s="56">
        <f>IFERROR(SUMMARY_ENGINE!K98,0)</f>
        <v>0</v>
      </c>
      <c r="I106" s="56">
        <f>IFERROR(SUMMARY_ENGINE!M98,0)</f>
        <v>0</v>
      </c>
      <c r="J106" s="57" t="str">
        <f>IFERROR(SUMMARY_ENGINE!N98,"—")</f>
        <v>—</v>
      </c>
    </row>
    <row r="107" ht="18.75" customHeight="1">
      <c r="A107" s="58" t="str">
        <f>IFERROR(IF(SUMMARY_ENGINE!A99="","",SUMMARY_ENGINE!A99),"")</f>
        <v/>
      </c>
      <c r="B107" s="59" t="str">
        <f>IFERROR(IF(SUMMARY_ENGINE!A99="","",SUMMARY_ENGINE!C99),"")</f>
        <v/>
      </c>
      <c r="C107" s="60">
        <f>IFERROR(SUMMARY_ENGINE!E99,0)</f>
        <v>0</v>
      </c>
      <c r="D107" s="60">
        <f>IFERROR(SUMMARY_ENGINE!F99,0)</f>
        <v>0</v>
      </c>
      <c r="E107" s="61">
        <f>IFERROR(SUMMARY_ENGINE!I99,0)</f>
        <v>0</v>
      </c>
      <c r="F107" s="62">
        <f>IFERROR(SUMMARY_ENGINE!H99,0)</f>
        <v>0</v>
      </c>
      <c r="G107" s="63">
        <f>IFERROR(SUMMARY_ENGINE!J99,0)</f>
        <v>0</v>
      </c>
      <c r="H107" s="64">
        <f>IFERROR(SUMMARY_ENGINE!K99,0)</f>
        <v>0</v>
      </c>
      <c r="I107" s="64">
        <f>IFERROR(SUMMARY_ENGINE!M99,0)</f>
        <v>0</v>
      </c>
      <c r="J107" s="65" t="str">
        <f>IFERROR(SUMMARY_ENGINE!N99,"—")</f>
        <v>—</v>
      </c>
    </row>
    <row r="108" ht="18.75" customHeight="1">
      <c r="A108" s="50" t="str">
        <f>IFERROR(IF(SUMMARY_ENGINE!A100="","",SUMMARY_ENGINE!A100),"")</f>
        <v/>
      </c>
      <c r="B108" s="51" t="str">
        <f>IFERROR(IF(SUMMARY_ENGINE!A100="","",SUMMARY_ENGINE!C100),"")</f>
        <v/>
      </c>
      <c r="C108" s="52">
        <f>IFERROR(SUMMARY_ENGINE!E100,0)</f>
        <v>0</v>
      </c>
      <c r="D108" s="52">
        <f>IFERROR(SUMMARY_ENGINE!F100,0)</f>
        <v>0</v>
      </c>
      <c r="E108" s="53">
        <f>IFERROR(SUMMARY_ENGINE!I100,0)</f>
        <v>0</v>
      </c>
      <c r="F108" s="54">
        <f>IFERROR(SUMMARY_ENGINE!H100,0)</f>
        <v>0</v>
      </c>
      <c r="G108" s="55">
        <f>IFERROR(SUMMARY_ENGINE!J100,0)</f>
        <v>0</v>
      </c>
      <c r="H108" s="56">
        <f>IFERROR(SUMMARY_ENGINE!K100,0)</f>
        <v>0</v>
      </c>
      <c r="I108" s="56">
        <f>IFERROR(SUMMARY_ENGINE!M100,0)</f>
        <v>0</v>
      </c>
      <c r="J108" s="57" t="str">
        <f>IFERROR(SUMMARY_ENGINE!N100,"—")</f>
        <v>—</v>
      </c>
    </row>
    <row r="109" ht="18.75" customHeight="1">
      <c r="A109" s="58" t="str">
        <f>IFERROR(IF(SUMMARY_ENGINE!A101="","",SUMMARY_ENGINE!A101),"")</f>
        <v/>
      </c>
      <c r="B109" s="59" t="str">
        <f>IFERROR(IF(SUMMARY_ENGINE!A101="","",SUMMARY_ENGINE!C101),"")</f>
        <v/>
      </c>
      <c r="C109" s="60">
        <f>IFERROR(SUMMARY_ENGINE!E101,0)</f>
        <v>0</v>
      </c>
      <c r="D109" s="60">
        <f>IFERROR(SUMMARY_ENGINE!F101,0)</f>
        <v>0</v>
      </c>
      <c r="E109" s="61">
        <f>IFERROR(SUMMARY_ENGINE!I101,0)</f>
        <v>0</v>
      </c>
      <c r="F109" s="62">
        <f>IFERROR(SUMMARY_ENGINE!H101,0)</f>
        <v>0</v>
      </c>
      <c r="G109" s="63">
        <f>IFERROR(SUMMARY_ENGINE!J101,0)</f>
        <v>0</v>
      </c>
      <c r="H109" s="64">
        <f>IFERROR(SUMMARY_ENGINE!K101,0)</f>
        <v>0</v>
      </c>
      <c r="I109" s="64">
        <f>IFERROR(SUMMARY_ENGINE!M101,0)</f>
        <v>0</v>
      </c>
      <c r="J109" s="65" t="str">
        <f>IFERROR(SUMMARY_ENGINE!N101,"—")</f>
        <v>—</v>
      </c>
    </row>
    <row r="110" ht="18.75" customHeight="1">
      <c r="A110" s="50" t="str">
        <f>IFERROR(IF(SUMMARY_ENGINE!A102="","",SUMMARY_ENGINE!A102),"")</f>
        <v/>
      </c>
      <c r="B110" s="51" t="str">
        <f>IFERROR(IF(SUMMARY_ENGINE!A102="","",SUMMARY_ENGINE!C102),"")</f>
        <v/>
      </c>
      <c r="C110" s="52">
        <f>IFERROR(SUMMARY_ENGINE!E102,0)</f>
        <v>0</v>
      </c>
      <c r="D110" s="52">
        <f>IFERROR(SUMMARY_ENGINE!F102,0)</f>
        <v>0</v>
      </c>
      <c r="E110" s="53">
        <f>IFERROR(SUMMARY_ENGINE!I102,0)</f>
        <v>0</v>
      </c>
      <c r="F110" s="54">
        <f>IFERROR(SUMMARY_ENGINE!H102,0)</f>
        <v>0</v>
      </c>
      <c r="G110" s="55">
        <f>IFERROR(SUMMARY_ENGINE!J102,0)</f>
        <v>0</v>
      </c>
      <c r="H110" s="56">
        <f>IFERROR(SUMMARY_ENGINE!K102,0)</f>
        <v>0</v>
      </c>
      <c r="I110" s="56">
        <f>IFERROR(SUMMARY_ENGINE!M102,0)</f>
        <v>0</v>
      </c>
      <c r="J110" s="57" t="str">
        <f>IFERROR(SUMMARY_ENGINE!N102,"—")</f>
        <v>—</v>
      </c>
    </row>
    <row r="111" ht="18.75" customHeight="1">
      <c r="A111" s="58" t="str">
        <f>IFERROR(IF(SUMMARY_ENGINE!A103="","",SUMMARY_ENGINE!A103),"")</f>
        <v/>
      </c>
      <c r="B111" s="59" t="str">
        <f>IFERROR(IF(SUMMARY_ENGINE!A103="","",SUMMARY_ENGINE!C103),"")</f>
        <v/>
      </c>
      <c r="C111" s="60">
        <f>IFERROR(SUMMARY_ENGINE!E103,0)</f>
        <v>0</v>
      </c>
      <c r="D111" s="60">
        <f>IFERROR(SUMMARY_ENGINE!F103,0)</f>
        <v>0</v>
      </c>
      <c r="E111" s="61">
        <f>IFERROR(SUMMARY_ENGINE!I103,0)</f>
        <v>0</v>
      </c>
      <c r="F111" s="62">
        <f>IFERROR(SUMMARY_ENGINE!H103,0)</f>
        <v>0</v>
      </c>
      <c r="G111" s="63">
        <f>IFERROR(SUMMARY_ENGINE!J103,0)</f>
        <v>0</v>
      </c>
      <c r="H111" s="64">
        <f>IFERROR(SUMMARY_ENGINE!K103,0)</f>
        <v>0</v>
      </c>
      <c r="I111" s="64">
        <f>IFERROR(SUMMARY_ENGINE!M103,0)</f>
        <v>0</v>
      </c>
      <c r="J111" s="65" t="str">
        <f>IFERROR(SUMMARY_ENGINE!N103,"—")</f>
        <v>—</v>
      </c>
    </row>
    <row r="112" ht="18.75" customHeight="1">
      <c r="A112" s="50" t="str">
        <f>IFERROR(IF(SUMMARY_ENGINE!A104="","",SUMMARY_ENGINE!A104),"")</f>
        <v/>
      </c>
      <c r="B112" s="51" t="str">
        <f>IFERROR(IF(SUMMARY_ENGINE!A104="","",SUMMARY_ENGINE!C104),"")</f>
        <v/>
      </c>
      <c r="C112" s="52">
        <f>IFERROR(SUMMARY_ENGINE!E104,0)</f>
        <v>0</v>
      </c>
      <c r="D112" s="52">
        <f>IFERROR(SUMMARY_ENGINE!F104,0)</f>
        <v>0</v>
      </c>
      <c r="E112" s="53">
        <f>IFERROR(SUMMARY_ENGINE!I104,0)</f>
        <v>0</v>
      </c>
      <c r="F112" s="54">
        <f>IFERROR(SUMMARY_ENGINE!H104,0)</f>
        <v>0</v>
      </c>
      <c r="G112" s="55">
        <f>IFERROR(SUMMARY_ENGINE!J104,0)</f>
        <v>0</v>
      </c>
      <c r="H112" s="56">
        <f>IFERROR(SUMMARY_ENGINE!K104,0)</f>
        <v>0</v>
      </c>
      <c r="I112" s="56">
        <f>IFERROR(SUMMARY_ENGINE!M104,0)</f>
        <v>0</v>
      </c>
      <c r="J112" s="57" t="str">
        <f>IFERROR(SUMMARY_ENGINE!N104,"—")</f>
        <v>—</v>
      </c>
    </row>
    <row r="113" ht="18.75" customHeight="1">
      <c r="A113" s="58" t="str">
        <f>IFERROR(IF(SUMMARY_ENGINE!A105="","",SUMMARY_ENGINE!A105),"")</f>
        <v/>
      </c>
      <c r="B113" s="59" t="str">
        <f>IFERROR(IF(SUMMARY_ENGINE!A105="","",SUMMARY_ENGINE!C105),"")</f>
        <v/>
      </c>
      <c r="C113" s="60">
        <f>IFERROR(SUMMARY_ENGINE!E105,0)</f>
        <v>0</v>
      </c>
      <c r="D113" s="60">
        <f>IFERROR(SUMMARY_ENGINE!F105,0)</f>
        <v>0</v>
      </c>
      <c r="E113" s="61">
        <f>IFERROR(SUMMARY_ENGINE!I105,0)</f>
        <v>0</v>
      </c>
      <c r="F113" s="62">
        <f>IFERROR(SUMMARY_ENGINE!H105,0)</f>
        <v>0</v>
      </c>
      <c r="G113" s="63">
        <f>IFERROR(SUMMARY_ENGINE!J105,0)</f>
        <v>0</v>
      </c>
      <c r="H113" s="64">
        <f>IFERROR(SUMMARY_ENGINE!K105,0)</f>
        <v>0</v>
      </c>
      <c r="I113" s="64">
        <f>IFERROR(SUMMARY_ENGINE!M105,0)</f>
        <v>0</v>
      </c>
      <c r="J113" s="65" t="str">
        <f>IFERROR(SUMMARY_ENGINE!N105,"—")</f>
        <v>—</v>
      </c>
    </row>
    <row r="114" ht="18.75" customHeight="1">
      <c r="A114" s="50" t="str">
        <f>IFERROR(IF(SUMMARY_ENGINE!A106="","",SUMMARY_ENGINE!A106),"")</f>
        <v/>
      </c>
      <c r="B114" s="51" t="str">
        <f>IFERROR(IF(SUMMARY_ENGINE!A106="","",SUMMARY_ENGINE!C106),"")</f>
        <v/>
      </c>
      <c r="C114" s="52">
        <f>IFERROR(SUMMARY_ENGINE!E106,0)</f>
        <v>0</v>
      </c>
      <c r="D114" s="52">
        <f>IFERROR(SUMMARY_ENGINE!F106,0)</f>
        <v>0</v>
      </c>
      <c r="E114" s="53">
        <f>IFERROR(SUMMARY_ENGINE!I106,0)</f>
        <v>0</v>
      </c>
      <c r="F114" s="54">
        <f>IFERROR(SUMMARY_ENGINE!H106,0)</f>
        <v>0</v>
      </c>
      <c r="G114" s="55">
        <f>IFERROR(SUMMARY_ENGINE!J106,0)</f>
        <v>0</v>
      </c>
      <c r="H114" s="56">
        <f>IFERROR(SUMMARY_ENGINE!K106,0)</f>
        <v>0</v>
      </c>
      <c r="I114" s="56">
        <f>IFERROR(SUMMARY_ENGINE!M106,0)</f>
        <v>0</v>
      </c>
      <c r="J114" s="57" t="str">
        <f>IFERROR(SUMMARY_ENGINE!N106,"—")</f>
        <v>—</v>
      </c>
    </row>
    <row r="115" ht="18.75" customHeight="1">
      <c r="A115" s="58" t="str">
        <f>IFERROR(IF(SUMMARY_ENGINE!A107="","",SUMMARY_ENGINE!A107),"")</f>
        <v/>
      </c>
      <c r="B115" s="59" t="str">
        <f>IFERROR(IF(SUMMARY_ENGINE!A107="","",SUMMARY_ENGINE!C107),"")</f>
        <v/>
      </c>
      <c r="C115" s="60">
        <f>IFERROR(SUMMARY_ENGINE!E107,0)</f>
        <v>0</v>
      </c>
      <c r="D115" s="60">
        <f>IFERROR(SUMMARY_ENGINE!F107,0)</f>
        <v>0</v>
      </c>
      <c r="E115" s="61">
        <f>IFERROR(SUMMARY_ENGINE!I107,0)</f>
        <v>0</v>
      </c>
      <c r="F115" s="62">
        <f>IFERROR(SUMMARY_ENGINE!H107,0)</f>
        <v>0</v>
      </c>
      <c r="G115" s="63">
        <f>IFERROR(SUMMARY_ENGINE!J107,0)</f>
        <v>0</v>
      </c>
      <c r="H115" s="64">
        <f>IFERROR(SUMMARY_ENGINE!K107,0)</f>
        <v>0</v>
      </c>
      <c r="I115" s="64">
        <f>IFERROR(SUMMARY_ENGINE!M107,0)</f>
        <v>0</v>
      </c>
      <c r="J115" s="65" t="str">
        <f>IFERROR(SUMMARY_ENGINE!N107,"—")</f>
        <v>—</v>
      </c>
    </row>
    <row r="116" ht="18.75" customHeight="1">
      <c r="A116" s="50" t="str">
        <f>IFERROR(IF(SUMMARY_ENGINE!A108="","",SUMMARY_ENGINE!A108),"")</f>
        <v/>
      </c>
      <c r="B116" s="51" t="str">
        <f>IFERROR(IF(SUMMARY_ENGINE!A108="","",SUMMARY_ENGINE!C108),"")</f>
        <v/>
      </c>
      <c r="C116" s="52">
        <f>IFERROR(SUMMARY_ENGINE!E108,0)</f>
        <v>0</v>
      </c>
      <c r="D116" s="52">
        <f>IFERROR(SUMMARY_ENGINE!F108,0)</f>
        <v>0</v>
      </c>
      <c r="E116" s="53">
        <f>IFERROR(SUMMARY_ENGINE!I108,0)</f>
        <v>0</v>
      </c>
      <c r="F116" s="54">
        <f>IFERROR(SUMMARY_ENGINE!H108,0)</f>
        <v>0</v>
      </c>
      <c r="G116" s="55">
        <f>IFERROR(SUMMARY_ENGINE!J108,0)</f>
        <v>0</v>
      </c>
      <c r="H116" s="56">
        <f>IFERROR(SUMMARY_ENGINE!K108,0)</f>
        <v>0</v>
      </c>
      <c r="I116" s="56">
        <f>IFERROR(SUMMARY_ENGINE!M108,0)</f>
        <v>0</v>
      </c>
      <c r="J116" s="57" t="str">
        <f>IFERROR(SUMMARY_ENGINE!N108,"—")</f>
        <v>—</v>
      </c>
    </row>
    <row r="117" ht="18.75" customHeight="1">
      <c r="A117" s="58" t="str">
        <f>IFERROR(IF(SUMMARY_ENGINE!A109="","",SUMMARY_ENGINE!A109),"")</f>
        <v/>
      </c>
      <c r="B117" s="59" t="str">
        <f>IFERROR(IF(SUMMARY_ENGINE!A109="","",SUMMARY_ENGINE!C109),"")</f>
        <v/>
      </c>
      <c r="C117" s="60">
        <f>IFERROR(SUMMARY_ENGINE!E109,0)</f>
        <v>0</v>
      </c>
      <c r="D117" s="60">
        <f>IFERROR(SUMMARY_ENGINE!F109,0)</f>
        <v>0</v>
      </c>
      <c r="E117" s="61">
        <f>IFERROR(SUMMARY_ENGINE!I109,0)</f>
        <v>0</v>
      </c>
      <c r="F117" s="62">
        <f>IFERROR(SUMMARY_ENGINE!H109,0)</f>
        <v>0</v>
      </c>
      <c r="G117" s="63">
        <f>IFERROR(SUMMARY_ENGINE!J109,0)</f>
        <v>0</v>
      </c>
      <c r="H117" s="64">
        <f>IFERROR(SUMMARY_ENGINE!K109,0)</f>
        <v>0</v>
      </c>
      <c r="I117" s="64">
        <f>IFERROR(SUMMARY_ENGINE!M109,0)</f>
        <v>0</v>
      </c>
      <c r="J117" s="65" t="str">
        <f>IFERROR(SUMMARY_ENGINE!N109,"—")</f>
        <v>—</v>
      </c>
    </row>
    <row r="118" ht="18.75" customHeight="1">
      <c r="A118" s="50" t="str">
        <f>IFERROR(IF(SUMMARY_ENGINE!A110="","",SUMMARY_ENGINE!A110),"")</f>
        <v/>
      </c>
      <c r="B118" s="51" t="str">
        <f>IFERROR(IF(SUMMARY_ENGINE!A110="","",SUMMARY_ENGINE!C110),"")</f>
        <v/>
      </c>
      <c r="C118" s="52">
        <f>IFERROR(SUMMARY_ENGINE!E110,0)</f>
        <v>0</v>
      </c>
      <c r="D118" s="52">
        <f>IFERROR(SUMMARY_ENGINE!F110,0)</f>
        <v>0</v>
      </c>
      <c r="E118" s="53">
        <f>IFERROR(SUMMARY_ENGINE!I110,0)</f>
        <v>0</v>
      </c>
      <c r="F118" s="54">
        <f>IFERROR(SUMMARY_ENGINE!H110,0)</f>
        <v>0</v>
      </c>
      <c r="G118" s="55">
        <f>IFERROR(SUMMARY_ENGINE!J110,0)</f>
        <v>0</v>
      </c>
      <c r="H118" s="56">
        <f>IFERROR(SUMMARY_ENGINE!K110,0)</f>
        <v>0</v>
      </c>
      <c r="I118" s="56">
        <f>IFERROR(SUMMARY_ENGINE!M110,0)</f>
        <v>0</v>
      </c>
      <c r="J118" s="57" t="str">
        <f>IFERROR(SUMMARY_ENGINE!N110,"—")</f>
        <v>—</v>
      </c>
    </row>
    <row r="119" ht="18.75" customHeight="1">
      <c r="A119" s="58" t="str">
        <f>IFERROR(IF(SUMMARY_ENGINE!A111="","",SUMMARY_ENGINE!A111),"")</f>
        <v/>
      </c>
      <c r="B119" s="59" t="str">
        <f>IFERROR(IF(SUMMARY_ENGINE!A111="","",SUMMARY_ENGINE!C111),"")</f>
        <v/>
      </c>
      <c r="C119" s="60">
        <f>IFERROR(SUMMARY_ENGINE!E111,0)</f>
        <v>0</v>
      </c>
      <c r="D119" s="60">
        <f>IFERROR(SUMMARY_ENGINE!F111,0)</f>
        <v>0</v>
      </c>
      <c r="E119" s="61">
        <f>IFERROR(SUMMARY_ENGINE!I111,0)</f>
        <v>0</v>
      </c>
      <c r="F119" s="62">
        <f>IFERROR(SUMMARY_ENGINE!H111,0)</f>
        <v>0</v>
      </c>
      <c r="G119" s="63">
        <f>IFERROR(SUMMARY_ENGINE!J111,0)</f>
        <v>0</v>
      </c>
      <c r="H119" s="64">
        <f>IFERROR(SUMMARY_ENGINE!K111,0)</f>
        <v>0</v>
      </c>
      <c r="I119" s="64">
        <f>IFERROR(SUMMARY_ENGINE!M111,0)</f>
        <v>0</v>
      </c>
      <c r="J119" s="65" t="str">
        <f>IFERROR(SUMMARY_ENGINE!N111,"—")</f>
        <v>—</v>
      </c>
    </row>
    <row r="120" ht="18.75" customHeight="1">
      <c r="A120" s="50" t="str">
        <f>IFERROR(IF(SUMMARY_ENGINE!A112="","",SUMMARY_ENGINE!A112),"")</f>
        <v/>
      </c>
      <c r="B120" s="51" t="str">
        <f>IFERROR(IF(SUMMARY_ENGINE!A112="","",SUMMARY_ENGINE!C112),"")</f>
        <v/>
      </c>
      <c r="C120" s="52">
        <f>IFERROR(SUMMARY_ENGINE!E112,0)</f>
        <v>0</v>
      </c>
      <c r="D120" s="52">
        <f>IFERROR(SUMMARY_ENGINE!F112,0)</f>
        <v>0</v>
      </c>
      <c r="E120" s="53">
        <f>IFERROR(SUMMARY_ENGINE!I112,0)</f>
        <v>0</v>
      </c>
      <c r="F120" s="54">
        <f>IFERROR(SUMMARY_ENGINE!H112,0)</f>
        <v>0</v>
      </c>
      <c r="G120" s="55">
        <f>IFERROR(SUMMARY_ENGINE!J112,0)</f>
        <v>0</v>
      </c>
      <c r="H120" s="56">
        <f>IFERROR(SUMMARY_ENGINE!K112,0)</f>
        <v>0</v>
      </c>
      <c r="I120" s="56">
        <f>IFERROR(SUMMARY_ENGINE!M112,0)</f>
        <v>0</v>
      </c>
      <c r="J120" s="57" t="str">
        <f>IFERROR(SUMMARY_ENGINE!N112,"—")</f>
        <v>—</v>
      </c>
    </row>
    <row r="121" ht="18.75" customHeight="1">
      <c r="A121" s="58" t="str">
        <f>IFERROR(IF(SUMMARY_ENGINE!A113="","",SUMMARY_ENGINE!A113),"")</f>
        <v/>
      </c>
      <c r="B121" s="59" t="str">
        <f>IFERROR(IF(SUMMARY_ENGINE!A113="","",SUMMARY_ENGINE!C113),"")</f>
        <v/>
      </c>
      <c r="C121" s="60">
        <f>IFERROR(SUMMARY_ENGINE!E113,0)</f>
        <v>0</v>
      </c>
      <c r="D121" s="60">
        <f>IFERROR(SUMMARY_ENGINE!F113,0)</f>
        <v>0</v>
      </c>
      <c r="E121" s="61">
        <f>IFERROR(SUMMARY_ENGINE!I113,0)</f>
        <v>0</v>
      </c>
      <c r="F121" s="62">
        <f>IFERROR(SUMMARY_ENGINE!H113,0)</f>
        <v>0</v>
      </c>
      <c r="G121" s="63">
        <f>IFERROR(SUMMARY_ENGINE!J113,0)</f>
        <v>0</v>
      </c>
      <c r="H121" s="64">
        <f>IFERROR(SUMMARY_ENGINE!K113,0)</f>
        <v>0</v>
      </c>
      <c r="I121" s="64">
        <f>IFERROR(SUMMARY_ENGINE!M113,0)</f>
        <v>0</v>
      </c>
      <c r="J121" s="65" t="str">
        <f>IFERROR(SUMMARY_ENGINE!N113,"—")</f>
        <v>—</v>
      </c>
    </row>
    <row r="122" ht="18.75" customHeight="1">
      <c r="A122" s="50" t="str">
        <f>IFERROR(IF(SUMMARY_ENGINE!A114="","",SUMMARY_ENGINE!A114),"")</f>
        <v/>
      </c>
      <c r="B122" s="51" t="str">
        <f>IFERROR(IF(SUMMARY_ENGINE!A114="","",SUMMARY_ENGINE!C114),"")</f>
        <v/>
      </c>
      <c r="C122" s="52">
        <f>IFERROR(SUMMARY_ENGINE!E114,0)</f>
        <v>0</v>
      </c>
      <c r="D122" s="52">
        <f>IFERROR(SUMMARY_ENGINE!F114,0)</f>
        <v>0</v>
      </c>
      <c r="E122" s="53">
        <f>IFERROR(SUMMARY_ENGINE!I114,0)</f>
        <v>0</v>
      </c>
      <c r="F122" s="54">
        <f>IFERROR(SUMMARY_ENGINE!H114,0)</f>
        <v>0</v>
      </c>
      <c r="G122" s="55">
        <f>IFERROR(SUMMARY_ENGINE!J114,0)</f>
        <v>0</v>
      </c>
      <c r="H122" s="56">
        <f>IFERROR(SUMMARY_ENGINE!K114,0)</f>
        <v>0</v>
      </c>
      <c r="I122" s="56">
        <f>IFERROR(SUMMARY_ENGINE!M114,0)</f>
        <v>0</v>
      </c>
      <c r="J122" s="57" t="str">
        <f>IFERROR(SUMMARY_ENGINE!N114,"—")</f>
        <v>—</v>
      </c>
    </row>
    <row r="123" ht="18.75" customHeight="1">
      <c r="A123" s="58" t="str">
        <f>IFERROR(IF(SUMMARY_ENGINE!A115="","",SUMMARY_ENGINE!A115),"")</f>
        <v/>
      </c>
      <c r="B123" s="59" t="str">
        <f>IFERROR(IF(SUMMARY_ENGINE!A115="","",SUMMARY_ENGINE!C115),"")</f>
        <v/>
      </c>
      <c r="C123" s="60">
        <f>IFERROR(SUMMARY_ENGINE!E115,0)</f>
        <v>0</v>
      </c>
      <c r="D123" s="60">
        <f>IFERROR(SUMMARY_ENGINE!F115,0)</f>
        <v>0</v>
      </c>
      <c r="E123" s="61">
        <f>IFERROR(SUMMARY_ENGINE!I115,0)</f>
        <v>0</v>
      </c>
      <c r="F123" s="62">
        <f>IFERROR(SUMMARY_ENGINE!H115,0)</f>
        <v>0</v>
      </c>
      <c r="G123" s="63">
        <f>IFERROR(SUMMARY_ENGINE!J115,0)</f>
        <v>0</v>
      </c>
      <c r="H123" s="64">
        <f>IFERROR(SUMMARY_ENGINE!K115,0)</f>
        <v>0</v>
      </c>
      <c r="I123" s="64">
        <f>IFERROR(SUMMARY_ENGINE!M115,0)</f>
        <v>0</v>
      </c>
      <c r="J123" s="65" t="str">
        <f>IFERROR(SUMMARY_ENGINE!N115,"—")</f>
        <v>—</v>
      </c>
    </row>
    <row r="124" ht="18.75" customHeight="1">
      <c r="A124" s="50" t="str">
        <f>IFERROR(IF(SUMMARY_ENGINE!A116="","",SUMMARY_ENGINE!A116),"")</f>
        <v/>
      </c>
      <c r="B124" s="51" t="str">
        <f>IFERROR(IF(SUMMARY_ENGINE!A116="","",SUMMARY_ENGINE!C116),"")</f>
        <v/>
      </c>
      <c r="C124" s="52">
        <f>IFERROR(SUMMARY_ENGINE!E116,0)</f>
        <v>0</v>
      </c>
      <c r="D124" s="52">
        <f>IFERROR(SUMMARY_ENGINE!F116,0)</f>
        <v>0</v>
      </c>
      <c r="E124" s="53">
        <f>IFERROR(SUMMARY_ENGINE!I116,0)</f>
        <v>0</v>
      </c>
      <c r="F124" s="54">
        <f>IFERROR(SUMMARY_ENGINE!H116,0)</f>
        <v>0</v>
      </c>
      <c r="G124" s="55">
        <f>IFERROR(SUMMARY_ENGINE!J116,0)</f>
        <v>0</v>
      </c>
      <c r="H124" s="56">
        <f>IFERROR(SUMMARY_ENGINE!K116,0)</f>
        <v>0</v>
      </c>
      <c r="I124" s="56">
        <f>IFERROR(SUMMARY_ENGINE!M116,0)</f>
        <v>0</v>
      </c>
      <c r="J124" s="57" t="str">
        <f>IFERROR(SUMMARY_ENGINE!N116,"—")</f>
        <v>—</v>
      </c>
    </row>
    <row r="125" ht="18.75" customHeight="1">
      <c r="A125" s="58" t="str">
        <f>IFERROR(IF(SUMMARY_ENGINE!A117="","",SUMMARY_ENGINE!A117),"")</f>
        <v/>
      </c>
      <c r="B125" s="59" t="str">
        <f>IFERROR(IF(SUMMARY_ENGINE!A117="","",SUMMARY_ENGINE!C117),"")</f>
        <v/>
      </c>
      <c r="C125" s="60">
        <f>IFERROR(SUMMARY_ENGINE!E117,0)</f>
        <v>0</v>
      </c>
      <c r="D125" s="60">
        <f>IFERROR(SUMMARY_ENGINE!F117,0)</f>
        <v>0</v>
      </c>
      <c r="E125" s="61">
        <f>IFERROR(SUMMARY_ENGINE!I117,0)</f>
        <v>0</v>
      </c>
      <c r="F125" s="62">
        <f>IFERROR(SUMMARY_ENGINE!H117,0)</f>
        <v>0</v>
      </c>
      <c r="G125" s="63">
        <f>IFERROR(SUMMARY_ENGINE!J117,0)</f>
        <v>0</v>
      </c>
      <c r="H125" s="64">
        <f>IFERROR(SUMMARY_ENGINE!K117,0)</f>
        <v>0</v>
      </c>
      <c r="I125" s="64">
        <f>IFERROR(SUMMARY_ENGINE!M117,0)</f>
        <v>0</v>
      </c>
      <c r="J125" s="65" t="str">
        <f>IFERROR(SUMMARY_ENGINE!N117,"—")</f>
        <v>—</v>
      </c>
    </row>
    <row r="126" ht="18.75" customHeight="1">
      <c r="A126" s="50" t="str">
        <f>IFERROR(IF(SUMMARY_ENGINE!A118="","",SUMMARY_ENGINE!A118),"")</f>
        <v/>
      </c>
      <c r="B126" s="51" t="str">
        <f>IFERROR(IF(SUMMARY_ENGINE!A118="","",SUMMARY_ENGINE!C118),"")</f>
        <v/>
      </c>
      <c r="C126" s="52">
        <f>IFERROR(SUMMARY_ENGINE!E118,0)</f>
        <v>0</v>
      </c>
      <c r="D126" s="52">
        <f>IFERROR(SUMMARY_ENGINE!F118,0)</f>
        <v>0</v>
      </c>
      <c r="E126" s="53">
        <f>IFERROR(SUMMARY_ENGINE!I118,0)</f>
        <v>0</v>
      </c>
      <c r="F126" s="54">
        <f>IFERROR(SUMMARY_ENGINE!H118,0)</f>
        <v>0</v>
      </c>
      <c r="G126" s="55">
        <f>IFERROR(SUMMARY_ENGINE!J118,0)</f>
        <v>0</v>
      </c>
      <c r="H126" s="56">
        <f>IFERROR(SUMMARY_ENGINE!K118,0)</f>
        <v>0</v>
      </c>
      <c r="I126" s="56">
        <f>IFERROR(SUMMARY_ENGINE!M118,0)</f>
        <v>0</v>
      </c>
      <c r="J126" s="57" t="str">
        <f>IFERROR(SUMMARY_ENGINE!N118,"—")</f>
        <v>—</v>
      </c>
    </row>
    <row r="127" ht="18.75" customHeight="1">
      <c r="A127" s="58" t="str">
        <f>IFERROR(IF(SUMMARY_ENGINE!A119="","",SUMMARY_ENGINE!A119),"")</f>
        <v/>
      </c>
      <c r="B127" s="59" t="str">
        <f>IFERROR(IF(SUMMARY_ENGINE!A119="","",SUMMARY_ENGINE!C119),"")</f>
        <v/>
      </c>
      <c r="C127" s="60">
        <f>IFERROR(SUMMARY_ENGINE!E119,0)</f>
        <v>0</v>
      </c>
      <c r="D127" s="60">
        <f>IFERROR(SUMMARY_ENGINE!F119,0)</f>
        <v>0</v>
      </c>
      <c r="E127" s="61">
        <f>IFERROR(SUMMARY_ENGINE!I119,0)</f>
        <v>0</v>
      </c>
      <c r="F127" s="62">
        <f>IFERROR(SUMMARY_ENGINE!H119,0)</f>
        <v>0</v>
      </c>
      <c r="G127" s="63">
        <f>IFERROR(SUMMARY_ENGINE!J119,0)</f>
        <v>0</v>
      </c>
      <c r="H127" s="64">
        <f>IFERROR(SUMMARY_ENGINE!K119,0)</f>
        <v>0</v>
      </c>
      <c r="I127" s="64">
        <f>IFERROR(SUMMARY_ENGINE!M119,0)</f>
        <v>0</v>
      </c>
      <c r="J127" s="65" t="str">
        <f>IFERROR(SUMMARY_ENGINE!N119,"—")</f>
        <v>—</v>
      </c>
    </row>
    <row r="128" ht="18.75" customHeight="1">
      <c r="A128" s="50" t="str">
        <f>IFERROR(IF(SUMMARY_ENGINE!A120="","",SUMMARY_ENGINE!A120),"")</f>
        <v/>
      </c>
      <c r="B128" s="51" t="str">
        <f>IFERROR(IF(SUMMARY_ENGINE!A120="","",SUMMARY_ENGINE!C120),"")</f>
        <v/>
      </c>
      <c r="C128" s="52">
        <f>IFERROR(SUMMARY_ENGINE!E120,0)</f>
        <v>0</v>
      </c>
      <c r="D128" s="52">
        <f>IFERROR(SUMMARY_ENGINE!F120,0)</f>
        <v>0</v>
      </c>
      <c r="E128" s="53">
        <f>IFERROR(SUMMARY_ENGINE!I120,0)</f>
        <v>0</v>
      </c>
      <c r="F128" s="54">
        <f>IFERROR(SUMMARY_ENGINE!H120,0)</f>
        <v>0</v>
      </c>
      <c r="G128" s="55">
        <f>IFERROR(SUMMARY_ENGINE!J120,0)</f>
        <v>0</v>
      </c>
      <c r="H128" s="56">
        <f>IFERROR(SUMMARY_ENGINE!K120,0)</f>
        <v>0</v>
      </c>
      <c r="I128" s="56">
        <f>IFERROR(SUMMARY_ENGINE!M120,0)</f>
        <v>0</v>
      </c>
      <c r="J128" s="57" t="str">
        <f>IFERROR(SUMMARY_ENGINE!N120,"—")</f>
        <v>—</v>
      </c>
    </row>
    <row r="129" ht="18.75" customHeight="1">
      <c r="A129" s="58" t="str">
        <f>IFERROR(IF(SUMMARY_ENGINE!A121="","",SUMMARY_ENGINE!A121),"")</f>
        <v/>
      </c>
      <c r="B129" s="59" t="str">
        <f>IFERROR(IF(SUMMARY_ENGINE!A121="","",SUMMARY_ENGINE!C121),"")</f>
        <v/>
      </c>
      <c r="C129" s="60">
        <f>IFERROR(SUMMARY_ENGINE!E121,0)</f>
        <v>0</v>
      </c>
      <c r="D129" s="60">
        <f>IFERROR(SUMMARY_ENGINE!F121,0)</f>
        <v>0</v>
      </c>
      <c r="E129" s="61">
        <f>IFERROR(SUMMARY_ENGINE!I121,0)</f>
        <v>0</v>
      </c>
      <c r="F129" s="62">
        <f>IFERROR(SUMMARY_ENGINE!H121,0)</f>
        <v>0</v>
      </c>
      <c r="G129" s="63">
        <f>IFERROR(SUMMARY_ENGINE!J121,0)</f>
        <v>0</v>
      </c>
      <c r="H129" s="64">
        <f>IFERROR(SUMMARY_ENGINE!K121,0)</f>
        <v>0</v>
      </c>
      <c r="I129" s="64">
        <f>IFERROR(SUMMARY_ENGINE!M121,0)</f>
        <v>0</v>
      </c>
      <c r="J129" s="65" t="str">
        <f>IFERROR(SUMMARY_ENGINE!N121,"—")</f>
        <v>—</v>
      </c>
    </row>
    <row r="130" ht="18.75" customHeight="1">
      <c r="A130" s="50" t="str">
        <f>IFERROR(IF(SUMMARY_ENGINE!A122="","",SUMMARY_ENGINE!A122),"")</f>
        <v/>
      </c>
      <c r="B130" s="51" t="str">
        <f>IFERROR(IF(SUMMARY_ENGINE!A122="","",SUMMARY_ENGINE!C122),"")</f>
        <v/>
      </c>
      <c r="C130" s="52">
        <f>IFERROR(SUMMARY_ENGINE!E122,0)</f>
        <v>0</v>
      </c>
      <c r="D130" s="52">
        <f>IFERROR(SUMMARY_ENGINE!F122,0)</f>
        <v>0</v>
      </c>
      <c r="E130" s="53">
        <f>IFERROR(SUMMARY_ENGINE!I122,0)</f>
        <v>0</v>
      </c>
      <c r="F130" s="54">
        <f>IFERROR(SUMMARY_ENGINE!H122,0)</f>
        <v>0</v>
      </c>
      <c r="G130" s="55">
        <f>IFERROR(SUMMARY_ENGINE!J122,0)</f>
        <v>0</v>
      </c>
      <c r="H130" s="56">
        <f>IFERROR(SUMMARY_ENGINE!K122,0)</f>
        <v>0</v>
      </c>
      <c r="I130" s="56">
        <f>IFERROR(SUMMARY_ENGINE!M122,0)</f>
        <v>0</v>
      </c>
      <c r="J130" s="57" t="str">
        <f>IFERROR(SUMMARY_ENGINE!N122,"—")</f>
        <v>—</v>
      </c>
    </row>
    <row r="131" ht="18.75" customHeight="1">
      <c r="A131" s="58" t="str">
        <f>IFERROR(IF(SUMMARY_ENGINE!A123="","",SUMMARY_ENGINE!A123),"")</f>
        <v/>
      </c>
      <c r="B131" s="59" t="str">
        <f>IFERROR(IF(SUMMARY_ENGINE!A123="","",SUMMARY_ENGINE!C123),"")</f>
        <v/>
      </c>
      <c r="C131" s="60">
        <f>IFERROR(SUMMARY_ENGINE!E123,0)</f>
        <v>0</v>
      </c>
      <c r="D131" s="60">
        <f>IFERROR(SUMMARY_ENGINE!F123,0)</f>
        <v>0</v>
      </c>
      <c r="E131" s="61">
        <f>IFERROR(SUMMARY_ENGINE!I123,0)</f>
        <v>0</v>
      </c>
      <c r="F131" s="62">
        <f>IFERROR(SUMMARY_ENGINE!H123,0)</f>
        <v>0</v>
      </c>
      <c r="G131" s="63">
        <f>IFERROR(SUMMARY_ENGINE!J123,0)</f>
        <v>0</v>
      </c>
      <c r="H131" s="64">
        <f>IFERROR(SUMMARY_ENGINE!K123,0)</f>
        <v>0</v>
      </c>
      <c r="I131" s="64">
        <f>IFERROR(SUMMARY_ENGINE!M123,0)</f>
        <v>0</v>
      </c>
      <c r="J131" s="65" t="str">
        <f>IFERROR(SUMMARY_ENGINE!N123,"—")</f>
        <v>—</v>
      </c>
    </row>
    <row r="132" ht="18.75" customHeight="1">
      <c r="A132" s="50" t="str">
        <f>IFERROR(IF(SUMMARY_ENGINE!A124="","",SUMMARY_ENGINE!A124),"")</f>
        <v/>
      </c>
      <c r="B132" s="51" t="str">
        <f>IFERROR(IF(SUMMARY_ENGINE!A124="","",SUMMARY_ENGINE!C124),"")</f>
        <v/>
      </c>
      <c r="C132" s="52">
        <f>IFERROR(SUMMARY_ENGINE!E124,0)</f>
        <v>0</v>
      </c>
      <c r="D132" s="52">
        <f>IFERROR(SUMMARY_ENGINE!F124,0)</f>
        <v>0</v>
      </c>
      <c r="E132" s="53">
        <f>IFERROR(SUMMARY_ENGINE!I124,0)</f>
        <v>0</v>
      </c>
      <c r="F132" s="54">
        <f>IFERROR(SUMMARY_ENGINE!H124,0)</f>
        <v>0</v>
      </c>
      <c r="G132" s="55">
        <f>IFERROR(SUMMARY_ENGINE!J124,0)</f>
        <v>0</v>
      </c>
      <c r="H132" s="56">
        <f>IFERROR(SUMMARY_ENGINE!K124,0)</f>
        <v>0</v>
      </c>
      <c r="I132" s="56">
        <f>IFERROR(SUMMARY_ENGINE!M124,0)</f>
        <v>0</v>
      </c>
      <c r="J132" s="57" t="str">
        <f>IFERROR(SUMMARY_ENGINE!N124,"—")</f>
        <v>—</v>
      </c>
    </row>
    <row r="133" ht="18.75" customHeight="1">
      <c r="A133" s="58" t="str">
        <f>IFERROR(IF(SUMMARY_ENGINE!A125="","",SUMMARY_ENGINE!A125),"")</f>
        <v/>
      </c>
      <c r="B133" s="59" t="str">
        <f>IFERROR(IF(SUMMARY_ENGINE!A125="","",SUMMARY_ENGINE!C125),"")</f>
        <v/>
      </c>
      <c r="C133" s="60">
        <f>IFERROR(SUMMARY_ENGINE!E125,0)</f>
        <v>0</v>
      </c>
      <c r="D133" s="60">
        <f>IFERROR(SUMMARY_ENGINE!F125,0)</f>
        <v>0</v>
      </c>
      <c r="E133" s="61">
        <f>IFERROR(SUMMARY_ENGINE!I125,0)</f>
        <v>0</v>
      </c>
      <c r="F133" s="62">
        <f>IFERROR(SUMMARY_ENGINE!H125,0)</f>
        <v>0</v>
      </c>
      <c r="G133" s="63">
        <f>IFERROR(SUMMARY_ENGINE!J125,0)</f>
        <v>0</v>
      </c>
      <c r="H133" s="64">
        <f>IFERROR(SUMMARY_ENGINE!K125,0)</f>
        <v>0</v>
      </c>
      <c r="I133" s="64">
        <f>IFERROR(SUMMARY_ENGINE!M125,0)</f>
        <v>0</v>
      </c>
      <c r="J133" s="65" t="str">
        <f>IFERROR(SUMMARY_ENGINE!N125,"—")</f>
        <v>—</v>
      </c>
    </row>
    <row r="134" ht="18.75" customHeight="1">
      <c r="A134" s="50" t="str">
        <f>IFERROR(IF(SUMMARY_ENGINE!A126="","",SUMMARY_ENGINE!A126),"")</f>
        <v/>
      </c>
      <c r="B134" s="51" t="str">
        <f>IFERROR(IF(SUMMARY_ENGINE!A126="","",SUMMARY_ENGINE!C126),"")</f>
        <v/>
      </c>
      <c r="C134" s="52">
        <f>IFERROR(SUMMARY_ENGINE!E126,0)</f>
        <v>0</v>
      </c>
      <c r="D134" s="52">
        <f>IFERROR(SUMMARY_ENGINE!F126,0)</f>
        <v>0</v>
      </c>
      <c r="E134" s="53">
        <f>IFERROR(SUMMARY_ENGINE!I126,0)</f>
        <v>0</v>
      </c>
      <c r="F134" s="54">
        <f>IFERROR(SUMMARY_ENGINE!H126,0)</f>
        <v>0</v>
      </c>
      <c r="G134" s="55">
        <f>IFERROR(SUMMARY_ENGINE!J126,0)</f>
        <v>0</v>
      </c>
      <c r="H134" s="56">
        <f>IFERROR(SUMMARY_ENGINE!K126,0)</f>
        <v>0</v>
      </c>
      <c r="I134" s="56">
        <f>IFERROR(SUMMARY_ENGINE!M126,0)</f>
        <v>0</v>
      </c>
      <c r="J134" s="57" t="str">
        <f>IFERROR(SUMMARY_ENGINE!N126,"—")</f>
        <v>—</v>
      </c>
    </row>
    <row r="135" ht="18.75" customHeight="1">
      <c r="A135" s="58" t="str">
        <f>IFERROR(IF(SUMMARY_ENGINE!A127="","",SUMMARY_ENGINE!A127),"")</f>
        <v/>
      </c>
      <c r="B135" s="59" t="str">
        <f>IFERROR(IF(SUMMARY_ENGINE!A127="","",SUMMARY_ENGINE!C127),"")</f>
        <v/>
      </c>
      <c r="C135" s="60">
        <f>IFERROR(SUMMARY_ENGINE!E127,0)</f>
        <v>0</v>
      </c>
      <c r="D135" s="60">
        <f>IFERROR(SUMMARY_ENGINE!F127,0)</f>
        <v>0</v>
      </c>
      <c r="E135" s="61">
        <f>IFERROR(SUMMARY_ENGINE!I127,0)</f>
        <v>0</v>
      </c>
      <c r="F135" s="62">
        <f>IFERROR(SUMMARY_ENGINE!H127,0)</f>
        <v>0</v>
      </c>
      <c r="G135" s="63">
        <f>IFERROR(SUMMARY_ENGINE!J127,0)</f>
        <v>0</v>
      </c>
      <c r="H135" s="64">
        <f>IFERROR(SUMMARY_ENGINE!K127,0)</f>
        <v>0</v>
      </c>
      <c r="I135" s="64">
        <f>IFERROR(SUMMARY_ENGINE!M127,0)</f>
        <v>0</v>
      </c>
      <c r="J135" s="65" t="str">
        <f>IFERROR(SUMMARY_ENGINE!N127,"—")</f>
        <v>—</v>
      </c>
    </row>
    <row r="136" ht="18.75" customHeight="1">
      <c r="A136" s="50" t="str">
        <f>IFERROR(IF(SUMMARY_ENGINE!A128="","",SUMMARY_ENGINE!A128),"")</f>
        <v/>
      </c>
      <c r="B136" s="51" t="str">
        <f>IFERROR(IF(SUMMARY_ENGINE!A128="","",SUMMARY_ENGINE!C128),"")</f>
        <v/>
      </c>
      <c r="C136" s="52">
        <f>IFERROR(SUMMARY_ENGINE!E128,0)</f>
        <v>0</v>
      </c>
      <c r="D136" s="52">
        <f>IFERROR(SUMMARY_ENGINE!F128,0)</f>
        <v>0</v>
      </c>
      <c r="E136" s="53">
        <f>IFERROR(SUMMARY_ENGINE!I128,0)</f>
        <v>0</v>
      </c>
      <c r="F136" s="54">
        <f>IFERROR(SUMMARY_ENGINE!H128,0)</f>
        <v>0</v>
      </c>
      <c r="G136" s="55">
        <f>IFERROR(SUMMARY_ENGINE!J128,0)</f>
        <v>0</v>
      </c>
      <c r="H136" s="56">
        <f>IFERROR(SUMMARY_ENGINE!K128,0)</f>
        <v>0</v>
      </c>
      <c r="I136" s="56">
        <f>IFERROR(SUMMARY_ENGINE!M128,0)</f>
        <v>0</v>
      </c>
      <c r="J136" s="57" t="str">
        <f>IFERROR(SUMMARY_ENGINE!N128,"—")</f>
        <v>—</v>
      </c>
    </row>
    <row r="137" ht="18.75" customHeight="1">
      <c r="A137" s="58" t="str">
        <f>IFERROR(IF(SUMMARY_ENGINE!A129="","",SUMMARY_ENGINE!A129),"")</f>
        <v/>
      </c>
      <c r="B137" s="59" t="str">
        <f>IFERROR(IF(SUMMARY_ENGINE!A129="","",SUMMARY_ENGINE!C129),"")</f>
        <v/>
      </c>
      <c r="C137" s="60">
        <f>IFERROR(SUMMARY_ENGINE!E129,0)</f>
        <v>0</v>
      </c>
      <c r="D137" s="60">
        <f>IFERROR(SUMMARY_ENGINE!F129,0)</f>
        <v>0</v>
      </c>
      <c r="E137" s="61">
        <f>IFERROR(SUMMARY_ENGINE!I129,0)</f>
        <v>0</v>
      </c>
      <c r="F137" s="62">
        <f>IFERROR(SUMMARY_ENGINE!H129,0)</f>
        <v>0</v>
      </c>
      <c r="G137" s="63">
        <f>IFERROR(SUMMARY_ENGINE!J129,0)</f>
        <v>0</v>
      </c>
      <c r="H137" s="64">
        <f>IFERROR(SUMMARY_ENGINE!K129,0)</f>
        <v>0</v>
      </c>
      <c r="I137" s="64">
        <f>IFERROR(SUMMARY_ENGINE!M129,0)</f>
        <v>0</v>
      </c>
      <c r="J137" s="65" t="str">
        <f>IFERROR(SUMMARY_ENGINE!N129,"—")</f>
        <v>—</v>
      </c>
    </row>
    <row r="138" ht="18.75" customHeight="1">
      <c r="A138" s="50" t="str">
        <f>IFERROR(IF(SUMMARY_ENGINE!A130="","",SUMMARY_ENGINE!A130),"")</f>
        <v/>
      </c>
      <c r="B138" s="51" t="str">
        <f>IFERROR(IF(SUMMARY_ENGINE!A130="","",SUMMARY_ENGINE!C130),"")</f>
        <v/>
      </c>
      <c r="C138" s="52">
        <f>IFERROR(SUMMARY_ENGINE!E130,0)</f>
        <v>0</v>
      </c>
      <c r="D138" s="52">
        <f>IFERROR(SUMMARY_ENGINE!F130,0)</f>
        <v>0</v>
      </c>
      <c r="E138" s="53">
        <f>IFERROR(SUMMARY_ENGINE!I130,0)</f>
        <v>0</v>
      </c>
      <c r="F138" s="54">
        <f>IFERROR(SUMMARY_ENGINE!H130,0)</f>
        <v>0</v>
      </c>
      <c r="G138" s="55">
        <f>IFERROR(SUMMARY_ENGINE!J130,0)</f>
        <v>0</v>
      </c>
      <c r="H138" s="56">
        <f>IFERROR(SUMMARY_ENGINE!K130,0)</f>
        <v>0</v>
      </c>
      <c r="I138" s="56">
        <f>IFERROR(SUMMARY_ENGINE!M130,0)</f>
        <v>0</v>
      </c>
      <c r="J138" s="57" t="str">
        <f>IFERROR(SUMMARY_ENGINE!N130,"—")</f>
        <v>—</v>
      </c>
    </row>
    <row r="139" ht="18.75" customHeight="1">
      <c r="A139" s="58" t="str">
        <f>IFERROR(IF(SUMMARY_ENGINE!A131="","",SUMMARY_ENGINE!A131),"")</f>
        <v/>
      </c>
      <c r="B139" s="59" t="str">
        <f>IFERROR(IF(SUMMARY_ENGINE!A131="","",SUMMARY_ENGINE!C131),"")</f>
        <v/>
      </c>
      <c r="C139" s="60">
        <f>IFERROR(SUMMARY_ENGINE!E131,0)</f>
        <v>0</v>
      </c>
      <c r="D139" s="60">
        <f>IFERROR(SUMMARY_ENGINE!F131,0)</f>
        <v>0</v>
      </c>
      <c r="E139" s="61">
        <f>IFERROR(SUMMARY_ENGINE!I131,0)</f>
        <v>0</v>
      </c>
      <c r="F139" s="62">
        <f>IFERROR(SUMMARY_ENGINE!H131,0)</f>
        <v>0</v>
      </c>
      <c r="G139" s="63">
        <f>IFERROR(SUMMARY_ENGINE!J131,0)</f>
        <v>0</v>
      </c>
      <c r="H139" s="64">
        <f>IFERROR(SUMMARY_ENGINE!K131,0)</f>
        <v>0</v>
      </c>
      <c r="I139" s="64">
        <f>IFERROR(SUMMARY_ENGINE!M131,0)</f>
        <v>0</v>
      </c>
      <c r="J139" s="65" t="str">
        <f>IFERROR(SUMMARY_ENGINE!N131,"—")</f>
        <v>—</v>
      </c>
    </row>
    <row r="140" ht="18.75" customHeight="1">
      <c r="A140" s="50" t="str">
        <f>IFERROR(IF(SUMMARY_ENGINE!A132="","",SUMMARY_ENGINE!A132),"")</f>
        <v/>
      </c>
      <c r="B140" s="51" t="str">
        <f>IFERROR(IF(SUMMARY_ENGINE!A132="","",SUMMARY_ENGINE!C132),"")</f>
        <v/>
      </c>
      <c r="C140" s="52">
        <f>IFERROR(SUMMARY_ENGINE!E132,0)</f>
        <v>0</v>
      </c>
      <c r="D140" s="52">
        <f>IFERROR(SUMMARY_ENGINE!F132,0)</f>
        <v>0</v>
      </c>
      <c r="E140" s="53">
        <f>IFERROR(SUMMARY_ENGINE!I132,0)</f>
        <v>0</v>
      </c>
      <c r="F140" s="54">
        <f>IFERROR(SUMMARY_ENGINE!H132,0)</f>
        <v>0</v>
      </c>
      <c r="G140" s="55">
        <f>IFERROR(SUMMARY_ENGINE!J132,0)</f>
        <v>0</v>
      </c>
      <c r="H140" s="56">
        <f>IFERROR(SUMMARY_ENGINE!K132,0)</f>
        <v>0</v>
      </c>
      <c r="I140" s="56">
        <f>IFERROR(SUMMARY_ENGINE!M132,0)</f>
        <v>0</v>
      </c>
      <c r="J140" s="57" t="str">
        <f>IFERROR(SUMMARY_ENGINE!N132,"—")</f>
        <v>—</v>
      </c>
    </row>
    <row r="141" ht="18.75" customHeight="1">
      <c r="A141" s="58" t="str">
        <f>IFERROR(IF(SUMMARY_ENGINE!A133="","",SUMMARY_ENGINE!A133),"")</f>
        <v/>
      </c>
      <c r="B141" s="59" t="str">
        <f>IFERROR(IF(SUMMARY_ENGINE!A133="","",SUMMARY_ENGINE!C133),"")</f>
        <v/>
      </c>
      <c r="C141" s="60">
        <f>IFERROR(SUMMARY_ENGINE!E133,0)</f>
        <v>0</v>
      </c>
      <c r="D141" s="60">
        <f>IFERROR(SUMMARY_ENGINE!F133,0)</f>
        <v>0</v>
      </c>
      <c r="E141" s="61">
        <f>IFERROR(SUMMARY_ENGINE!I133,0)</f>
        <v>0</v>
      </c>
      <c r="F141" s="62">
        <f>IFERROR(SUMMARY_ENGINE!H133,0)</f>
        <v>0</v>
      </c>
      <c r="G141" s="63">
        <f>IFERROR(SUMMARY_ENGINE!J133,0)</f>
        <v>0</v>
      </c>
      <c r="H141" s="64">
        <f>IFERROR(SUMMARY_ENGINE!K133,0)</f>
        <v>0</v>
      </c>
      <c r="I141" s="64">
        <f>IFERROR(SUMMARY_ENGINE!M133,0)</f>
        <v>0</v>
      </c>
      <c r="J141" s="65" t="str">
        <f>IFERROR(SUMMARY_ENGINE!N133,"—")</f>
        <v>—</v>
      </c>
    </row>
    <row r="142" ht="18.75" customHeight="1">
      <c r="A142" s="50" t="str">
        <f>IFERROR(IF(SUMMARY_ENGINE!A134="","",SUMMARY_ENGINE!A134),"")</f>
        <v/>
      </c>
      <c r="B142" s="51" t="str">
        <f>IFERROR(IF(SUMMARY_ENGINE!A134="","",SUMMARY_ENGINE!C134),"")</f>
        <v/>
      </c>
      <c r="C142" s="52">
        <f>IFERROR(SUMMARY_ENGINE!E134,0)</f>
        <v>0</v>
      </c>
      <c r="D142" s="52">
        <f>IFERROR(SUMMARY_ENGINE!F134,0)</f>
        <v>0</v>
      </c>
      <c r="E142" s="53">
        <f>IFERROR(SUMMARY_ENGINE!I134,0)</f>
        <v>0</v>
      </c>
      <c r="F142" s="54">
        <f>IFERROR(SUMMARY_ENGINE!H134,0)</f>
        <v>0</v>
      </c>
      <c r="G142" s="55">
        <f>IFERROR(SUMMARY_ENGINE!J134,0)</f>
        <v>0</v>
      </c>
      <c r="H142" s="56">
        <f>IFERROR(SUMMARY_ENGINE!K134,0)</f>
        <v>0</v>
      </c>
      <c r="I142" s="56">
        <f>IFERROR(SUMMARY_ENGINE!M134,0)</f>
        <v>0</v>
      </c>
      <c r="J142" s="57" t="str">
        <f>IFERROR(SUMMARY_ENGINE!N134,"—")</f>
        <v>—</v>
      </c>
    </row>
    <row r="143" ht="18.75" customHeight="1">
      <c r="A143" s="58" t="str">
        <f>IFERROR(IF(SUMMARY_ENGINE!A135="","",SUMMARY_ENGINE!A135),"")</f>
        <v/>
      </c>
      <c r="B143" s="59" t="str">
        <f>IFERROR(IF(SUMMARY_ENGINE!A135="","",SUMMARY_ENGINE!C135),"")</f>
        <v/>
      </c>
      <c r="C143" s="60">
        <f>IFERROR(SUMMARY_ENGINE!E135,0)</f>
        <v>0</v>
      </c>
      <c r="D143" s="60">
        <f>IFERROR(SUMMARY_ENGINE!F135,0)</f>
        <v>0</v>
      </c>
      <c r="E143" s="61">
        <f>IFERROR(SUMMARY_ENGINE!I135,0)</f>
        <v>0</v>
      </c>
      <c r="F143" s="62">
        <f>IFERROR(SUMMARY_ENGINE!H135,0)</f>
        <v>0</v>
      </c>
      <c r="G143" s="63">
        <f>IFERROR(SUMMARY_ENGINE!J135,0)</f>
        <v>0</v>
      </c>
      <c r="H143" s="64">
        <f>IFERROR(SUMMARY_ENGINE!K135,0)</f>
        <v>0</v>
      </c>
      <c r="I143" s="64">
        <f>IFERROR(SUMMARY_ENGINE!M135,0)</f>
        <v>0</v>
      </c>
      <c r="J143" s="65" t="str">
        <f>IFERROR(SUMMARY_ENGINE!N135,"—")</f>
        <v>—</v>
      </c>
    </row>
    <row r="144" ht="18.75" customHeight="1">
      <c r="A144" s="50" t="str">
        <f>IFERROR(IF(SUMMARY_ENGINE!A136="","",SUMMARY_ENGINE!A136),"")</f>
        <v/>
      </c>
      <c r="B144" s="51" t="str">
        <f>IFERROR(IF(SUMMARY_ENGINE!A136="","",SUMMARY_ENGINE!C136),"")</f>
        <v/>
      </c>
      <c r="C144" s="52">
        <f>IFERROR(SUMMARY_ENGINE!E136,0)</f>
        <v>0</v>
      </c>
      <c r="D144" s="52">
        <f>IFERROR(SUMMARY_ENGINE!F136,0)</f>
        <v>0</v>
      </c>
      <c r="E144" s="53">
        <f>IFERROR(SUMMARY_ENGINE!I136,0)</f>
        <v>0</v>
      </c>
      <c r="F144" s="54">
        <f>IFERROR(SUMMARY_ENGINE!H136,0)</f>
        <v>0</v>
      </c>
      <c r="G144" s="55">
        <f>IFERROR(SUMMARY_ENGINE!J136,0)</f>
        <v>0</v>
      </c>
      <c r="H144" s="56">
        <f>IFERROR(SUMMARY_ENGINE!K136,0)</f>
        <v>0</v>
      </c>
      <c r="I144" s="56">
        <f>IFERROR(SUMMARY_ENGINE!M136,0)</f>
        <v>0</v>
      </c>
      <c r="J144" s="57" t="str">
        <f>IFERROR(SUMMARY_ENGINE!N136,"—")</f>
        <v>—</v>
      </c>
    </row>
    <row r="145" ht="18.75" customHeight="1">
      <c r="A145" s="58" t="str">
        <f>IFERROR(IF(SUMMARY_ENGINE!A137="","",SUMMARY_ENGINE!A137),"")</f>
        <v/>
      </c>
      <c r="B145" s="59" t="str">
        <f>IFERROR(IF(SUMMARY_ENGINE!A137="","",SUMMARY_ENGINE!C137),"")</f>
        <v/>
      </c>
      <c r="C145" s="60">
        <f>IFERROR(SUMMARY_ENGINE!E137,0)</f>
        <v>0</v>
      </c>
      <c r="D145" s="60">
        <f>IFERROR(SUMMARY_ENGINE!F137,0)</f>
        <v>0</v>
      </c>
      <c r="E145" s="61">
        <f>IFERROR(SUMMARY_ENGINE!I137,0)</f>
        <v>0</v>
      </c>
      <c r="F145" s="62">
        <f>IFERROR(SUMMARY_ENGINE!H137,0)</f>
        <v>0</v>
      </c>
      <c r="G145" s="63">
        <f>IFERROR(SUMMARY_ENGINE!J137,0)</f>
        <v>0</v>
      </c>
      <c r="H145" s="64">
        <f>IFERROR(SUMMARY_ENGINE!K137,0)</f>
        <v>0</v>
      </c>
      <c r="I145" s="64">
        <f>IFERROR(SUMMARY_ENGINE!M137,0)</f>
        <v>0</v>
      </c>
      <c r="J145" s="65" t="str">
        <f>IFERROR(SUMMARY_ENGINE!N137,"—")</f>
        <v>—</v>
      </c>
    </row>
    <row r="146" ht="18.75" customHeight="1">
      <c r="A146" s="50" t="str">
        <f>IFERROR(IF(SUMMARY_ENGINE!A138="","",SUMMARY_ENGINE!A138),"")</f>
        <v/>
      </c>
      <c r="B146" s="51" t="str">
        <f>IFERROR(IF(SUMMARY_ENGINE!A138="","",SUMMARY_ENGINE!C138),"")</f>
        <v/>
      </c>
      <c r="C146" s="52">
        <f>IFERROR(SUMMARY_ENGINE!E138,0)</f>
        <v>0</v>
      </c>
      <c r="D146" s="52">
        <f>IFERROR(SUMMARY_ENGINE!F138,0)</f>
        <v>0</v>
      </c>
      <c r="E146" s="53">
        <f>IFERROR(SUMMARY_ENGINE!I138,0)</f>
        <v>0</v>
      </c>
      <c r="F146" s="54">
        <f>IFERROR(SUMMARY_ENGINE!H138,0)</f>
        <v>0</v>
      </c>
      <c r="G146" s="55">
        <f>IFERROR(SUMMARY_ENGINE!J138,0)</f>
        <v>0</v>
      </c>
      <c r="H146" s="56">
        <f>IFERROR(SUMMARY_ENGINE!K138,0)</f>
        <v>0</v>
      </c>
      <c r="I146" s="56">
        <f>IFERROR(SUMMARY_ENGINE!M138,0)</f>
        <v>0</v>
      </c>
      <c r="J146" s="57" t="str">
        <f>IFERROR(SUMMARY_ENGINE!N138,"—")</f>
        <v>—</v>
      </c>
    </row>
    <row r="147" ht="18.75" customHeight="1">
      <c r="A147" s="58" t="str">
        <f>IFERROR(IF(SUMMARY_ENGINE!A139="","",SUMMARY_ENGINE!A139),"")</f>
        <v/>
      </c>
      <c r="B147" s="59" t="str">
        <f>IFERROR(IF(SUMMARY_ENGINE!A139="","",SUMMARY_ENGINE!C139),"")</f>
        <v/>
      </c>
      <c r="C147" s="60">
        <f>IFERROR(SUMMARY_ENGINE!E139,0)</f>
        <v>0</v>
      </c>
      <c r="D147" s="60">
        <f>IFERROR(SUMMARY_ENGINE!F139,0)</f>
        <v>0</v>
      </c>
      <c r="E147" s="61">
        <f>IFERROR(SUMMARY_ENGINE!I139,0)</f>
        <v>0</v>
      </c>
      <c r="F147" s="62">
        <f>IFERROR(SUMMARY_ENGINE!H139,0)</f>
        <v>0</v>
      </c>
      <c r="G147" s="63">
        <f>IFERROR(SUMMARY_ENGINE!J139,0)</f>
        <v>0</v>
      </c>
      <c r="H147" s="64">
        <f>IFERROR(SUMMARY_ENGINE!K139,0)</f>
        <v>0</v>
      </c>
      <c r="I147" s="64">
        <f>IFERROR(SUMMARY_ENGINE!M139,0)</f>
        <v>0</v>
      </c>
      <c r="J147" s="65" t="str">
        <f>IFERROR(SUMMARY_ENGINE!N139,"—")</f>
        <v>—</v>
      </c>
    </row>
    <row r="148" ht="18.75" customHeight="1">
      <c r="A148" s="50" t="str">
        <f>IFERROR(IF(SUMMARY_ENGINE!A140="","",SUMMARY_ENGINE!A140),"")</f>
        <v/>
      </c>
      <c r="B148" s="51" t="str">
        <f>IFERROR(IF(SUMMARY_ENGINE!A140="","",SUMMARY_ENGINE!C140),"")</f>
        <v/>
      </c>
      <c r="C148" s="52">
        <f>IFERROR(SUMMARY_ENGINE!E140,0)</f>
        <v>0</v>
      </c>
      <c r="D148" s="52">
        <f>IFERROR(SUMMARY_ENGINE!F140,0)</f>
        <v>0</v>
      </c>
      <c r="E148" s="53">
        <f>IFERROR(SUMMARY_ENGINE!I140,0)</f>
        <v>0</v>
      </c>
      <c r="F148" s="54">
        <f>IFERROR(SUMMARY_ENGINE!H140,0)</f>
        <v>0</v>
      </c>
      <c r="G148" s="55">
        <f>IFERROR(SUMMARY_ENGINE!J140,0)</f>
        <v>0</v>
      </c>
      <c r="H148" s="56">
        <f>IFERROR(SUMMARY_ENGINE!K140,0)</f>
        <v>0</v>
      </c>
      <c r="I148" s="56">
        <f>IFERROR(SUMMARY_ENGINE!M140,0)</f>
        <v>0</v>
      </c>
      <c r="J148" s="57" t="str">
        <f>IFERROR(SUMMARY_ENGINE!N140,"—")</f>
        <v>—</v>
      </c>
    </row>
    <row r="149" ht="18.75" customHeight="1">
      <c r="A149" s="58" t="str">
        <f>IFERROR(IF(SUMMARY_ENGINE!A141="","",SUMMARY_ENGINE!A141),"")</f>
        <v/>
      </c>
      <c r="B149" s="59" t="str">
        <f>IFERROR(IF(SUMMARY_ENGINE!A141="","",SUMMARY_ENGINE!C141),"")</f>
        <v/>
      </c>
      <c r="C149" s="60">
        <f>IFERROR(SUMMARY_ENGINE!E141,0)</f>
        <v>0</v>
      </c>
      <c r="D149" s="60">
        <f>IFERROR(SUMMARY_ENGINE!F141,0)</f>
        <v>0</v>
      </c>
      <c r="E149" s="61">
        <f>IFERROR(SUMMARY_ENGINE!I141,0)</f>
        <v>0</v>
      </c>
      <c r="F149" s="62">
        <f>IFERROR(SUMMARY_ENGINE!H141,0)</f>
        <v>0</v>
      </c>
      <c r="G149" s="63">
        <f>IFERROR(SUMMARY_ENGINE!J141,0)</f>
        <v>0</v>
      </c>
      <c r="H149" s="64">
        <f>IFERROR(SUMMARY_ENGINE!K141,0)</f>
        <v>0</v>
      </c>
      <c r="I149" s="64">
        <f>IFERROR(SUMMARY_ENGINE!M141,0)</f>
        <v>0</v>
      </c>
      <c r="J149" s="65" t="str">
        <f>IFERROR(SUMMARY_ENGINE!N141,"—")</f>
        <v>—</v>
      </c>
    </row>
    <row r="150" ht="18.75" customHeight="1">
      <c r="A150" s="50" t="str">
        <f>IFERROR(IF(SUMMARY_ENGINE!A142="","",SUMMARY_ENGINE!A142),"")</f>
        <v/>
      </c>
      <c r="B150" s="51" t="str">
        <f>IFERROR(IF(SUMMARY_ENGINE!A142="","",SUMMARY_ENGINE!C142),"")</f>
        <v/>
      </c>
      <c r="C150" s="52">
        <f>IFERROR(SUMMARY_ENGINE!E142,0)</f>
        <v>0</v>
      </c>
      <c r="D150" s="52">
        <f>IFERROR(SUMMARY_ENGINE!F142,0)</f>
        <v>0</v>
      </c>
      <c r="E150" s="53">
        <f>IFERROR(SUMMARY_ENGINE!I142,0)</f>
        <v>0</v>
      </c>
      <c r="F150" s="54">
        <f>IFERROR(SUMMARY_ENGINE!H142,0)</f>
        <v>0</v>
      </c>
      <c r="G150" s="55">
        <f>IFERROR(SUMMARY_ENGINE!J142,0)</f>
        <v>0</v>
      </c>
      <c r="H150" s="56">
        <f>IFERROR(SUMMARY_ENGINE!K142,0)</f>
        <v>0</v>
      </c>
      <c r="I150" s="56">
        <f>IFERROR(SUMMARY_ENGINE!M142,0)</f>
        <v>0</v>
      </c>
      <c r="J150" s="57" t="str">
        <f>IFERROR(SUMMARY_ENGINE!N142,"—")</f>
        <v>—</v>
      </c>
    </row>
    <row r="151" ht="18.75" customHeight="1">
      <c r="A151" s="58" t="str">
        <f>IFERROR(IF(SUMMARY_ENGINE!A143="","",SUMMARY_ENGINE!A143),"")</f>
        <v/>
      </c>
      <c r="B151" s="59" t="str">
        <f>IFERROR(IF(SUMMARY_ENGINE!A143="","",SUMMARY_ENGINE!C143),"")</f>
        <v/>
      </c>
      <c r="C151" s="60">
        <f>IFERROR(SUMMARY_ENGINE!E143,0)</f>
        <v>0</v>
      </c>
      <c r="D151" s="60">
        <f>IFERROR(SUMMARY_ENGINE!F143,0)</f>
        <v>0</v>
      </c>
      <c r="E151" s="61">
        <f>IFERROR(SUMMARY_ENGINE!I143,0)</f>
        <v>0</v>
      </c>
      <c r="F151" s="62">
        <f>IFERROR(SUMMARY_ENGINE!H143,0)</f>
        <v>0</v>
      </c>
      <c r="G151" s="63">
        <f>IFERROR(SUMMARY_ENGINE!J143,0)</f>
        <v>0</v>
      </c>
      <c r="H151" s="64">
        <f>IFERROR(SUMMARY_ENGINE!K143,0)</f>
        <v>0</v>
      </c>
      <c r="I151" s="64">
        <f>IFERROR(SUMMARY_ENGINE!M143,0)</f>
        <v>0</v>
      </c>
      <c r="J151" s="65" t="str">
        <f>IFERROR(SUMMARY_ENGINE!N143,"—")</f>
        <v>—</v>
      </c>
    </row>
    <row r="152" ht="18.75" customHeight="1">
      <c r="A152" s="50" t="str">
        <f>IFERROR(IF(SUMMARY_ENGINE!A144="","",SUMMARY_ENGINE!A144),"")</f>
        <v/>
      </c>
      <c r="B152" s="51" t="str">
        <f>IFERROR(IF(SUMMARY_ENGINE!A144="","",SUMMARY_ENGINE!C144),"")</f>
        <v/>
      </c>
      <c r="C152" s="52">
        <f>IFERROR(SUMMARY_ENGINE!E144,0)</f>
        <v>0</v>
      </c>
      <c r="D152" s="52">
        <f>IFERROR(SUMMARY_ENGINE!F144,0)</f>
        <v>0</v>
      </c>
      <c r="E152" s="53">
        <f>IFERROR(SUMMARY_ENGINE!I144,0)</f>
        <v>0</v>
      </c>
      <c r="F152" s="54">
        <f>IFERROR(SUMMARY_ENGINE!H144,0)</f>
        <v>0</v>
      </c>
      <c r="G152" s="55">
        <f>IFERROR(SUMMARY_ENGINE!J144,0)</f>
        <v>0</v>
      </c>
      <c r="H152" s="56">
        <f>IFERROR(SUMMARY_ENGINE!K144,0)</f>
        <v>0</v>
      </c>
      <c r="I152" s="56">
        <f>IFERROR(SUMMARY_ENGINE!M144,0)</f>
        <v>0</v>
      </c>
      <c r="J152" s="57" t="str">
        <f>IFERROR(SUMMARY_ENGINE!N144,"—")</f>
        <v>—</v>
      </c>
    </row>
    <row r="153" ht="18.75" customHeight="1">
      <c r="A153" s="58" t="str">
        <f>IFERROR(IF(SUMMARY_ENGINE!A145="","",SUMMARY_ENGINE!A145),"")</f>
        <v/>
      </c>
      <c r="B153" s="59" t="str">
        <f>IFERROR(IF(SUMMARY_ENGINE!A145="","",SUMMARY_ENGINE!C145),"")</f>
        <v/>
      </c>
      <c r="C153" s="60">
        <f>IFERROR(SUMMARY_ENGINE!E145,0)</f>
        <v>0</v>
      </c>
      <c r="D153" s="60">
        <f>IFERROR(SUMMARY_ENGINE!F145,0)</f>
        <v>0</v>
      </c>
      <c r="E153" s="61">
        <f>IFERROR(SUMMARY_ENGINE!I145,0)</f>
        <v>0</v>
      </c>
      <c r="F153" s="62">
        <f>IFERROR(SUMMARY_ENGINE!H145,0)</f>
        <v>0</v>
      </c>
      <c r="G153" s="63">
        <f>IFERROR(SUMMARY_ENGINE!J145,0)</f>
        <v>0</v>
      </c>
      <c r="H153" s="64">
        <f>IFERROR(SUMMARY_ENGINE!K145,0)</f>
        <v>0</v>
      </c>
      <c r="I153" s="64">
        <f>IFERROR(SUMMARY_ENGINE!M145,0)</f>
        <v>0</v>
      </c>
      <c r="J153" s="65" t="str">
        <f>IFERROR(SUMMARY_ENGINE!N145,"—")</f>
        <v>—</v>
      </c>
    </row>
    <row r="154" ht="18.75" customHeight="1">
      <c r="A154" s="50" t="str">
        <f>IFERROR(IF(SUMMARY_ENGINE!A146="","",SUMMARY_ENGINE!A146),"")</f>
        <v/>
      </c>
      <c r="B154" s="51" t="str">
        <f>IFERROR(IF(SUMMARY_ENGINE!A146="","",SUMMARY_ENGINE!C146),"")</f>
        <v/>
      </c>
      <c r="C154" s="52">
        <f>IFERROR(SUMMARY_ENGINE!E146,0)</f>
        <v>0</v>
      </c>
      <c r="D154" s="52">
        <f>IFERROR(SUMMARY_ENGINE!F146,0)</f>
        <v>0</v>
      </c>
      <c r="E154" s="53">
        <f>IFERROR(SUMMARY_ENGINE!I146,0)</f>
        <v>0</v>
      </c>
      <c r="F154" s="54">
        <f>IFERROR(SUMMARY_ENGINE!H146,0)</f>
        <v>0</v>
      </c>
      <c r="G154" s="55">
        <f>IFERROR(SUMMARY_ENGINE!J146,0)</f>
        <v>0</v>
      </c>
      <c r="H154" s="56">
        <f>IFERROR(SUMMARY_ENGINE!K146,0)</f>
        <v>0</v>
      </c>
      <c r="I154" s="56">
        <f>IFERROR(SUMMARY_ENGINE!M146,0)</f>
        <v>0</v>
      </c>
      <c r="J154" s="57" t="str">
        <f>IFERROR(SUMMARY_ENGINE!N146,"—")</f>
        <v>—</v>
      </c>
    </row>
    <row r="155" ht="18.75" customHeight="1">
      <c r="A155" s="58" t="str">
        <f>IFERROR(IF(SUMMARY_ENGINE!A147="","",SUMMARY_ENGINE!A147),"")</f>
        <v/>
      </c>
      <c r="B155" s="59" t="str">
        <f>IFERROR(IF(SUMMARY_ENGINE!A147="","",SUMMARY_ENGINE!C147),"")</f>
        <v/>
      </c>
      <c r="C155" s="60">
        <f>IFERROR(SUMMARY_ENGINE!E147,0)</f>
        <v>0</v>
      </c>
      <c r="D155" s="60">
        <f>IFERROR(SUMMARY_ENGINE!F147,0)</f>
        <v>0</v>
      </c>
      <c r="E155" s="61">
        <f>IFERROR(SUMMARY_ENGINE!I147,0)</f>
        <v>0</v>
      </c>
      <c r="F155" s="62">
        <f>IFERROR(SUMMARY_ENGINE!H147,0)</f>
        <v>0</v>
      </c>
      <c r="G155" s="63">
        <f>IFERROR(SUMMARY_ENGINE!J147,0)</f>
        <v>0</v>
      </c>
      <c r="H155" s="64">
        <f>IFERROR(SUMMARY_ENGINE!K147,0)</f>
        <v>0</v>
      </c>
      <c r="I155" s="64">
        <f>IFERROR(SUMMARY_ENGINE!M147,0)</f>
        <v>0</v>
      </c>
      <c r="J155" s="65" t="str">
        <f>IFERROR(SUMMARY_ENGINE!N147,"—")</f>
        <v>—</v>
      </c>
    </row>
    <row r="156" ht="18.75" customHeight="1">
      <c r="A156" s="50" t="str">
        <f>IFERROR(IF(SUMMARY_ENGINE!A148="","",SUMMARY_ENGINE!A148),"")</f>
        <v/>
      </c>
      <c r="B156" s="51" t="str">
        <f>IFERROR(IF(SUMMARY_ENGINE!A148="","",SUMMARY_ENGINE!C148),"")</f>
        <v/>
      </c>
      <c r="C156" s="52">
        <f>IFERROR(SUMMARY_ENGINE!E148,0)</f>
        <v>0</v>
      </c>
      <c r="D156" s="52">
        <f>IFERROR(SUMMARY_ENGINE!F148,0)</f>
        <v>0</v>
      </c>
      <c r="E156" s="53">
        <f>IFERROR(SUMMARY_ENGINE!I148,0)</f>
        <v>0</v>
      </c>
      <c r="F156" s="54">
        <f>IFERROR(SUMMARY_ENGINE!H148,0)</f>
        <v>0</v>
      </c>
      <c r="G156" s="55">
        <f>IFERROR(SUMMARY_ENGINE!J148,0)</f>
        <v>0</v>
      </c>
      <c r="H156" s="56">
        <f>IFERROR(SUMMARY_ENGINE!K148,0)</f>
        <v>0</v>
      </c>
      <c r="I156" s="56">
        <f>IFERROR(SUMMARY_ENGINE!M148,0)</f>
        <v>0</v>
      </c>
      <c r="J156" s="57" t="str">
        <f>IFERROR(SUMMARY_ENGINE!N148,"—")</f>
        <v>—</v>
      </c>
    </row>
    <row r="157" ht="18.75" customHeight="1">
      <c r="A157" s="58" t="str">
        <f>IFERROR(IF(SUMMARY_ENGINE!A149="","",SUMMARY_ENGINE!A149),"")</f>
        <v/>
      </c>
      <c r="B157" s="59" t="str">
        <f>IFERROR(IF(SUMMARY_ENGINE!A149="","",SUMMARY_ENGINE!C149),"")</f>
        <v/>
      </c>
      <c r="C157" s="60">
        <f>IFERROR(SUMMARY_ENGINE!E149,0)</f>
        <v>0</v>
      </c>
      <c r="D157" s="60">
        <f>IFERROR(SUMMARY_ENGINE!F149,0)</f>
        <v>0</v>
      </c>
      <c r="E157" s="61">
        <f>IFERROR(SUMMARY_ENGINE!I149,0)</f>
        <v>0</v>
      </c>
      <c r="F157" s="62">
        <f>IFERROR(SUMMARY_ENGINE!H149,0)</f>
        <v>0</v>
      </c>
      <c r="G157" s="63">
        <f>IFERROR(SUMMARY_ENGINE!J149,0)</f>
        <v>0</v>
      </c>
      <c r="H157" s="64">
        <f>IFERROR(SUMMARY_ENGINE!K149,0)</f>
        <v>0</v>
      </c>
      <c r="I157" s="64">
        <f>IFERROR(SUMMARY_ENGINE!M149,0)</f>
        <v>0</v>
      </c>
      <c r="J157" s="65" t="str">
        <f>IFERROR(SUMMARY_ENGINE!N149,"—")</f>
        <v>—</v>
      </c>
    </row>
    <row r="158" ht="18.75" customHeight="1">
      <c r="A158" s="50" t="str">
        <f>IFERROR(IF(SUMMARY_ENGINE!A150="","",SUMMARY_ENGINE!A150),"")</f>
        <v/>
      </c>
      <c r="B158" s="51" t="str">
        <f>IFERROR(IF(SUMMARY_ENGINE!A150="","",SUMMARY_ENGINE!C150),"")</f>
        <v/>
      </c>
      <c r="C158" s="52">
        <f>IFERROR(SUMMARY_ENGINE!E150,0)</f>
        <v>0</v>
      </c>
      <c r="D158" s="52">
        <f>IFERROR(SUMMARY_ENGINE!F150,0)</f>
        <v>0</v>
      </c>
      <c r="E158" s="53">
        <f>IFERROR(SUMMARY_ENGINE!I150,0)</f>
        <v>0</v>
      </c>
      <c r="F158" s="54">
        <f>IFERROR(SUMMARY_ENGINE!H150,0)</f>
        <v>0</v>
      </c>
      <c r="G158" s="55">
        <f>IFERROR(SUMMARY_ENGINE!J150,0)</f>
        <v>0</v>
      </c>
      <c r="H158" s="56">
        <f>IFERROR(SUMMARY_ENGINE!K150,0)</f>
        <v>0</v>
      </c>
      <c r="I158" s="56">
        <f>IFERROR(SUMMARY_ENGINE!M150,0)</f>
        <v>0</v>
      </c>
      <c r="J158" s="57" t="str">
        <f>IFERROR(SUMMARY_ENGINE!N150,"—")</f>
        <v>—</v>
      </c>
    </row>
    <row r="159" ht="18.75" customHeight="1">
      <c r="A159" s="58" t="str">
        <f>IFERROR(IF(SUMMARY_ENGINE!A151="","",SUMMARY_ENGINE!A151),"")</f>
        <v/>
      </c>
      <c r="B159" s="59" t="str">
        <f>IFERROR(IF(SUMMARY_ENGINE!A151="","",SUMMARY_ENGINE!C151),"")</f>
        <v/>
      </c>
      <c r="C159" s="60">
        <f>IFERROR(SUMMARY_ENGINE!E151,0)</f>
        <v>0</v>
      </c>
      <c r="D159" s="60">
        <f>IFERROR(SUMMARY_ENGINE!F151,0)</f>
        <v>0</v>
      </c>
      <c r="E159" s="61">
        <f>IFERROR(SUMMARY_ENGINE!I151,0)</f>
        <v>0</v>
      </c>
      <c r="F159" s="62">
        <f>IFERROR(SUMMARY_ENGINE!H151,0)</f>
        <v>0</v>
      </c>
      <c r="G159" s="63">
        <f>IFERROR(SUMMARY_ENGINE!J151,0)</f>
        <v>0</v>
      </c>
      <c r="H159" s="64">
        <f>IFERROR(SUMMARY_ENGINE!K151,0)</f>
        <v>0</v>
      </c>
      <c r="I159" s="64">
        <f>IFERROR(SUMMARY_ENGINE!M151,0)</f>
        <v>0</v>
      </c>
      <c r="J159" s="65" t="str">
        <f>IFERROR(SUMMARY_ENGINE!N151,"—")</f>
        <v>—</v>
      </c>
    </row>
    <row r="160" ht="18.75" customHeight="1">
      <c r="A160" s="50" t="str">
        <f>IFERROR(IF(SUMMARY_ENGINE!A152="","",SUMMARY_ENGINE!A152),"")</f>
        <v/>
      </c>
      <c r="B160" s="51" t="str">
        <f>IFERROR(IF(SUMMARY_ENGINE!A152="","",SUMMARY_ENGINE!C152),"")</f>
        <v/>
      </c>
      <c r="C160" s="52">
        <f>IFERROR(SUMMARY_ENGINE!E152,0)</f>
        <v>0</v>
      </c>
      <c r="D160" s="52">
        <f>IFERROR(SUMMARY_ENGINE!F152,0)</f>
        <v>0</v>
      </c>
      <c r="E160" s="53">
        <f>IFERROR(SUMMARY_ENGINE!I152,0)</f>
        <v>0</v>
      </c>
      <c r="F160" s="54">
        <f>IFERROR(SUMMARY_ENGINE!H152,0)</f>
        <v>0</v>
      </c>
      <c r="G160" s="55">
        <f>IFERROR(SUMMARY_ENGINE!J152,0)</f>
        <v>0</v>
      </c>
      <c r="H160" s="56">
        <f>IFERROR(SUMMARY_ENGINE!K152,0)</f>
        <v>0</v>
      </c>
      <c r="I160" s="56">
        <f>IFERROR(SUMMARY_ENGINE!M152,0)</f>
        <v>0</v>
      </c>
      <c r="J160" s="57" t="str">
        <f>IFERROR(SUMMARY_ENGINE!N152,"—")</f>
        <v>—</v>
      </c>
    </row>
    <row r="161" ht="18.75" customHeight="1">
      <c r="A161" s="58" t="str">
        <f>IFERROR(IF(SUMMARY_ENGINE!A153="","",SUMMARY_ENGINE!A153),"")</f>
        <v/>
      </c>
      <c r="B161" s="59" t="str">
        <f>IFERROR(IF(SUMMARY_ENGINE!A153="","",SUMMARY_ENGINE!C153),"")</f>
        <v/>
      </c>
      <c r="C161" s="60">
        <f>IFERROR(SUMMARY_ENGINE!E153,0)</f>
        <v>0</v>
      </c>
      <c r="D161" s="60">
        <f>IFERROR(SUMMARY_ENGINE!F153,0)</f>
        <v>0</v>
      </c>
      <c r="E161" s="61">
        <f>IFERROR(SUMMARY_ENGINE!I153,0)</f>
        <v>0</v>
      </c>
      <c r="F161" s="62">
        <f>IFERROR(SUMMARY_ENGINE!H153,0)</f>
        <v>0</v>
      </c>
      <c r="G161" s="63">
        <f>IFERROR(SUMMARY_ENGINE!J153,0)</f>
        <v>0</v>
      </c>
      <c r="H161" s="64">
        <f>IFERROR(SUMMARY_ENGINE!K153,0)</f>
        <v>0</v>
      </c>
      <c r="I161" s="64">
        <f>IFERROR(SUMMARY_ENGINE!M153,0)</f>
        <v>0</v>
      </c>
      <c r="J161" s="65" t="str">
        <f>IFERROR(SUMMARY_ENGINE!N153,"—")</f>
        <v>—</v>
      </c>
    </row>
    <row r="162" ht="18.75" customHeight="1">
      <c r="A162" s="50" t="str">
        <f>IFERROR(IF(SUMMARY_ENGINE!A154="","",SUMMARY_ENGINE!A154),"")</f>
        <v/>
      </c>
      <c r="B162" s="51" t="str">
        <f>IFERROR(IF(SUMMARY_ENGINE!A154="","",SUMMARY_ENGINE!C154),"")</f>
        <v/>
      </c>
      <c r="C162" s="52">
        <f>IFERROR(SUMMARY_ENGINE!E154,0)</f>
        <v>0</v>
      </c>
      <c r="D162" s="52">
        <f>IFERROR(SUMMARY_ENGINE!F154,0)</f>
        <v>0</v>
      </c>
      <c r="E162" s="53">
        <f>IFERROR(SUMMARY_ENGINE!I154,0)</f>
        <v>0</v>
      </c>
      <c r="F162" s="54">
        <f>IFERROR(SUMMARY_ENGINE!H154,0)</f>
        <v>0</v>
      </c>
      <c r="G162" s="55">
        <f>IFERROR(SUMMARY_ENGINE!J154,0)</f>
        <v>0</v>
      </c>
      <c r="H162" s="56">
        <f>IFERROR(SUMMARY_ENGINE!K154,0)</f>
        <v>0</v>
      </c>
      <c r="I162" s="56">
        <f>IFERROR(SUMMARY_ENGINE!M154,0)</f>
        <v>0</v>
      </c>
      <c r="J162" s="57" t="str">
        <f>IFERROR(SUMMARY_ENGINE!N154,"—")</f>
        <v>—</v>
      </c>
    </row>
    <row r="163" ht="18.75" customHeight="1">
      <c r="A163" s="58" t="str">
        <f>IFERROR(IF(SUMMARY_ENGINE!A155="","",SUMMARY_ENGINE!A155),"")</f>
        <v/>
      </c>
      <c r="B163" s="59" t="str">
        <f>IFERROR(IF(SUMMARY_ENGINE!A155="","",SUMMARY_ENGINE!C155),"")</f>
        <v/>
      </c>
      <c r="C163" s="60">
        <f>IFERROR(SUMMARY_ENGINE!E155,0)</f>
        <v>0</v>
      </c>
      <c r="D163" s="60">
        <f>IFERROR(SUMMARY_ENGINE!F155,0)</f>
        <v>0</v>
      </c>
      <c r="E163" s="61">
        <f>IFERROR(SUMMARY_ENGINE!I155,0)</f>
        <v>0</v>
      </c>
      <c r="F163" s="62">
        <f>IFERROR(SUMMARY_ENGINE!H155,0)</f>
        <v>0</v>
      </c>
      <c r="G163" s="63">
        <f>IFERROR(SUMMARY_ENGINE!J155,0)</f>
        <v>0</v>
      </c>
      <c r="H163" s="64">
        <f>IFERROR(SUMMARY_ENGINE!K155,0)</f>
        <v>0</v>
      </c>
      <c r="I163" s="64">
        <f>IFERROR(SUMMARY_ENGINE!M155,0)</f>
        <v>0</v>
      </c>
      <c r="J163" s="65" t="str">
        <f>IFERROR(SUMMARY_ENGINE!N155,"—")</f>
        <v>—</v>
      </c>
    </row>
    <row r="164" ht="18.75" customHeight="1">
      <c r="A164" s="50" t="str">
        <f>IFERROR(IF(SUMMARY_ENGINE!A156="","",SUMMARY_ENGINE!A156),"")</f>
        <v/>
      </c>
      <c r="B164" s="51" t="str">
        <f>IFERROR(IF(SUMMARY_ENGINE!A156="","",SUMMARY_ENGINE!C156),"")</f>
        <v/>
      </c>
      <c r="C164" s="52">
        <f>IFERROR(SUMMARY_ENGINE!E156,0)</f>
        <v>0</v>
      </c>
      <c r="D164" s="52">
        <f>IFERROR(SUMMARY_ENGINE!F156,0)</f>
        <v>0</v>
      </c>
      <c r="E164" s="53">
        <f>IFERROR(SUMMARY_ENGINE!I156,0)</f>
        <v>0</v>
      </c>
      <c r="F164" s="54">
        <f>IFERROR(SUMMARY_ENGINE!H156,0)</f>
        <v>0</v>
      </c>
      <c r="G164" s="55">
        <f>IFERROR(SUMMARY_ENGINE!J156,0)</f>
        <v>0</v>
      </c>
      <c r="H164" s="56">
        <f>IFERROR(SUMMARY_ENGINE!K156,0)</f>
        <v>0</v>
      </c>
      <c r="I164" s="56">
        <f>IFERROR(SUMMARY_ENGINE!M156,0)</f>
        <v>0</v>
      </c>
      <c r="J164" s="57" t="str">
        <f>IFERROR(SUMMARY_ENGINE!N156,"—")</f>
        <v>—</v>
      </c>
    </row>
    <row r="165" ht="18.75" customHeight="1">
      <c r="A165" s="58" t="str">
        <f>IFERROR(IF(SUMMARY_ENGINE!A157="","",SUMMARY_ENGINE!A157),"")</f>
        <v/>
      </c>
      <c r="B165" s="59" t="str">
        <f>IFERROR(IF(SUMMARY_ENGINE!A157="","",SUMMARY_ENGINE!C157),"")</f>
        <v/>
      </c>
      <c r="C165" s="60">
        <f>IFERROR(SUMMARY_ENGINE!E157,0)</f>
        <v>0</v>
      </c>
      <c r="D165" s="60">
        <f>IFERROR(SUMMARY_ENGINE!F157,0)</f>
        <v>0</v>
      </c>
      <c r="E165" s="61">
        <f>IFERROR(SUMMARY_ENGINE!I157,0)</f>
        <v>0</v>
      </c>
      <c r="F165" s="62">
        <f>IFERROR(SUMMARY_ENGINE!H157,0)</f>
        <v>0</v>
      </c>
      <c r="G165" s="63">
        <f>IFERROR(SUMMARY_ENGINE!J157,0)</f>
        <v>0</v>
      </c>
      <c r="H165" s="64">
        <f>IFERROR(SUMMARY_ENGINE!K157,0)</f>
        <v>0</v>
      </c>
      <c r="I165" s="64">
        <f>IFERROR(SUMMARY_ENGINE!M157,0)</f>
        <v>0</v>
      </c>
      <c r="J165" s="65" t="str">
        <f>IFERROR(SUMMARY_ENGINE!N157,"—")</f>
        <v>—</v>
      </c>
    </row>
    <row r="166" ht="18.75" customHeight="1">
      <c r="A166" s="50" t="str">
        <f>IFERROR(IF(SUMMARY_ENGINE!A158="","",SUMMARY_ENGINE!A158),"")</f>
        <v/>
      </c>
      <c r="B166" s="51" t="str">
        <f>IFERROR(IF(SUMMARY_ENGINE!A158="","",SUMMARY_ENGINE!C158),"")</f>
        <v/>
      </c>
      <c r="C166" s="52">
        <f>IFERROR(SUMMARY_ENGINE!E158,0)</f>
        <v>0</v>
      </c>
      <c r="D166" s="52">
        <f>IFERROR(SUMMARY_ENGINE!F158,0)</f>
        <v>0</v>
      </c>
      <c r="E166" s="53">
        <f>IFERROR(SUMMARY_ENGINE!I158,0)</f>
        <v>0</v>
      </c>
      <c r="F166" s="54">
        <f>IFERROR(SUMMARY_ENGINE!H158,0)</f>
        <v>0</v>
      </c>
      <c r="G166" s="55">
        <f>IFERROR(SUMMARY_ENGINE!J158,0)</f>
        <v>0</v>
      </c>
      <c r="H166" s="56">
        <f>IFERROR(SUMMARY_ENGINE!K158,0)</f>
        <v>0</v>
      </c>
      <c r="I166" s="56">
        <f>IFERROR(SUMMARY_ENGINE!M158,0)</f>
        <v>0</v>
      </c>
      <c r="J166" s="57" t="str">
        <f>IFERROR(SUMMARY_ENGINE!N158,"—")</f>
        <v>—</v>
      </c>
    </row>
    <row r="167" ht="18.75" customHeight="1">
      <c r="A167" s="58" t="str">
        <f>IFERROR(IF(SUMMARY_ENGINE!A159="","",SUMMARY_ENGINE!A159),"")</f>
        <v/>
      </c>
      <c r="B167" s="59" t="str">
        <f>IFERROR(IF(SUMMARY_ENGINE!A159="","",SUMMARY_ENGINE!C159),"")</f>
        <v/>
      </c>
      <c r="C167" s="60">
        <f>IFERROR(SUMMARY_ENGINE!E159,0)</f>
        <v>0</v>
      </c>
      <c r="D167" s="60">
        <f>IFERROR(SUMMARY_ENGINE!F159,0)</f>
        <v>0</v>
      </c>
      <c r="E167" s="61">
        <f>IFERROR(SUMMARY_ENGINE!I159,0)</f>
        <v>0</v>
      </c>
      <c r="F167" s="62">
        <f>IFERROR(SUMMARY_ENGINE!H159,0)</f>
        <v>0</v>
      </c>
      <c r="G167" s="63">
        <f>IFERROR(SUMMARY_ENGINE!J159,0)</f>
        <v>0</v>
      </c>
      <c r="H167" s="64">
        <f>IFERROR(SUMMARY_ENGINE!K159,0)</f>
        <v>0</v>
      </c>
      <c r="I167" s="64">
        <f>IFERROR(SUMMARY_ENGINE!M159,0)</f>
        <v>0</v>
      </c>
      <c r="J167" s="65" t="str">
        <f>IFERROR(SUMMARY_ENGINE!N159,"—")</f>
        <v>—</v>
      </c>
    </row>
    <row r="168" ht="18.75" customHeight="1">
      <c r="A168" s="50" t="str">
        <f>IFERROR(IF(SUMMARY_ENGINE!A160="","",SUMMARY_ENGINE!A160),"")</f>
        <v/>
      </c>
      <c r="B168" s="51" t="str">
        <f>IFERROR(IF(SUMMARY_ENGINE!A160="","",SUMMARY_ENGINE!C160),"")</f>
        <v/>
      </c>
      <c r="C168" s="52">
        <f>IFERROR(SUMMARY_ENGINE!E160,0)</f>
        <v>0</v>
      </c>
      <c r="D168" s="52">
        <f>IFERROR(SUMMARY_ENGINE!F160,0)</f>
        <v>0</v>
      </c>
      <c r="E168" s="53">
        <f>IFERROR(SUMMARY_ENGINE!I160,0)</f>
        <v>0</v>
      </c>
      <c r="F168" s="54">
        <f>IFERROR(SUMMARY_ENGINE!H160,0)</f>
        <v>0</v>
      </c>
      <c r="G168" s="55">
        <f>IFERROR(SUMMARY_ENGINE!J160,0)</f>
        <v>0</v>
      </c>
      <c r="H168" s="56">
        <f>IFERROR(SUMMARY_ENGINE!K160,0)</f>
        <v>0</v>
      </c>
      <c r="I168" s="56">
        <f>IFERROR(SUMMARY_ENGINE!M160,0)</f>
        <v>0</v>
      </c>
      <c r="J168" s="57" t="str">
        <f>IFERROR(SUMMARY_ENGINE!N160,"—")</f>
        <v>—</v>
      </c>
    </row>
    <row r="169" ht="18.75" customHeight="1">
      <c r="A169" s="58" t="str">
        <f>IFERROR(IF(SUMMARY_ENGINE!A161="","",SUMMARY_ENGINE!A161),"")</f>
        <v/>
      </c>
      <c r="B169" s="59" t="str">
        <f>IFERROR(IF(SUMMARY_ENGINE!A161="","",SUMMARY_ENGINE!C161),"")</f>
        <v/>
      </c>
      <c r="C169" s="60">
        <f>IFERROR(SUMMARY_ENGINE!E161,0)</f>
        <v>0</v>
      </c>
      <c r="D169" s="60">
        <f>IFERROR(SUMMARY_ENGINE!F161,0)</f>
        <v>0</v>
      </c>
      <c r="E169" s="61">
        <f>IFERROR(SUMMARY_ENGINE!I161,0)</f>
        <v>0</v>
      </c>
      <c r="F169" s="62">
        <f>IFERROR(SUMMARY_ENGINE!H161,0)</f>
        <v>0</v>
      </c>
      <c r="G169" s="63">
        <f>IFERROR(SUMMARY_ENGINE!J161,0)</f>
        <v>0</v>
      </c>
      <c r="H169" s="64">
        <f>IFERROR(SUMMARY_ENGINE!K161,0)</f>
        <v>0</v>
      </c>
      <c r="I169" s="64">
        <f>IFERROR(SUMMARY_ENGINE!M161,0)</f>
        <v>0</v>
      </c>
      <c r="J169" s="65" t="str">
        <f>IFERROR(SUMMARY_ENGINE!N161,"—")</f>
        <v>—</v>
      </c>
    </row>
    <row r="170" ht="18.75" customHeight="1">
      <c r="A170" s="50" t="str">
        <f>IFERROR(IF(SUMMARY_ENGINE!A162="","",SUMMARY_ENGINE!A162),"")</f>
        <v/>
      </c>
      <c r="B170" s="51" t="str">
        <f>IFERROR(IF(SUMMARY_ENGINE!A162="","",SUMMARY_ENGINE!C162),"")</f>
        <v/>
      </c>
      <c r="C170" s="52">
        <f>IFERROR(SUMMARY_ENGINE!E162,0)</f>
        <v>0</v>
      </c>
      <c r="D170" s="52">
        <f>IFERROR(SUMMARY_ENGINE!F162,0)</f>
        <v>0</v>
      </c>
      <c r="E170" s="53">
        <f>IFERROR(SUMMARY_ENGINE!I162,0)</f>
        <v>0</v>
      </c>
      <c r="F170" s="54">
        <f>IFERROR(SUMMARY_ENGINE!H162,0)</f>
        <v>0</v>
      </c>
      <c r="G170" s="55">
        <f>IFERROR(SUMMARY_ENGINE!J162,0)</f>
        <v>0</v>
      </c>
      <c r="H170" s="56">
        <f>IFERROR(SUMMARY_ENGINE!K162,0)</f>
        <v>0</v>
      </c>
      <c r="I170" s="56">
        <f>IFERROR(SUMMARY_ENGINE!M162,0)</f>
        <v>0</v>
      </c>
      <c r="J170" s="57" t="str">
        <f>IFERROR(SUMMARY_ENGINE!N162,"—")</f>
        <v>—</v>
      </c>
    </row>
    <row r="171" ht="18.75" customHeight="1">
      <c r="A171" s="58" t="str">
        <f>IFERROR(IF(SUMMARY_ENGINE!A163="","",SUMMARY_ENGINE!A163),"")</f>
        <v/>
      </c>
      <c r="B171" s="59" t="str">
        <f>IFERROR(IF(SUMMARY_ENGINE!A163="","",SUMMARY_ENGINE!C163),"")</f>
        <v/>
      </c>
      <c r="C171" s="60">
        <f>IFERROR(SUMMARY_ENGINE!E163,0)</f>
        <v>0</v>
      </c>
      <c r="D171" s="60">
        <f>IFERROR(SUMMARY_ENGINE!F163,0)</f>
        <v>0</v>
      </c>
      <c r="E171" s="61">
        <f>IFERROR(SUMMARY_ENGINE!I163,0)</f>
        <v>0</v>
      </c>
      <c r="F171" s="62">
        <f>IFERROR(SUMMARY_ENGINE!H163,0)</f>
        <v>0</v>
      </c>
      <c r="G171" s="63">
        <f>IFERROR(SUMMARY_ENGINE!J163,0)</f>
        <v>0</v>
      </c>
      <c r="H171" s="64">
        <f>IFERROR(SUMMARY_ENGINE!K163,0)</f>
        <v>0</v>
      </c>
      <c r="I171" s="64">
        <f>IFERROR(SUMMARY_ENGINE!M163,0)</f>
        <v>0</v>
      </c>
      <c r="J171" s="65" t="str">
        <f>IFERROR(SUMMARY_ENGINE!N163,"—")</f>
        <v>—</v>
      </c>
    </row>
    <row r="172" ht="18.75" customHeight="1">
      <c r="A172" s="50" t="str">
        <f>IFERROR(IF(SUMMARY_ENGINE!A164="","",SUMMARY_ENGINE!A164),"")</f>
        <v/>
      </c>
      <c r="B172" s="51" t="str">
        <f>IFERROR(IF(SUMMARY_ENGINE!A164="","",SUMMARY_ENGINE!C164),"")</f>
        <v/>
      </c>
      <c r="C172" s="52">
        <f>IFERROR(SUMMARY_ENGINE!E164,0)</f>
        <v>0</v>
      </c>
      <c r="D172" s="52">
        <f>IFERROR(SUMMARY_ENGINE!F164,0)</f>
        <v>0</v>
      </c>
      <c r="E172" s="53">
        <f>IFERROR(SUMMARY_ENGINE!I164,0)</f>
        <v>0</v>
      </c>
      <c r="F172" s="54">
        <f>IFERROR(SUMMARY_ENGINE!H164,0)</f>
        <v>0</v>
      </c>
      <c r="G172" s="55">
        <f>IFERROR(SUMMARY_ENGINE!J164,0)</f>
        <v>0</v>
      </c>
      <c r="H172" s="56">
        <f>IFERROR(SUMMARY_ENGINE!K164,0)</f>
        <v>0</v>
      </c>
      <c r="I172" s="56">
        <f>IFERROR(SUMMARY_ENGINE!M164,0)</f>
        <v>0</v>
      </c>
      <c r="J172" s="57" t="str">
        <f>IFERROR(SUMMARY_ENGINE!N164,"—")</f>
        <v>—</v>
      </c>
    </row>
    <row r="173" ht="18.75" customHeight="1">
      <c r="A173" s="58" t="str">
        <f>IFERROR(IF(SUMMARY_ENGINE!A165="","",SUMMARY_ENGINE!A165),"")</f>
        <v/>
      </c>
      <c r="B173" s="59" t="str">
        <f>IFERROR(IF(SUMMARY_ENGINE!A165="","",SUMMARY_ENGINE!C165),"")</f>
        <v/>
      </c>
      <c r="C173" s="60">
        <f>IFERROR(SUMMARY_ENGINE!E165,0)</f>
        <v>0</v>
      </c>
      <c r="D173" s="60">
        <f>IFERROR(SUMMARY_ENGINE!F165,0)</f>
        <v>0</v>
      </c>
      <c r="E173" s="61">
        <f>IFERROR(SUMMARY_ENGINE!I165,0)</f>
        <v>0</v>
      </c>
      <c r="F173" s="62">
        <f>IFERROR(SUMMARY_ENGINE!H165,0)</f>
        <v>0</v>
      </c>
      <c r="G173" s="63">
        <f>IFERROR(SUMMARY_ENGINE!J165,0)</f>
        <v>0</v>
      </c>
      <c r="H173" s="64">
        <f>IFERROR(SUMMARY_ENGINE!K165,0)</f>
        <v>0</v>
      </c>
      <c r="I173" s="64">
        <f>IFERROR(SUMMARY_ENGINE!M165,0)</f>
        <v>0</v>
      </c>
      <c r="J173" s="65" t="str">
        <f>IFERROR(SUMMARY_ENGINE!N165,"—")</f>
        <v>—</v>
      </c>
    </row>
    <row r="174" ht="18.75" customHeight="1">
      <c r="A174" s="50" t="str">
        <f>IFERROR(IF(SUMMARY_ENGINE!A166="","",SUMMARY_ENGINE!A166),"")</f>
        <v/>
      </c>
      <c r="B174" s="51" t="str">
        <f>IFERROR(IF(SUMMARY_ENGINE!A166="","",SUMMARY_ENGINE!C166),"")</f>
        <v/>
      </c>
      <c r="C174" s="52">
        <f>IFERROR(SUMMARY_ENGINE!E166,0)</f>
        <v>0</v>
      </c>
      <c r="D174" s="52">
        <f>IFERROR(SUMMARY_ENGINE!F166,0)</f>
        <v>0</v>
      </c>
      <c r="E174" s="53">
        <f>IFERROR(SUMMARY_ENGINE!I166,0)</f>
        <v>0</v>
      </c>
      <c r="F174" s="54">
        <f>IFERROR(SUMMARY_ENGINE!H166,0)</f>
        <v>0</v>
      </c>
      <c r="G174" s="55">
        <f>IFERROR(SUMMARY_ENGINE!J166,0)</f>
        <v>0</v>
      </c>
      <c r="H174" s="56">
        <f>IFERROR(SUMMARY_ENGINE!K166,0)</f>
        <v>0</v>
      </c>
      <c r="I174" s="56">
        <f>IFERROR(SUMMARY_ENGINE!M166,0)</f>
        <v>0</v>
      </c>
      <c r="J174" s="57" t="str">
        <f>IFERROR(SUMMARY_ENGINE!N166,"—")</f>
        <v>—</v>
      </c>
    </row>
    <row r="175" ht="18.75" customHeight="1">
      <c r="A175" s="58" t="str">
        <f>IFERROR(IF(SUMMARY_ENGINE!A167="","",SUMMARY_ENGINE!A167),"")</f>
        <v/>
      </c>
      <c r="B175" s="59" t="str">
        <f>IFERROR(IF(SUMMARY_ENGINE!A167="","",SUMMARY_ENGINE!C167),"")</f>
        <v/>
      </c>
      <c r="C175" s="60">
        <f>IFERROR(SUMMARY_ENGINE!E167,0)</f>
        <v>0</v>
      </c>
      <c r="D175" s="60">
        <f>IFERROR(SUMMARY_ENGINE!F167,0)</f>
        <v>0</v>
      </c>
      <c r="E175" s="61">
        <f>IFERROR(SUMMARY_ENGINE!I167,0)</f>
        <v>0</v>
      </c>
      <c r="F175" s="62">
        <f>IFERROR(SUMMARY_ENGINE!H167,0)</f>
        <v>0</v>
      </c>
      <c r="G175" s="63">
        <f>IFERROR(SUMMARY_ENGINE!J167,0)</f>
        <v>0</v>
      </c>
      <c r="H175" s="64">
        <f>IFERROR(SUMMARY_ENGINE!K167,0)</f>
        <v>0</v>
      </c>
      <c r="I175" s="64">
        <f>IFERROR(SUMMARY_ENGINE!M167,0)</f>
        <v>0</v>
      </c>
      <c r="J175" s="65" t="str">
        <f>IFERROR(SUMMARY_ENGINE!N167,"—")</f>
        <v>—</v>
      </c>
    </row>
    <row r="176" ht="18.75" customHeight="1">
      <c r="A176" s="50" t="str">
        <f>IFERROR(IF(SUMMARY_ENGINE!A168="","",SUMMARY_ENGINE!A168),"")</f>
        <v/>
      </c>
      <c r="B176" s="51" t="str">
        <f>IFERROR(IF(SUMMARY_ENGINE!A168="","",SUMMARY_ENGINE!C168),"")</f>
        <v/>
      </c>
      <c r="C176" s="52">
        <f>IFERROR(SUMMARY_ENGINE!E168,0)</f>
        <v>0</v>
      </c>
      <c r="D176" s="52">
        <f>IFERROR(SUMMARY_ENGINE!F168,0)</f>
        <v>0</v>
      </c>
      <c r="E176" s="53">
        <f>IFERROR(SUMMARY_ENGINE!I168,0)</f>
        <v>0</v>
      </c>
      <c r="F176" s="54">
        <f>IFERROR(SUMMARY_ENGINE!H168,0)</f>
        <v>0</v>
      </c>
      <c r="G176" s="55">
        <f>IFERROR(SUMMARY_ENGINE!J168,0)</f>
        <v>0</v>
      </c>
      <c r="H176" s="56">
        <f>IFERROR(SUMMARY_ENGINE!K168,0)</f>
        <v>0</v>
      </c>
      <c r="I176" s="56">
        <f>IFERROR(SUMMARY_ENGINE!M168,0)</f>
        <v>0</v>
      </c>
      <c r="J176" s="57" t="str">
        <f>IFERROR(SUMMARY_ENGINE!N168,"—")</f>
        <v>—</v>
      </c>
    </row>
    <row r="177" ht="18.75" customHeight="1">
      <c r="A177" s="58" t="str">
        <f>IFERROR(IF(SUMMARY_ENGINE!A169="","",SUMMARY_ENGINE!A169),"")</f>
        <v/>
      </c>
      <c r="B177" s="59" t="str">
        <f>IFERROR(IF(SUMMARY_ENGINE!A169="","",SUMMARY_ENGINE!C169),"")</f>
        <v/>
      </c>
      <c r="C177" s="60">
        <f>IFERROR(SUMMARY_ENGINE!E169,0)</f>
        <v>0</v>
      </c>
      <c r="D177" s="60">
        <f>IFERROR(SUMMARY_ENGINE!F169,0)</f>
        <v>0</v>
      </c>
      <c r="E177" s="61">
        <f>IFERROR(SUMMARY_ENGINE!I169,0)</f>
        <v>0</v>
      </c>
      <c r="F177" s="62">
        <f>IFERROR(SUMMARY_ENGINE!H169,0)</f>
        <v>0</v>
      </c>
      <c r="G177" s="63">
        <f>IFERROR(SUMMARY_ENGINE!J169,0)</f>
        <v>0</v>
      </c>
      <c r="H177" s="64">
        <f>IFERROR(SUMMARY_ENGINE!K169,0)</f>
        <v>0</v>
      </c>
      <c r="I177" s="64">
        <f>IFERROR(SUMMARY_ENGINE!M169,0)</f>
        <v>0</v>
      </c>
      <c r="J177" s="65" t="str">
        <f>IFERROR(SUMMARY_ENGINE!N169,"—")</f>
        <v>—</v>
      </c>
    </row>
    <row r="178" ht="18.75" customHeight="1">
      <c r="A178" s="50" t="str">
        <f>IFERROR(IF(SUMMARY_ENGINE!A170="","",SUMMARY_ENGINE!A170),"")</f>
        <v/>
      </c>
      <c r="B178" s="51" t="str">
        <f>IFERROR(IF(SUMMARY_ENGINE!A170="","",SUMMARY_ENGINE!C170),"")</f>
        <v/>
      </c>
      <c r="C178" s="52">
        <f>IFERROR(SUMMARY_ENGINE!E170,0)</f>
        <v>0</v>
      </c>
      <c r="D178" s="52">
        <f>IFERROR(SUMMARY_ENGINE!F170,0)</f>
        <v>0</v>
      </c>
      <c r="E178" s="53">
        <f>IFERROR(SUMMARY_ENGINE!I170,0)</f>
        <v>0</v>
      </c>
      <c r="F178" s="54">
        <f>IFERROR(SUMMARY_ENGINE!H170,0)</f>
        <v>0</v>
      </c>
      <c r="G178" s="55">
        <f>IFERROR(SUMMARY_ENGINE!J170,0)</f>
        <v>0</v>
      </c>
      <c r="H178" s="56">
        <f>IFERROR(SUMMARY_ENGINE!K170,0)</f>
        <v>0</v>
      </c>
      <c r="I178" s="56">
        <f>IFERROR(SUMMARY_ENGINE!M170,0)</f>
        <v>0</v>
      </c>
      <c r="J178" s="57" t="str">
        <f>IFERROR(SUMMARY_ENGINE!N170,"—")</f>
        <v>—</v>
      </c>
    </row>
    <row r="179" ht="18.75" customHeight="1">
      <c r="A179" s="58" t="str">
        <f>IFERROR(IF(SUMMARY_ENGINE!A171="","",SUMMARY_ENGINE!A171),"")</f>
        <v/>
      </c>
      <c r="B179" s="59" t="str">
        <f>IFERROR(IF(SUMMARY_ENGINE!A171="","",SUMMARY_ENGINE!C171),"")</f>
        <v/>
      </c>
      <c r="C179" s="60">
        <f>IFERROR(SUMMARY_ENGINE!E171,0)</f>
        <v>0</v>
      </c>
      <c r="D179" s="60">
        <f>IFERROR(SUMMARY_ENGINE!F171,0)</f>
        <v>0</v>
      </c>
      <c r="E179" s="61">
        <f>IFERROR(SUMMARY_ENGINE!I171,0)</f>
        <v>0</v>
      </c>
      <c r="F179" s="62">
        <f>IFERROR(SUMMARY_ENGINE!H171,0)</f>
        <v>0</v>
      </c>
      <c r="G179" s="63">
        <f>IFERROR(SUMMARY_ENGINE!J171,0)</f>
        <v>0</v>
      </c>
      <c r="H179" s="64">
        <f>IFERROR(SUMMARY_ENGINE!K171,0)</f>
        <v>0</v>
      </c>
      <c r="I179" s="64">
        <f>IFERROR(SUMMARY_ENGINE!M171,0)</f>
        <v>0</v>
      </c>
      <c r="J179" s="65" t="str">
        <f>IFERROR(SUMMARY_ENGINE!N171,"—")</f>
        <v>—</v>
      </c>
    </row>
    <row r="180" ht="18.75" customHeight="1">
      <c r="A180" s="50" t="str">
        <f>IFERROR(IF(SUMMARY_ENGINE!A172="","",SUMMARY_ENGINE!A172),"")</f>
        <v/>
      </c>
      <c r="B180" s="51" t="str">
        <f>IFERROR(IF(SUMMARY_ENGINE!A172="","",SUMMARY_ENGINE!C172),"")</f>
        <v/>
      </c>
      <c r="C180" s="52">
        <f>IFERROR(SUMMARY_ENGINE!E172,0)</f>
        <v>0</v>
      </c>
      <c r="D180" s="52">
        <f>IFERROR(SUMMARY_ENGINE!F172,0)</f>
        <v>0</v>
      </c>
      <c r="E180" s="53">
        <f>IFERROR(SUMMARY_ENGINE!I172,0)</f>
        <v>0</v>
      </c>
      <c r="F180" s="54">
        <f>IFERROR(SUMMARY_ENGINE!H172,0)</f>
        <v>0</v>
      </c>
      <c r="G180" s="55">
        <f>IFERROR(SUMMARY_ENGINE!J172,0)</f>
        <v>0</v>
      </c>
      <c r="H180" s="56">
        <f>IFERROR(SUMMARY_ENGINE!K172,0)</f>
        <v>0</v>
      </c>
      <c r="I180" s="56">
        <f>IFERROR(SUMMARY_ENGINE!M172,0)</f>
        <v>0</v>
      </c>
      <c r="J180" s="57" t="str">
        <f>IFERROR(SUMMARY_ENGINE!N172,"—")</f>
        <v>—</v>
      </c>
    </row>
    <row r="181" ht="18.75" customHeight="1">
      <c r="A181" s="58" t="str">
        <f>IFERROR(IF(SUMMARY_ENGINE!A173="","",SUMMARY_ENGINE!A173),"")</f>
        <v/>
      </c>
      <c r="B181" s="59" t="str">
        <f>IFERROR(IF(SUMMARY_ENGINE!A173="","",SUMMARY_ENGINE!C173),"")</f>
        <v/>
      </c>
      <c r="C181" s="60">
        <f>IFERROR(SUMMARY_ENGINE!E173,0)</f>
        <v>0</v>
      </c>
      <c r="D181" s="60">
        <f>IFERROR(SUMMARY_ENGINE!F173,0)</f>
        <v>0</v>
      </c>
      <c r="E181" s="61">
        <f>IFERROR(SUMMARY_ENGINE!I173,0)</f>
        <v>0</v>
      </c>
      <c r="F181" s="62">
        <f>IFERROR(SUMMARY_ENGINE!H173,0)</f>
        <v>0</v>
      </c>
      <c r="G181" s="63">
        <f>IFERROR(SUMMARY_ENGINE!J173,0)</f>
        <v>0</v>
      </c>
      <c r="H181" s="64">
        <f>IFERROR(SUMMARY_ENGINE!K173,0)</f>
        <v>0</v>
      </c>
      <c r="I181" s="64">
        <f>IFERROR(SUMMARY_ENGINE!M173,0)</f>
        <v>0</v>
      </c>
      <c r="J181" s="65" t="str">
        <f>IFERROR(SUMMARY_ENGINE!N173,"—")</f>
        <v>—</v>
      </c>
    </row>
    <row r="182" ht="18.75" customHeight="1">
      <c r="A182" s="50" t="str">
        <f>IFERROR(IF(SUMMARY_ENGINE!A174="","",SUMMARY_ENGINE!A174),"")</f>
        <v/>
      </c>
      <c r="B182" s="51" t="str">
        <f>IFERROR(IF(SUMMARY_ENGINE!A174="","",SUMMARY_ENGINE!C174),"")</f>
        <v/>
      </c>
      <c r="C182" s="52">
        <f>IFERROR(SUMMARY_ENGINE!E174,0)</f>
        <v>0</v>
      </c>
      <c r="D182" s="52">
        <f>IFERROR(SUMMARY_ENGINE!F174,0)</f>
        <v>0</v>
      </c>
      <c r="E182" s="53">
        <f>IFERROR(SUMMARY_ENGINE!I174,0)</f>
        <v>0</v>
      </c>
      <c r="F182" s="54">
        <f>IFERROR(SUMMARY_ENGINE!H174,0)</f>
        <v>0</v>
      </c>
      <c r="G182" s="55">
        <f>IFERROR(SUMMARY_ENGINE!J174,0)</f>
        <v>0</v>
      </c>
      <c r="H182" s="56">
        <f>IFERROR(SUMMARY_ENGINE!K174,0)</f>
        <v>0</v>
      </c>
      <c r="I182" s="56">
        <f>IFERROR(SUMMARY_ENGINE!M174,0)</f>
        <v>0</v>
      </c>
      <c r="J182" s="57" t="str">
        <f>IFERROR(SUMMARY_ENGINE!N174,"—")</f>
        <v>—</v>
      </c>
    </row>
    <row r="183" ht="18.75" customHeight="1">
      <c r="A183" s="58" t="str">
        <f>IFERROR(IF(SUMMARY_ENGINE!A175="","",SUMMARY_ENGINE!A175),"")</f>
        <v/>
      </c>
      <c r="B183" s="59" t="str">
        <f>IFERROR(IF(SUMMARY_ENGINE!A175="","",SUMMARY_ENGINE!C175),"")</f>
        <v/>
      </c>
      <c r="C183" s="60">
        <f>IFERROR(SUMMARY_ENGINE!E175,0)</f>
        <v>0</v>
      </c>
      <c r="D183" s="60">
        <f>IFERROR(SUMMARY_ENGINE!F175,0)</f>
        <v>0</v>
      </c>
      <c r="E183" s="61">
        <f>IFERROR(SUMMARY_ENGINE!I175,0)</f>
        <v>0</v>
      </c>
      <c r="F183" s="62">
        <f>IFERROR(SUMMARY_ENGINE!H175,0)</f>
        <v>0</v>
      </c>
      <c r="G183" s="63">
        <f>IFERROR(SUMMARY_ENGINE!J175,0)</f>
        <v>0</v>
      </c>
      <c r="H183" s="64">
        <f>IFERROR(SUMMARY_ENGINE!K175,0)</f>
        <v>0</v>
      </c>
      <c r="I183" s="64">
        <f>IFERROR(SUMMARY_ENGINE!M175,0)</f>
        <v>0</v>
      </c>
      <c r="J183" s="65" t="str">
        <f>IFERROR(SUMMARY_ENGINE!N175,"—")</f>
        <v>—</v>
      </c>
    </row>
    <row r="184" ht="18.75" customHeight="1">
      <c r="A184" s="50" t="str">
        <f>IFERROR(IF(SUMMARY_ENGINE!A176="","",SUMMARY_ENGINE!A176),"")</f>
        <v/>
      </c>
      <c r="B184" s="51" t="str">
        <f>IFERROR(IF(SUMMARY_ENGINE!A176="","",SUMMARY_ENGINE!C176),"")</f>
        <v/>
      </c>
      <c r="C184" s="52">
        <f>IFERROR(SUMMARY_ENGINE!E176,0)</f>
        <v>0</v>
      </c>
      <c r="D184" s="52">
        <f>IFERROR(SUMMARY_ENGINE!F176,0)</f>
        <v>0</v>
      </c>
      <c r="E184" s="53">
        <f>IFERROR(SUMMARY_ENGINE!I176,0)</f>
        <v>0</v>
      </c>
      <c r="F184" s="54">
        <f>IFERROR(SUMMARY_ENGINE!H176,0)</f>
        <v>0</v>
      </c>
      <c r="G184" s="55">
        <f>IFERROR(SUMMARY_ENGINE!J176,0)</f>
        <v>0</v>
      </c>
      <c r="H184" s="56">
        <f>IFERROR(SUMMARY_ENGINE!K176,0)</f>
        <v>0</v>
      </c>
      <c r="I184" s="56">
        <f>IFERROR(SUMMARY_ENGINE!M176,0)</f>
        <v>0</v>
      </c>
      <c r="J184" s="57" t="str">
        <f>IFERROR(SUMMARY_ENGINE!N176,"—")</f>
        <v>—</v>
      </c>
    </row>
    <row r="185" ht="18.75" customHeight="1">
      <c r="A185" s="58" t="str">
        <f>IFERROR(IF(SUMMARY_ENGINE!A177="","",SUMMARY_ENGINE!A177),"")</f>
        <v/>
      </c>
      <c r="B185" s="59" t="str">
        <f>IFERROR(IF(SUMMARY_ENGINE!A177="","",SUMMARY_ENGINE!C177),"")</f>
        <v/>
      </c>
      <c r="C185" s="60">
        <f>IFERROR(SUMMARY_ENGINE!E177,0)</f>
        <v>0</v>
      </c>
      <c r="D185" s="60">
        <f>IFERROR(SUMMARY_ENGINE!F177,0)</f>
        <v>0</v>
      </c>
      <c r="E185" s="61">
        <f>IFERROR(SUMMARY_ENGINE!I177,0)</f>
        <v>0</v>
      </c>
      <c r="F185" s="62">
        <f>IFERROR(SUMMARY_ENGINE!H177,0)</f>
        <v>0</v>
      </c>
      <c r="G185" s="63">
        <f>IFERROR(SUMMARY_ENGINE!J177,0)</f>
        <v>0</v>
      </c>
      <c r="H185" s="64">
        <f>IFERROR(SUMMARY_ENGINE!K177,0)</f>
        <v>0</v>
      </c>
      <c r="I185" s="64">
        <f>IFERROR(SUMMARY_ENGINE!M177,0)</f>
        <v>0</v>
      </c>
      <c r="J185" s="65" t="str">
        <f>IFERROR(SUMMARY_ENGINE!N177,"—")</f>
        <v>—</v>
      </c>
    </row>
    <row r="186" ht="18.75" customHeight="1">
      <c r="A186" s="50" t="str">
        <f>IFERROR(IF(SUMMARY_ENGINE!A178="","",SUMMARY_ENGINE!A178),"")</f>
        <v/>
      </c>
      <c r="B186" s="51" t="str">
        <f>IFERROR(IF(SUMMARY_ENGINE!A178="","",SUMMARY_ENGINE!C178),"")</f>
        <v/>
      </c>
      <c r="C186" s="52">
        <f>IFERROR(SUMMARY_ENGINE!E178,0)</f>
        <v>0</v>
      </c>
      <c r="D186" s="52">
        <f>IFERROR(SUMMARY_ENGINE!F178,0)</f>
        <v>0</v>
      </c>
      <c r="E186" s="53">
        <f>IFERROR(SUMMARY_ENGINE!I178,0)</f>
        <v>0</v>
      </c>
      <c r="F186" s="54">
        <f>IFERROR(SUMMARY_ENGINE!H178,0)</f>
        <v>0</v>
      </c>
      <c r="G186" s="55">
        <f>IFERROR(SUMMARY_ENGINE!J178,0)</f>
        <v>0</v>
      </c>
      <c r="H186" s="56">
        <f>IFERROR(SUMMARY_ENGINE!K178,0)</f>
        <v>0</v>
      </c>
      <c r="I186" s="56">
        <f>IFERROR(SUMMARY_ENGINE!M178,0)</f>
        <v>0</v>
      </c>
      <c r="J186" s="57" t="str">
        <f>IFERROR(SUMMARY_ENGINE!N178,"—")</f>
        <v>—</v>
      </c>
    </row>
    <row r="187" ht="18.75" customHeight="1">
      <c r="A187" s="58" t="str">
        <f>IFERROR(IF(SUMMARY_ENGINE!A179="","",SUMMARY_ENGINE!A179),"")</f>
        <v/>
      </c>
      <c r="B187" s="59" t="str">
        <f>IFERROR(IF(SUMMARY_ENGINE!A179="","",SUMMARY_ENGINE!C179),"")</f>
        <v/>
      </c>
      <c r="C187" s="60">
        <f>IFERROR(SUMMARY_ENGINE!E179,0)</f>
        <v>0</v>
      </c>
      <c r="D187" s="60">
        <f>IFERROR(SUMMARY_ENGINE!F179,0)</f>
        <v>0</v>
      </c>
      <c r="E187" s="61">
        <f>IFERROR(SUMMARY_ENGINE!I179,0)</f>
        <v>0</v>
      </c>
      <c r="F187" s="62">
        <f>IFERROR(SUMMARY_ENGINE!H179,0)</f>
        <v>0</v>
      </c>
      <c r="G187" s="63">
        <f>IFERROR(SUMMARY_ENGINE!J179,0)</f>
        <v>0</v>
      </c>
      <c r="H187" s="64">
        <f>IFERROR(SUMMARY_ENGINE!K179,0)</f>
        <v>0</v>
      </c>
      <c r="I187" s="64">
        <f>IFERROR(SUMMARY_ENGINE!M179,0)</f>
        <v>0</v>
      </c>
      <c r="J187" s="65" t="str">
        <f>IFERROR(SUMMARY_ENGINE!N179,"—")</f>
        <v>—</v>
      </c>
    </row>
    <row r="188" ht="18.75" customHeight="1">
      <c r="A188" s="50" t="str">
        <f>IFERROR(IF(SUMMARY_ENGINE!A180="","",SUMMARY_ENGINE!A180),"")</f>
        <v/>
      </c>
      <c r="B188" s="51" t="str">
        <f>IFERROR(IF(SUMMARY_ENGINE!A180="","",SUMMARY_ENGINE!C180),"")</f>
        <v/>
      </c>
      <c r="C188" s="52">
        <f>IFERROR(SUMMARY_ENGINE!E180,0)</f>
        <v>0</v>
      </c>
      <c r="D188" s="52">
        <f>IFERROR(SUMMARY_ENGINE!F180,0)</f>
        <v>0</v>
      </c>
      <c r="E188" s="53">
        <f>IFERROR(SUMMARY_ENGINE!I180,0)</f>
        <v>0</v>
      </c>
      <c r="F188" s="54">
        <f>IFERROR(SUMMARY_ENGINE!H180,0)</f>
        <v>0</v>
      </c>
      <c r="G188" s="55">
        <f>IFERROR(SUMMARY_ENGINE!J180,0)</f>
        <v>0</v>
      </c>
      <c r="H188" s="56">
        <f>IFERROR(SUMMARY_ENGINE!K180,0)</f>
        <v>0</v>
      </c>
      <c r="I188" s="56">
        <f>IFERROR(SUMMARY_ENGINE!M180,0)</f>
        <v>0</v>
      </c>
      <c r="J188" s="57" t="str">
        <f>IFERROR(SUMMARY_ENGINE!N180,"—")</f>
        <v>—</v>
      </c>
    </row>
    <row r="189" ht="18.75" customHeight="1">
      <c r="A189" s="58" t="str">
        <f>IFERROR(IF(SUMMARY_ENGINE!A181="","",SUMMARY_ENGINE!A181),"")</f>
        <v/>
      </c>
      <c r="B189" s="59" t="str">
        <f>IFERROR(IF(SUMMARY_ENGINE!A181="","",SUMMARY_ENGINE!C181),"")</f>
        <v/>
      </c>
      <c r="C189" s="60">
        <f>IFERROR(SUMMARY_ENGINE!E181,0)</f>
        <v>0</v>
      </c>
      <c r="D189" s="60">
        <f>IFERROR(SUMMARY_ENGINE!F181,0)</f>
        <v>0</v>
      </c>
      <c r="E189" s="61">
        <f>IFERROR(SUMMARY_ENGINE!I181,0)</f>
        <v>0</v>
      </c>
      <c r="F189" s="62">
        <f>IFERROR(SUMMARY_ENGINE!H181,0)</f>
        <v>0</v>
      </c>
      <c r="G189" s="63">
        <f>IFERROR(SUMMARY_ENGINE!J181,0)</f>
        <v>0</v>
      </c>
      <c r="H189" s="64">
        <f>IFERROR(SUMMARY_ENGINE!K181,0)</f>
        <v>0</v>
      </c>
      <c r="I189" s="64">
        <f>IFERROR(SUMMARY_ENGINE!M181,0)</f>
        <v>0</v>
      </c>
      <c r="J189" s="65" t="str">
        <f>IFERROR(SUMMARY_ENGINE!N181,"—")</f>
        <v>—</v>
      </c>
    </row>
    <row r="190" ht="18.75" customHeight="1">
      <c r="A190" s="50" t="str">
        <f>IFERROR(IF(SUMMARY_ENGINE!A182="","",SUMMARY_ENGINE!A182),"")</f>
        <v/>
      </c>
      <c r="B190" s="51" t="str">
        <f>IFERROR(IF(SUMMARY_ENGINE!A182="","",SUMMARY_ENGINE!C182),"")</f>
        <v/>
      </c>
      <c r="C190" s="52">
        <f>IFERROR(SUMMARY_ENGINE!E182,0)</f>
        <v>0</v>
      </c>
      <c r="D190" s="52">
        <f>IFERROR(SUMMARY_ENGINE!F182,0)</f>
        <v>0</v>
      </c>
      <c r="E190" s="53">
        <f>IFERROR(SUMMARY_ENGINE!I182,0)</f>
        <v>0</v>
      </c>
      <c r="F190" s="54">
        <f>IFERROR(SUMMARY_ENGINE!H182,0)</f>
        <v>0</v>
      </c>
      <c r="G190" s="55">
        <f>IFERROR(SUMMARY_ENGINE!J182,0)</f>
        <v>0</v>
      </c>
      <c r="H190" s="56">
        <f>IFERROR(SUMMARY_ENGINE!K182,0)</f>
        <v>0</v>
      </c>
      <c r="I190" s="56">
        <f>IFERROR(SUMMARY_ENGINE!M182,0)</f>
        <v>0</v>
      </c>
      <c r="J190" s="57" t="str">
        <f>IFERROR(SUMMARY_ENGINE!N182,"—")</f>
        <v>—</v>
      </c>
    </row>
    <row r="191" ht="18.75" customHeight="1">
      <c r="A191" s="58" t="str">
        <f>IFERROR(IF(SUMMARY_ENGINE!A183="","",SUMMARY_ENGINE!A183),"")</f>
        <v/>
      </c>
      <c r="B191" s="59" t="str">
        <f>IFERROR(IF(SUMMARY_ENGINE!A183="","",SUMMARY_ENGINE!C183),"")</f>
        <v/>
      </c>
      <c r="C191" s="60">
        <f>IFERROR(SUMMARY_ENGINE!E183,0)</f>
        <v>0</v>
      </c>
      <c r="D191" s="60">
        <f>IFERROR(SUMMARY_ENGINE!F183,0)</f>
        <v>0</v>
      </c>
      <c r="E191" s="61">
        <f>IFERROR(SUMMARY_ENGINE!I183,0)</f>
        <v>0</v>
      </c>
      <c r="F191" s="62">
        <f>IFERROR(SUMMARY_ENGINE!H183,0)</f>
        <v>0</v>
      </c>
      <c r="G191" s="63">
        <f>IFERROR(SUMMARY_ENGINE!J183,0)</f>
        <v>0</v>
      </c>
      <c r="H191" s="64">
        <f>IFERROR(SUMMARY_ENGINE!K183,0)</f>
        <v>0</v>
      </c>
      <c r="I191" s="64">
        <f>IFERROR(SUMMARY_ENGINE!M183,0)</f>
        <v>0</v>
      </c>
      <c r="J191" s="65" t="str">
        <f>IFERROR(SUMMARY_ENGINE!N183,"—")</f>
        <v>—</v>
      </c>
    </row>
    <row r="192" ht="18.75" customHeight="1">
      <c r="A192" s="50" t="str">
        <f>IFERROR(IF(SUMMARY_ENGINE!A184="","",SUMMARY_ENGINE!A184),"")</f>
        <v/>
      </c>
      <c r="B192" s="51" t="str">
        <f>IFERROR(IF(SUMMARY_ENGINE!A184="","",SUMMARY_ENGINE!C184),"")</f>
        <v/>
      </c>
      <c r="C192" s="52">
        <f>IFERROR(SUMMARY_ENGINE!E184,0)</f>
        <v>0</v>
      </c>
      <c r="D192" s="52">
        <f>IFERROR(SUMMARY_ENGINE!F184,0)</f>
        <v>0</v>
      </c>
      <c r="E192" s="53">
        <f>IFERROR(SUMMARY_ENGINE!I184,0)</f>
        <v>0</v>
      </c>
      <c r="F192" s="54">
        <f>IFERROR(SUMMARY_ENGINE!H184,0)</f>
        <v>0</v>
      </c>
      <c r="G192" s="55">
        <f>IFERROR(SUMMARY_ENGINE!J184,0)</f>
        <v>0</v>
      </c>
      <c r="H192" s="56">
        <f>IFERROR(SUMMARY_ENGINE!K184,0)</f>
        <v>0</v>
      </c>
      <c r="I192" s="56">
        <f>IFERROR(SUMMARY_ENGINE!M184,0)</f>
        <v>0</v>
      </c>
      <c r="J192" s="57" t="str">
        <f>IFERROR(SUMMARY_ENGINE!N184,"—")</f>
        <v>—</v>
      </c>
    </row>
    <row r="193" ht="18.75" customHeight="1">
      <c r="A193" s="58" t="str">
        <f>IFERROR(IF(SUMMARY_ENGINE!A185="","",SUMMARY_ENGINE!A185),"")</f>
        <v/>
      </c>
      <c r="B193" s="59" t="str">
        <f>IFERROR(IF(SUMMARY_ENGINE!A185="","",SUMMARY_ENGINE!C185),"")</f>
        <v/>
      </c>
      <c r="C193" s="60">
        <f>IFERROR(SUMMARY_ENGINE!E185,0)</f>
        <v>0</v>
      </c>
      <c r="D193" s="60">
        <f>IFERROR(SUMMARY_ENGINE!F185,0)</f>
        <v>0</v>
      </c>
      <c r="E193" s="61">
        <f>IFERROR(SUMMARY_ENGINE!I185,0)</f>
        <v>0</v>
      </c>
      <c r="F193" s="62">
        <f>IFERROR(SUMMARY_ENGINE!H185,0)</f>
        <v>0</v>
      </c>
      <c r="G193" s="63">
        <f>IFERROR(SUMMARY_ENGINE!J185,0)</f>
        <v>0</v>
      </c>
      <c r="H193" s="64">
        <f>IFERROR(SUMMARY_ENGINE!K185,0)</f>
        <v>0</v>
      </c>
      <c r="I193" s="64">
        <f>IFERROR(SUMMARY_ENGINE!M185,0)</f>
        <v>0</v>
      </c>
      <c r="J193" s="65" t="str">
        <f>IFERROR(SUMMARY_ENGINE!N185,"—")</f>
        <v>—</v>
      </c>
    </row>
    <row r="194" ht="18.75" customHeight="1">
      <c r="A194" s="50" t="str">
        <f>IFERROR(IF(SUMMARY_ENGINE!A186="","",SUMMARY_ENGINE!A186),"")</f>
        <v/>
      </c>
      <c r="B194" s="51" t="str">
        <f>IFERROR(IF(SUMMARY_ENGINE!A186="","",SUMMARY_ENGINE!C186),"")</f>
        <v/>
      </c>
      <c r="C194" s="52">
        <f>IFERROR(SUMMARY_ENGINE!E186,0)</f>
        <v>0</v>
      </c>
      <c r="D194" s="52">
        <f>IFERROR(SUMMARY_ENGINE!F186,0)</f>
        <v>0</v>
      </c>
      <c r="E194" s="53">
        <f>IFERROR(SUMMARY_ENGINE!I186,0)</f>
        <v>0</v>
      </c>
      <c r="F194" s="54">
        <f>IFERROR(SUMMARY_ENGINE!H186,0)</f>
        <v>0</v>
      </c>
      <c r="G194" s="55">
        <f>IFERROR(SUMMARY_ENGINE!J186,0)</f>
        <v>0</v>
      </c>
      <c r="H194" s="56">
        <f>IFERROR(SUMMARY_ENGINE!K186,0)</f>
        <v>0</v>
      </c>
      <c r="I194" s="56">
        <f>IFERROR(SUMMARY_ENGINE!M186,0)</f>
        <v>0</v>
      </c>
      <c r="J194" s="57" t="str">
        <f>IFERROR(SUMMARY_ENGINE!N186,"—")</f>
        <v>—</v>
      </c>
    </row>
    <row r="195" ht="18.75" customHeight="1">
      <c r="A195" s="58" t="str">
        <f>IFERROR(IF(SUMMARY_ENGINE!A187="","",SUMMARY_ENGINE!A187),"")</f>
        <v/>
      </c>
      <c r="B195" s="59" t="str">
        <f>IFERROR(IF(SUMMARY_ENGINE!A187="","",SUMMARY_ENGINE!C187),"")</f>
        <v/>
      </c>
      <c r="C195" s="60">
        <f>IFERROR(SUMMARY_ENGINE!E187,0)</f>
        <v>0</v>
      </c>
      <c r="D195" s="60">
        <f>IFERROR(SUMMARY_ENGINE!F187,0)</f>
        <v>0</v>
      </c>
      <c r="E195" s="61">
        <f>IFERROR(SUMMARY_ENGINE!I187,0)</f>
        <v>0</v>
      </c>
      <c r="F195" s="62">
        <f>IFERROR(SUMMARY_ENGINE!H187,0)</f>
        <v>0</v>
      </c>
      <c r="G195" s="63">
        <f>IFERROR(SUMMARY_ENGINE!J187,0)</f>
        <v>0</v>
      </c>
      <c r="H195" s="64">
        <f>IFERROR(SUMMARY_ENGINE!K187,0)</f>
        <v>0</v>
      </c>
      <c r="I195" s="64">
        <f>IFERROR(SUMMARY_ENGINE!M187,0)</f>
        <v>0</v>
      </c>
      <c r="J195" s="65" t="str">
        <f>IFERROR(SUMMARY_ENGINE!N187,"—")</f>
        <v>—</v>
      </c>
    </row>
    <row r="196" ht="18.75" customHeight="1">
      <c r="A196" s="50" t="str">
        <f>IFERROR(IF(SUMMARY_ENGINE!A188="","",SUMMARY_ENGINE!A188),"")</f>
        <v/>
      </c>
      <c r="B196" s="51" t="str">
        <f>IFERROR(IF(SUMMARY_ENGINE!A188="","",SUMMARY_ENGINE!C188),"")</f>
        <v/>
      </c>
      <c r="C196" s="52">
        <f>IFERROR(SUMMARY_ENGINE!E188,0)</f>
        <v>0</v>
      </c>
      <c r="D196" s="52">
        <f>IFERROR(SUMMARY_ENGINE!F188,0)</f>
        <v>0</v>
      </c>
      <c r="E196" s="53">
        <f>IFERROR(SUMMARY_ENGINE!I188,0)</f>
        <v>0</v>
      </c>
      <c r="F196" s="54">
        <f>IFERROR(SUMMARY_ENGINE!H188,0)</f>
        <v>0</v>
      </c>
      <c r="G196" s="55">
        <f>IFERROR(SUMMARY_ENGINE!J188,0)</f>
        <v>0</v>
      </c>
      <c r="H196" s="56">
        <f>IFERROR(SUMMARY_ENGINE!K188,0)</f>
        <v>0</v>
      </c>
      <c r="I196" s="56">
        <f>IFERROR(SUMMARY_ENGINE!M188,0)</f>
        <v>0</v>
      </c>
      <c r="J196" s="57" t="str">
        <f>IFERROR(SUMMARY_ENGINE!N188,"—")</f>
        <v>—</v>
      </c>
    </row>
    <row r="197" ht="18.75" customHeight="1">
      <c r="A197" s="58" t="str">
        <f>IFERROR(IF(SUMMARY_ENGINE!A189="","",SUMMARY_ENGINE!A189),"")</f>
        <v/>
      </c>
      <c r="B197" s="59" t="str">
        <f>IFERROR(IF(SUMMARY_ENGINE!A189="","",SUMMARY_ENGINE!C189),"")</f>
        <v/>
      </c>
      <c r="C197" s="60">
        <f>IFERROR(SUMMARY_ENGINE!E189,0)</f>
        <v>0</v>
      </c>
      <c r="D197" s="60">
        <f>IFERROR(SUMMARY_ENGINE!F189,0)</f>
        <v>0</v>
      </c>
      <c r="E197" s="61">
        <f>IFERROR(SUMMARY_ENGINE!I189,0)</f>
        <v>0</v>
      </c>
      <c r="F197" s="62">
        <f>IFERROR(SUMMARY_ENGINE!H189,0)</f>
        <v>0</v>
      </c>
      <c r="G197" s="63">
        <f>IFERROR(SUMMARY_ENGINE!J189,0)</f>
        <v>0</v>
      </c>
      <c r="H197" s="64">
        <f>IFERROR(SUMMARY_ENGINE!K189,0)</f>
        <v>0</v>
      </c>
      <c r="I197" s="64">
        <f>IFERROR(SUMMARY_ENGINE!M189,0)</f>
        <v>0</v>
      </c>
      <c r="J197" s="65" t="str">
        <f>IFERROR(SUMMARY_ENGINE!N189,"—")</f>
        <v>—</v>
      </c>
    </row>
    <row r="198" ht="18.75" customHeight="1">
      <c r="A198" s="50" t="str">
        <f>IFERROR(IF(SUMMARY_ENGINE!A190="","",SUMMARY_ENGINE!A190),"")</f>
        <v/>
      </c>
      <c r="B198" s="51" t="str">
        <f>IFERROR(IF(SUMMARY_ENGINE!A190="","",SUMMARY_ENGINE!C190),"")</f>
        <v/>
      </c>
      <c r="C198" s="52">
        <f>IFERROR(SUMMARY_ENGINE!E190,0)</f>
        <v>0</v>
      </c>
      <c r="D198" s="52">
        <f>IFERROR(SUMMARY_ENGINE!F190,0)</f>
        <v>0</v>
      </c>
      <c r="E198" s="53">
        <f>IFERROR(SUMMARY_ENGINE!I190,0)</f>
        <v>0</v>
      </c>
      <c r="F198" s="54">
        <f>IFERROR(SUMMARY_ENGINE!H190,0)</f>
        <v>0</v>
      </c>
      <c r="G198" s="55">
        <f>IFERROR(SUMMARY_ENGINE!J190,0)</f>
        <v>0</v>
      </c>
      <c r="H198" s="56">
        <f>IFERROR(SUMMARY_ENGINE!K190,0)</f>
        <v>0</v>
      </c>
      <c r="I198" s="56">
        <f>IFERROR(SUMMARY_ENGINE!M190,0)</f>
        <v>0</v>
      </c>
      <c r="J198" s="57" t="str">
        <f>IFERROR(SUMMARY_ENGINE!N190,"—")</f>
        <v>—</v>
      </c>
    </row>
    <row r="199" ht="18.75" customHeight="1">
      <c r="A199" s="58" t="str">
        <f>IFERROR(IF(SUMMARY_ENGINE!A191="","",SUMMARY_ENGINE!A191),"")</f>
        <v/>
      </c>
      <c r="B199" s="59" t="str">
        <f>IFERROR(IF(SUMMARY_ENGINE!A191="","",SUMMARY_ENGINE!C191),"")</f>
        <v/>
      </c>
      <c r="C199" s="60">
        <f>IFERROR(SUMMARY_ENGINE!E191,0)</f>
        <v>0</v>
      </c>
      <c r="D199" s="60">
        <f>IFERROR(SUMMARY_ENGINE!F191,0)</f>
        <v>0</v>
      </c>
      <c r="E199" s="61">
        <f>IFERROR(SUMMARY_ENGINE!I191,0)</f>
        <v>0</v>
      </c>
      <c r="F199" s="62">
        <f>IFERROR(SUMMARY_ENGINE!H191,0)</f>
        <v>0</v>
      </c>
      <c r="G199" s="63">
        <f>IFERROR(SUMMARY_ENGINE!J191,0)</f>
        <v>0</v>
      </c>
      <c r="H199" s="64">
        <f>IFERROR(SUMMARY_ENGINE!K191,0)</f>
        <v>0</v>
      </c>
      <c r="I199" s="64">
        <f>IFERROR(SUMMARY_ENGINE!M191,0)</f>
        <v>0</v>
      </c>
      <c r="J199" s="65" t="str">
        <f>IFERROR(SUMMARY_ENGINE!N191,"—")</f>
        <v>—</v>
      </c>
    </row>
    <row r="200" ht="18.75" customHeight="1">
      <c r="A200" s="50" t="str">
        <f>IFERROR(IF(SUMMARY_ENGINE!A192="","",SUMMARY_ENGINE!A192),"")</f>
        <v/>
      </c>
      <c r="B200" s="51" t="str">
        <f>IFERROR(IF(SUMMARY_ENGINE!A192="","",SUMMARY_ENGINE!C192),"")</f>
        <v/>
      </c>
      <c r="C200" s="52">
        <f>IFERROR(SUMMARY_ENGINE!E192,0)</f>
        <v>0</v>
      </c>
      <c r="D200" s="52">
        <f>IFERROR(SUMMARY_ENGINE!F192,0)</f>
        <v>0</v>
      </c>
      <c r="E200" s="53">
        <f>IFERROR(SUMMARY_ENGINE!I192,0)</f>
        <v>0</v>
      </c>
      <c r="F200" s="54">
        <f>IFERROR(SUMMARY_ENGINE!H192,0)</f>
        <v>0</v>
      </c>
      <c r="G200" s="55">
        <f>IFERROR(SUMMARY_ENGINE!J192,0)</f>
        <v>0</v>
      </c>
      <c r="H200" s="56">
        <f>IFERROR(SUMMARY_ENGINE!K192,0)</f>
        <v>0</v>
      </c>
      <c r="I200" s="56">
        <f>IFERROR(SUMMARY_ENGINE!M192,0)</f>
        <v>0</v>
      </c>
      <c r="J200" s="57" t="str">
        <f>IFERROR(SUMMARY_ENGINE!N192,"—")</f>
        <v>—</v>
      </c>
    </row>
    <row r="201" ht="18.75" customHeight="1">
      <c r="A201" s="58" t="str">
        <f>IFERROR(IF(SUMMARY_ENGINE!A193="","",SUMMARY_ENGINE!A193),"")</f>
        <v/>
      </c>
      <c r="B201" s="59" t="str">
        <f>IFERROR(IF(SUMMARY_ENGINE!A193="","",SUMMARY_ENGINE!C193),"")</f>
        <v/>
      </c>
      <c r="C201" s="60">
        <f>IFERROR(SUMMARY_ENGINE!E193,0)</f>
        <v>0</v>
      </c>
      <c r="D201" s="60">
        <f>IFERROR(SUMMARY_ENGINE!F193,0)</f>
        <v>0</v>
      </c>
      <c r="E201" s="61">
        <f>IFERROR(SUMMARY_ENGINE!I193,0)</f>
        <v>0</v>
      </c>
      <c r="F201" s="62">
        <f>IFERROR(SUMMARY_ENGINE!H193,0)</f>
        <v>0</v>
      </c>
      <c r="G201" s="63">
        <f>IFERROR(SUMMARY_ENGINE!J193,0)</f>
        <v>0</v>
      </c>
      <c r="H201" s="64">
        <f>IFERROR(SUMMARY_ENGINE!K193,0)</f>
        <v>0</v>
      </c>
      <c r="I201" s="64">
        <f>IFERROR(SUMMARY_ENGINE!M193,0)</f>
        <v>0</v>
      </c>
      <c r="J201" s="65" t="str">
        <f>IFERROR(SUMMARY_ENGINE!N193,"—")</f>
        <v>—</v>
      </c>
    </row>
    <row r="202" ht="18.75" customHeight="1">
      <c r="A202" s="50" t="str">
        <f>IFERROR(IF(SUMMARY_ENGINE!A194="","",SUMMARY_ENGINE!A194),"")</f>
        <v/>
      </c>
      <c r="B202" s="51" t="str">
        <f>IFERROR(IF(SUMMARY_ENGINE!A194="","",SUMMARY_ENGINE!C194),"")</f>
        <v/>
      </c>
      <c r="C202" s="52">
        <f>IFERROR(SUMMARY_ENGINE!E194,0)</f>
        <v>0</v>
      </c>
      <c r="D202" s="52">
        <f>IFERROR(SUMMARY_ENGINE!F194,0)</f>
        <v>0</v>
      </c>
      <c r="E202" s="53">
        <f>IFERROR(SUMMARY_ENGINE!I194,0)</f>
        <v>0</v>
      </c>
      <c r="F202" s="54">
        <f>IFERROR(SUMMARY_ENGINE!H194,0)</f>
        <v>0</v>
      </c>
      <c r="G202" s="55">
        <f>IFERROR(SUMMARY_ENGINE!J194,0)</f>
        <v>0</v>
      </c>
      <c r="H202" s="56">
        <f>IFERROR(SUMMARY_ENGINE!K194,0)</f>
        <v>0</v>
      </c>
      <c r="I202" s="56">
        <f>IFERROR(SUMMARY_ENGINE!M194,0)</f>
        <v>0</v>
      </c>
      <c r="J202" s="57" t="str">
        <f>IFERROR(SUMMARY_ENGINE!N194,"—")</f>
        <v>—</v>
      </c>
    </row>
    <row r="203" ht="18.75" customHeight="1">
      <c r="A203" s="58" t="str">
        <f>IFERROR(IF(SUMMARY_ENGINE!A195="","",SUMMARY_ENGINE!A195),"")</f>
        <v/>
      </c>
      <c r="B203" s="59" t="str">
        <f>IFERROR(IF(SUMMARY_ENGINE!A195="","",SUMMARY_ENGINE!C195),"")</f>
        <v/>
      </c>
      <c r="C203" s="60">
        <f>IFERROR(SUMMARY_ENGINE!E195,0)</f>
        <v>0</v>
      </c>
      <c r="D203" s="60">
        <f>IFERROR(SUMMARY_ENGINE!F195,0)</f>
        <v>0</v>
      </c>
      <c r="E203" s="61">
        <f>IFERROR(SUMMARY_ENGINE!I195,0)</f>
        <v>0</v>
      </c>
      <c r="F203" s="62">
        <f>IFERROR(SUMMARY_ENGINE!H195,0)</f>
        <v>0</v>
      </c>
      <c r="G203" s="63">
        <f>IFERROR(SUMMARY_ENGINE!J195,0)</f>
        <v>0</v>
      </c>
      <c r="H203" s="64">
        <f>IFERROR(SUMMARY_ENGINE!K195,0)</f>
        <v>0</v>
      </c>
      <c r="I203" s="64">
        <f>IFERROR(SUMMARY_ENGINE!M195,0)</f>
        <v>0</v>
      </c>
      <c r="J203" s="65" t="str">
        <f>IFERROR(SUMMARY_ENGINE!N195,"—")</f>
        <v>—</v>
      </c>
    </row>
    <row r="204" ht="18.75" customHeight="1">
      <c r="A204" s="50" t="str">
        <f>IFERROR(IF(SUMMARY_ENGINE!A196="","",SUMMARY_ENGINE!A196),"")</f>
        <v/>
      </c>
      <c r="B204" s="51" t="str">
        <f>IFERROR(IF(SUMMARY_ENGINE!A196="","",SUMMARY_ENGINE!C196),"")</f>
        <v/>
      </c>
      <c r="C204" s="52">
        <f>IFERROR(SUMMARY_ENGINE!E196,0)</f>
        <v>0</v>
      </c>
      <c r="D204" s="52">
        <f>IFERROR(SUMMARY_ENGINE!F196,0)</f>
        <v>0</v>
      </c>
      <c r="E204" s="53">
        <f>IFERROR(SUMMARY_ENGINE!I196,0)</f>
        <v>0</v>
      </c>
      <c r="F204" s="54">
        <f>IFERROR(SUMMARY_ENGINE!H196,0)</f>
        <v>0</v>
      </c>
      <c r="G204" s="55">
        <f>IFERROR(SUMMARY_ENGINE!J196,0)</f>
        <v>0</v>
      </c>
      <c r="H204" s="56">
        <f>IFERROR(SUMMARY_ENGINE!K196,0)</f>
        <v>0</v>
      </c>
      <c r="I204" s="56">
        <f>IFERROR(SUMMARY_ENGINE!M196,0)</f>
        <v>0</v>
      </c>
      <c r="J204" s="57" t="str">
        <f>IFERROR(SUMMARY_ENGINE!N196,"—")</f>
        <v>—</v>
      </c>
    </row>
    <row r="205" ht="18.75" customHeight="1">
      <c r="A205" s="58" t="str">
        <f>IFERROR(IF(SUMMARY_ENGINE!A197="","",SUMMARY_ENGINE!A197),"")</f>
        <v/>
      </c>
      <c r="B205" s="59" t="str">
        <f>IFERROR(IF(SUMMARY_ENGINE!A197="","",SUMMARY_ENGINE!C197),"")</f>
        <v/>
      </c>
      <c r="C205" s="60">
        <f>IFERROR(SUMMARY_ENGINE!E197,0)</f>
        <v>0</v>
      </c>
      <c r="D205" s="60">
        <f>IFERROR(SUMMARY_ENGINE!F197,0)</f>
        <v>0</v>
      </c>
      <c r="E205" s="61">
        <f>IFERROR(SUMMARY_ENGINE!I197,0)</f>
        <v>0</v>
      </c>
      <c r="F205" s="62">
        <f>IFERROR(SUMMARY_ENGINE!H197,0)</f>
        <v>0</v>
      </c>
      <c r="G205" s="63">
        <f>IFERROR(SUMMARY_ENGINE!J197,0)</f>
        <v>0</v>
      </c>
      <c r="H205" s="64">
        <f>IFERROR(SUMMARY_ENGINE!K197,0)</f>
        <v>0</v>
      </c>
      <c r="I205" s="64">
        <f>IFERROR(SUMMARY_ENGINE!M197,0)</f>
        <v>0</v>
      </c>
      <c r="J205" s="65" t="str">
        <f>IFERROR(SUMMARY_ENGINE!N197,"—")</f>
        <v>—</v>
      </c>
    </row>
    <row r="206" ht="18.75" customHeight="1">
      <c r="A206" s="50" t="str">
        <f>IFERROR(IF(SUMMARY_ENGINE!A198="","",SUMMARY_ENGINE!A198),"")</f>
        <v/>
      </c>
      <c r="B206" s="51" t="str">
        <f>IFERROR(IF(SUMMARY_ENGINE!A198="","",SUMMARY_ENGINE!C198),"")</f>
        <v/>
      </c>
      <c r="C206" s="52">
        <f>IFERROR(SUMMARY_ENGINE!E198,0)</f>
        <v>0</v>
      </c>
      <c r="D206" s="52">
        <f>IFERROR(SUMMARY_ENGINE!F198,0)</f>
        <v>0</v>
      </c>
      <c r="E206" s="53">
        <f>IFERROR(SUMMARY_ENGINE!I198,0)</f>
        <v>0</v>
      </c>
      <c r="F206" s="54">
        <f>IFERROR(SUMMARY_ENGINE!H198,0)</f>
        <v>0</v>
      </c>
      <c r="G206" s="55">
        <f>IFERROR(SUMMARY_ENGINE!J198,0)</f>
        <v>0</v>
      </c>
      <c r="H206" s="56">
        <f>IFERROR(SUMMARY_ENGINE!K198,0)</f>
        <v>0</v>
      </c>
      <c r="I206" s="56">
        <f>IFERROR(SUMMARY_ENGINE!M198,0)</f>
        <v>0</v>
      </c>
      <c r="J206" s="57" t="str">
        <f>IFERROR(SUMMARY_ENGINE!N198,"—")</f>
        <v>—</v>
      </c>
    </row>
    <row r="207" ht="18.75" customHeight="1">
      <c r="A207" s="58" t="str">
        <f>IFERROR(IF(SUMMARY_ENGINE!A199="","",SUMMARY_ENGINE!A199),"")</f>
        <v/>
      </c>
      <c r="B207" s="59" t="str">
        <f>IFERROR(IF(SUMMARY_ENGINE!A199="","",SUMMARY_ENGINE!C199),"")</f>
        <v/>
      </c>
      <c r="C207" s="60">
        <f>IFERROR(SUMMARY_ENGINE!E199,0)</f>
        <v>0</v>
      </c>
      <c r="D207" s="60">
        <f>IFERROR(SUMMARY_ENGINE!F199,0)</f>
        <v>0</v>
      </c>
      <c r="E207" s="61">
        <f>IFERROR(SUMMARY_ENGINE!I199,0)</f>
        <v>0</v>
      </c>
      <c r="F207" s="62">
        <f>IFERROR(SUMMARY_ENGINE!H199,0)</f>
        <v>0</v>
      </c>
      <c r="G207" s="63">
        <f>IFERROR(SUMMARY_ENGINE!J199,0)</f>
        <v>0</v>
      </c>
      <c r="H207" s="64">
        <f>IFERROR(SUMMARY_ENGINE!K199,0)</f>
        <v>0</v>
      </c>
      <c r="I207" s="64">
        <f>IFERROR(SUMMARY_ENGINE!M199,0)</f>
        <v>0</v>
      </c>
      <c r="J207" s="65" t="str">
        <f>IFERROR(SUMMARY_ENGINE!N199,"—")</f>
        <v>—</v>
      </c>
    </row>
    <row r="208" ht="18.75" customHeight="1">
      <c r="A208" s="50" t="str">
        <f>IFERROR(IF(SUMMARY_ENGINE!A200="","",SUMMARY_ENGINE!A200),"")</f>
        <v/>
      </c>
      <c r="B208" s="51" t="str">
        <f>IFERROR(IF(SUMMARY_ENGINE!A200="","",SUMMARY_ENGINE!C200),"")</f>
        <v/>
      </c>
      <c r="C208" s="52">
        <f>IFERROR(SUMMARY_ENGINE!E200,0)</f>
        <v>0</v>
      </c>
      <c r="D208" s="52">
        <f>IFERROR(SUMMARY_ENGINE!F200,0)</f>
        <v>0</v>
      </c>
      <c r="E208" s="53">
        <f>IFERROR(SUMMARY_ENGINE!I200,0)</f>
        <v>0</v>
      </c>
      <c r="F208" s="54">
        <f>IFERROR(SUMMARY_ENGINE!H200,0)</f>
        <v>0</v>
      </c>
      <c r="G208" s="55">
        <f>IFERROR(SUMMARY_ENGINE!J200,0)</f>
        <v>0</v>
      </c>
      <c r="H208" s="56">
        <f>IFERROR(SUMMARY_ENGINE!K200,0)</f>
        <v>0</v>
      </c>
      <c r="I208" s="56">
        <f>IFERROR(SUMMARY_ENGINE!M200,0)</f>
        <v>0</v>
      </c>
      <c r="J208" s="57" t="str">
        <f>IFERROR(SUMMARY_ENGINE!N200,"—")</f>
        <v>—</v>
      </c>
    </row>
    <row r="209" ht="18.75" customHeight="1">
      <c r="A209" s="58" t="str">
        <f>IFERROR(IF(SUMMARY_ENGINE!A201="","",SUMMARY_ENGINE!A201),"")</f>
        <v/>
      </c>
      <c r="B209" s="59" t="str">
        <f>IFERROR(IF(SUMMARY_ENGINE!A201="","",SUMMARY_ENGINE!C201),"")</f>
        <v/>
      </c>
      <c r="C209" s="60">
        <f>IFERROR(SUMMARY_ENGINE!E201,0)</f>
        <v>0</v>
      </c>
      <c r="D209" s="60">
        <f>IFERROR(SUMMARY_ENGINE!F201,0)</f>
        <v>0</v>
      </c>
      <c r="E209" s="61">
        <f>IFERROR(SUMMARY_ENGINE!I201,0)</f>
        <v>0</v>
      </c>
      <c r="F209" s="62">
        <f>IFERROR(SUMMARY_ENGINE!H201,0)</f>
        <v>0</v>
      </c>
      <c r="G209" s="63">
        <f>IFERROR(SUMMARY_ENGINE!J201,0)</f>
        <v>0</v>
      </c>
      <c r="H209" s="64">
        <f>IFERROR(SUMMARY_ENGINE!K201,0)</f>
        <v>0</v>
      </c>
      <c r="I209" s="64">
        <f>IFERROR(SUMMARY_ENGINE!M201,0)</f>
        <v>0</v>
      </c>
      <c r="J209" s="65" t="str">
        <f>IFERROR(SUMMARY_ENGINE!N201,"—")</f>
        <v>—</v>
      </c>
    </row>
    <row r="210" ht="18.75" customHeight="1">
      <c r="A210" s="50" t="str">
        <f>IFERROR(IF(SUMMARY_ENGINE!A202="","",SUMMARY_ENGINE!A202),"")</f>
        <v/>
      </c>
      <c r="B210" s="51" t="str">
        <f>IFERROR(IF(SUMMARY_ENGINE!A202="","",SUMMARY_ENGINE!C202),"")</f>
        <v/>
      </c>
      <c r="C210" s="52">
        <f>IFERROR(SUMMARY_ENGINE!E202,0)</f>
        <v>0</v>
      </c>
      <c r="D210" s="52">
        <f>IFERROR(SUMMARY_ENGINE!F202,0)</f>
        <v>0</v>
      </c>
      <c r="E210" s="53">
        <f>IFERROR(SUMMARY_ENGINE!I202,0)</f>
        <v>0</v>
      </c>
      <c r="F210" s="54">
        <f>IFERROR(SUMMARY_ENGINE!H202,0)</f>
        <v>0</v>
      </c>
      <c r="G210" s="55">
        <f>IFERROR(SUMMARY_ENGINE!J202,0)</f>
        <v>0</v>
      </c>
      <c r="H210" s="56">
        <f>IFERROR(SUMMARY_ENGINE!K202,0)</f>
        <v>0</v>
      </c>
      <c r="I210" s="56">
        <f>IFERROR(SUMMARY_ENGINE!M202,0)</f>
        <v>0</v>
      </c>
      <c r="J210" s="57" t="str">
        <f>IFERROR(SUMMARY_ENGINE!N202,"—")</f>
        <v>—</v>
      </c>
    </row>
    <row r="211" ht="18.75" customHeight="1">
      <c r="A211" s="58" t="str">
        <f>IFERROR(IF(SUMMARY_ENGINE!A203="","",SUMMARY_ENGINE!A203),"")</f>
        <v/>
      </c>
      <c r="B211" s="59" t="str">
        <f>IFERROR(IF(SUMMARY_ENGINE!A203="","",SUMMARY_ENGINE!C203),"")</f>
        <v/>
      </c>
      <c r="C211" s="60">
        <f>IFERROR(SUMMARY_ENGINE!E203,0)</f>
        <v>0</v>
      </c>
      <c r="D211" s="60">
        <f>IFERROR(SUMMARY_ENGINE!F203,0)</f>
        <v>0</v>
      </c>
      <c r="E211" s="61">
        <f>IFERROR(SUMMARY_ENGINE!I203,0)</f>
        <v>0</v>
      </c>
      <c r="F211" s="62">
        <f>IFERROR(SUMMARY_ENGINE!H203,0)</f>
        <v>0</v>
      </c>
      <c r="G211" s="63">
        <f>IFERROR(SUMMARY_ENGINE!J203,0)</f>
        <v>0</v>
      </c>
      <c r="H211" s="64">
        <f>IFERROR(SUMMARY_ENGINE!K203,0)</f>
        <v>0</v>
      </c>
      <c r="I211" s="64">
        <f>IFERROR(SUMMARY_ENGINE!M203,0)</f>
        <v>0</v>
      </c>
      <c r="J211" s="65" t="str">
        <f>IFERROR(SUMMARY_ENGINE!N203,"—")</f>
        <v>—</v>
      </c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</row>
  </sheetData>
  <mergeCells count="46">
    <mergeCell ref="A6:B6"/>
    <mergeCell ref="A8:B8"/>
    <mergeCell ref="C8:D8"/>
    <mergeCell ref="E8:F8"/>
    <mergeCell ref="G8:H8"/>
    <mergeCell ref="I8:J8"/>
    <mergeCell ref="A9:B9"/>
    <mergeCell ref="A10:J10"/>
    <mergeCell ref="A52:J52"/>
    <mergeCell ref="A53:B53"/>
    <mergeCell ref="C53:D53"/>
    <mergeCell ref="E53:J53"/>
    <mergeCell ref="C54:D54"/>
    <mergeCell ref="E54:J54"/>
    <mergeCell ref="A1:J1"/>
    <mergeCell ref="A2:J2"/>
    <mergeCell ref="A3:J3"/>
    <mergeCell ref="C4:D4"/>
    <mergeCell ref="E4:F4"/>
    <mergeCell ref="G4:H4"/>
    <mergeCell ref="I4:J4"/>
    <mergeCell ref="C6:D6"/>
    <mergeCell ref="E6:F6"/>
    <mergeCell ref="G6:H6"/>
    <mergeCell ref="I6:J6"/>
    <mergeCell ref="A4:B4"/>
    <mergeCell ref="A5:B5"/>
    <mergeCell ref="C5:D5"/>
    <mergeCell ref="E5:F5"/>
    <mergeCell ref="G5:H5"/>
    <mergeCell ref="I5:J5"/>
    <mergeCell ref="A7:J7"/>
    <mergeCell ref="C9:D9"/>
    <mergeCell ref="E9:F9"/>
    <mergeCell ref="G9:H9"/>
    <mergeCell ref="I9:J9"/>
    <mergeCell ref="A57:B57"/>
    <mergeCell ref="C57:D57"/>
    <mergeCell ref="E57:J57"/>
    <mergeCell ref="A54:B54"/>
    <mergeCell ref="A55:B55"/>
    <mergeCell ref="C55:D55"/>
    <mergeCell ref="E55:J55"/>
    <mergeCell ref="A56:B56"/>
    <mergeCell ref="C56:D56"/>
    <mergeCell ref="E56:J56"/>
  </mergeCells>
  <conditionalFormatting sqref="J12:J211">
    <cfRule type="expression" dxfId="0" priority="1">
      <formula>J12="SOLD OUT"</formula>
    </cfRule>
  </conditionalFormatting>
  <conditionalFormatting sqref="J12:J211">
    <cfRule type="expression" dxfId="1" priority="2">
      <formula>J12="ON TRACK"</formula>
    </cfRule>
  </conditionalFormatting>
  <conditionalFormatting sqref="J12:J211">
    <cfRule type="expression" dxfId="2" priority="3">
      <formula>J12="BELUM TERJUAL"</formula>
    </cfRule>
  </conditionalFormatting>
  <conditionalFormatting sqref="J12:J211">
    <cfRule type="expression" dxfId="3" priority="4">
      <formula>J12="SLOW MOVE"</formula>
    </cfRule>
  </conditionalFormatting>
  <conditionalFormatting sqref="G12:G211">
    <cfRule type="expression" dxfId="4" priority="5">
      <formula>G12&gt;0</formula>
    </cfRule>
  </conditionalFormatting>
  <conditionalFormatting sqref="G12:G211">
    <cfRule type="expression" dxfId="5" priority="6">
      <formula>G12&lt;0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14"/>
    <col customWidth="1" min="2" max="2" width="25.0"/>
    <col customWidth="1" min="3" max="4" width="15.0"/>
    <col customWidth="1" min="5" max="5" width="20.0"/>
    <col customWidth="1" min="6" max="7" width="20.43"/>
    <col customWidth="1" min="8" max="8" width="25.14"/>
    <col customWidth="1" min="9" max="20" width="8.71"/>
  </cols>
  <sheetData>
    <row r="1" ht="36.0" customHeight="1">
      <c r="A1" s="1" t="s">
        <v>164</v>
      </c>
      <c r="B1" s="2"/>
      <c r="C1" s="2"/>
      <c r="D1" s="2"/>
      <c r="E1" s="2"/>
      <c r="F1" s="2"/>
      <c r="G1" s="2"/>
      <c r="H1" s="3"/>
    </row>
    <row r="2" ht="19.5" customHeight="1">
      <c r="A2" s="5" t="s">
        <v>165</v>
      </c>
      <c r="B2" s="2"/>
      <c r="C2" s="2"/>
      <c r="D2" s="2"/>
      <c r="E2" s="2"/>
      <c r="F2" s="2"/>
      <c r="G2" s="2"/>
      <c r="H2" s="3"/>
    </row>
    <row r="3" ht="27.75" customHeight="1">
      <c r="A3" s="71" t="s">
        <v>166</v>
      </c>
      <c r="B3" s="71" t="s">
        <v>167</v>
      </c>
      <c r="C3" s="71" t="s">
        <v>168</v>
      </c>
      <c r="D3" s="71" t="s">
        <v>169</v>
      </c>
      <c r="E3" s="71" t="s">
        <v>170</v>
      </c>
      <c r="F3" s="71" t="s">
        <v>171</v>
      </c>
      <c r="G3" s="71" t="s">
        <v>172</v>
      </c>
      <c r="H3" s="71" t="s">
        <v>173</v>
      </c>
    </row>
    <row r="4" ht="27.75" customHeight="1">
      <c r="A4" s="72" t="s">
        <v>174</v>
      </c>
      <c r="B4" s="73" t="s">
        <v>175</v>
      </c>
      <c r="C4" s="72" t="s">
        <v>176</v>
      </c>
      <c r="D4" s="73" t="s">
        <v>177</v>
      </c>
      <c r="E4" s="74">
        <v>185000.0</v>
      </c>
      <c r="F4" s="74">
        <v>350000.0</v>
      </c>
      <c r="G4" s="75">
        <f t="shared" ref="G4:G52" si="1">IFERROR(IF(AND(F4&gt;0,E4&gt;0),(F4-E4)/F4,IF(F4&gt;0,1,0)),0)</f>
        <v>0.4714285714</v>
      </c>
      <c r="H4" s="76" t="str">
        <f t="shared" ref="H4:H52" si="2">IFERROR(IF(B4&lt;&gt;"","Active","Inactive"),"")</f>
        <v>Active</v>
      </c>
    </row>
    <row r="5" ht="19.5" customHeight="1">
      <c r="A5" s="77" t="s">
        <v>178</v>
      </c>
      <c r="B5" s="78" t="s">
        <v>179</v>
      </c>
      <c r="C5" s="77" t="s">
        <v>180</v>
      </c>
      <c r="D5" s="78" t="s">
        <v>181</v>
      </c>
      <c r="E5" s="79">
        <v>220000.0</v>
      </c>
      <c r="F5" s="79">
        <v>450000.0</v>
      </c>
      <c r="G5" s="80">
        <f t="shared" si="1"/>
        <v>0.5111111111</v>
      </c>
      <c r="H5" s="81" t="str">
        <f t="shared" si="2"/>
        <v>Active</v>
      </c>
    </row>
    <row r="6" ht="19.5" customHeight="1">
      <c r="A6" s="72" t="s">
        <v>182</v>
      </c>
      <c r="B6" s="73" t="s">
        <v>183</v>
      </c>
      <c r="C6" s="72" t="s">
        <v>184</v>
      </c>
      <c r="D6" s="73" t="s">
        <v>185</v>
      </c>
      <c r="E6" s="74">
        <v>280000.0</v>
      </c>
      <c r="F6" s="74">
        <v>580000.0</v>
      </c>
      <c r="G6" s="75">
        <f t="shared" si="1"/>
        <v>0.5172413793</v>
      </c>
      <c r="H6" s="76" t="str">
        <f t="shared" si="2"/>
        <v>Active</v>
      </c>
    </row>
    <row r="7" ht="19.5" customHeight="1">
      <c r="A7" s="77" t="s">
        <v>186</v>
      </c>
      <c r="B7" s="78" t="s">
        <v>187</v>
      </c>
      <c r="C7" s="77" t="s">
        <v>188</v>
      </c>
      <c r="D7" s="78" t="s">
        <v>177</v>
      </c>
      <c r="E7" s="79">
        <v>110000.0</v>
      </c>
      <c r="F7" s="79">
        <v>225000.0</v>
      </c>
      <c r="G7" s="80">
        <f t="shared" si="1"/>
        <v>0.5111111111</v>
      </c>
      <c r="H7" s="81" t="str">
        <f t="shared" si="2"/>
        <v>Active</v>
      </c>
    </row>
    <row r="8" ht="19.5" customHeight="1">
      <c r="A8" s="72" t="s">
        <v>189</v>
      </c>
      <c r="B8" s="73" t="s">
        <v>190</v>
      </c>
      <c r="C8" s="72" t="s">
        <v>191</v>
      </c>
      <c r="D8" s="73" t="s">
        <v>177</v>
      </c>
      <c r="E8" s="74">
        <v>150000.0</v>
      </c>
      <c r="F8" s="74">
        <v>285000.0</v>
      </c>
      <c r="G8" s="75">
        <f t="shared" si="1"/>
        <v>0.4736842105</v>
      </c>
      <c r="H8" s="76" t="str">
        <f t="shared" si="2"/>
        <v>Active</v>
      </c>
    </row>
    <row r="9" ht="19.5" customHeight="1">
      <c r="A9" s="77" t="s">
        <v>192</v>
      </c>
      <c r="B9" s="78"/>
      <c r="C9" s="77"/>
      <c r="D9" s="78"/>
      <c r="E9" s="79"/>
      <c r="F9" s="79"/>
      <c r="G9" s="80">
        <f t="shared" si="1"/>
        <v>0</v>
      </c>
      <c r="H9" s="81" t="str">
        <f t="shared" si="2"/>
        <v>Inactive</v>
      </c>
    </row>
    <row r="10" ht="19.5" customHeight="1">
      <c r="A10" s="72" t="s">
        <v>193</v>
      </c>
      <c r="B10" s="73"/>
      <c r="C10" s="72"/>
      <c r="D10" s="73"/>
      <c r="E10" s="74"/>
      <c r="F10" s="74"/>
      <c r="G10" s="75">
        <f t="shared" si="1"/>
        <v>0</v>
      </c>
      <c r="H10" s="76" t="str">
        <f t="shared" si="2"/>
        <v>Inactive</v>
      </c>
    </row>
    <row r="11" ht="19.5" customHeight="1">
      <c r="A11" s="77" t="s">
        <v>194</v>
      </c>
      <c r="B11" s="78"/>
      <c r="C11" s="77"/>
      <c r="D11" s="78"/>
      <c r="E11" s="79"/>
      <c r="F11" s="79"/>
      <c r="G11" s="80">
        <f t="shared" si="1"/>
        <v>0</v>
      </c>
      <c r="H11" s="81" t="str">
        <f t="shared" si="2"/>
        <v>Inactive</v>
      </c>
    </row>
    <row r="12" ht="19.5" customHeight="1">
      <c r="A12" s="72" t="s">
        <v>195</v>
      </c>
      <c r="B12" s="73"/>
      <c r="C12" s="72"/>
      <c r="D12" s="73"/>
      <c r="E12" s="74"/>
      <c r="F12" s="74"/>
      <c r="G12" s="75">
        <f t="shared" si="1"/>
        <v>0</v>
      </c>
      <c r="H12" s="76" t="str">
        <f t="shared" si="2"/>
        <v>Inactive</v>
      </c>
    </row>
    <row r="13" ht="19.5" customHeight="1">
      <c r="A13" s="77" t="s">
        <v>196</v>
      </c>
      <c r="B13" s="78"/>
      <c r="C13" s="77"/>
      <c r="D13" s="78"/>
      <c r="E13" s="79"/>
      <c r="F13" s="79"/>
      <c r="G13" s="80">
        <f t="shared" si="1"/>
        <v>0</v>
      </c>
      <c r="H13" s="81" t="str">
        <f t="shared" si="2"/>
        <v>Inactive</v>
      </c>
    </row>
    <row r="14" ht="19.5" customHeight="1">
      <c r="A14" s="72" t="s">
        <v>197</v>
      </c>
      <c r="B14" s="73"/>
      <c r="C14" s="72"/>
      <c r="D14" s="73"/>
      <c r="E14" s="74"/>
      <c r="F14" s="74"/>
      <c r="G14" s="75">
        <f t="shared" si="1"/>
        <v>0</v>
      </c>
      <c r="H14" s="76" t="str">
        <f t="shared" si="2"/>
        <v>Inactive</v>
      </c>
    </row>
    <row r="15" ht="19.5" customHeight="1">
      <c r="A15" s="77" t="s">
        <v>198</v>
      </c>
      <c r="B15" s="78"/>
      <c r="C15" s="77"/>
      <c r="D15" s="78"/>
      <c r="E15" s="79"/>
      <c r="F15" s="79"/>
      <c r="G15" s="80">
        <f t="shared" si="1"/>
        <v>0</v>
      </c>
      <c r="H15" s="81" t="str">
        <f t="shared" si="2"/>
        <v>Inactive</v>
      </c>
    </row>
    <row r="16" ht="19.5" customHeight="1">
      <c r="A16" s="72" t="s">
        <v>199</v>
      </c>
      <c r="B16" s="73"/>
      <c r="C16" s="72"/>
      <c r="D16" s="73"/>
      <c r="E16" s="74"/>
      <c r="F16" s="74"/>
      <c r="G16" s="75">
        <f t="shared" si="1"/>
        <v>0</v>
      </c>
      <c r="H16" s="76" t="str">
        <f t="shared" si="2"/>
        <v>Inactive</v>
      </c>
    </row>
    <row r="17" ht="19.5" customHeight="1">
      <c r="A17" s="77" t="s">
        <v>200</v>
      </c>
      <c r="B17" s="78"/>
      <c r="C17" s="77"/>
      <c r="D17" s="78"/>
      <c r="E17" s="79"/>
      <c r="F17" s="79"/>
      <c r="G17" s="80">
        <f t="shared" si="1"/>
        <v>0</v>
      </c>
      <c r="H17" s="81" t="str">
        <f t="shared" si="2"/>
        <v>Inactive</v>
      </c>
    </row>
    <row r="18" ht="19.5" customHeight="1">
      <c r="A18" s="72" t="s">
        <v>201</v>
      </c>
      <c r="B18" s="73"/>
      <c r="C18" s="72"/>
      <c r="D18" s="73"/>
      <c r="E18" s="74"/>
      <c r="F18" s="74"/>
      <c r="G18" s="75">
        <f t="shared" si="1"/>
        <v>0</v>
      </c>
      <c r="H18" s="76" t="str">
        <f t="shared" si="2"/>
        <v>Inactive</v>
      </c>
    </row>
    <row r="19" ht="19.5" customHeight="1">
      <c r="A19" s="77" t="s">
        <v>202</v>
      </c>
      <c r="B19" s="78"/>
      <c r="C19" s="77"/>
      <c r="D19" s="78"/>
      <c r="E19" s="79"/>
      <c r="F19" s="79"/>
      <c r="G19" s="80">
        <f t="shared" si="1"/>
        <v>0</v>
      </c>
      <c r="H19" s="81" t="str">
        <f t="shared" si="2"/>
        <v>Inactive</v>
      </c>
    </row>
    <row r="20" ht="19.5" customHeight="1">
      <c r="A20" s="72" t="s">
        <v>203</v>
      </c>
      <c r="B20" s="73"/>
      <c r="C20" s="72"/>
      <c r="D20" s="73"/>
      <c r="E20" s="74"/>
      <c r="F20" s="74"/>
      <c r="G20" s="75">
        <f t="shared" si="1"/>
        <v>0</v>
      </c>
      <c r="H20" s="76" t="str">
        <f t="shared" si="2"/>
        <v>Inactive</v>
      </c>
    </row>
    <row r="21" ht="19.5" customHeight="1">
      <c r="A21" s="77" t="s">
        <v>204</v>
      </c>
      <c r="B21" s="78"/>
      <c r="C21" s="77"/>
      <c r="D21" s="78"/>
      <c r="E21" s="79"/>
      <c r="F21" s="79"/>
      <c r="G21" s="80">
        <f t="shared" si="1"/>
        <v>0</v>
      </c>
      <c r="H21" s="81" t="str">
        <f t="shared" si="2"/>
        <v>Inactive</v>
      </c>
    </row>
    <row r="22" ht="19.5" customHeight="1">
      <c r="A22" s="72" t="s">
        <v>205</v>
      </c>
      <c r="B22" s="73"/>
      <c r="C22" s="72"/>
      <c r="D22" s="73"/>
      <c r="E22" s="74"/>
      <c r="F22" s="74"/>
      <c r="G22" s="75">
        <f t="shared" si="1"/>
        <v>0</v>
      </c>
      <c r="H22" s="76" t="str">
        <f t="shared" si="2"/>
        <v>Inactive</v>
      </c>
    </row>
    <row r="23" ht="19.5" customHeight="1">
      <c r="A23" s="77" t="s">
        <v>206</v>
      </c>
      <c r="B23" s="78"/>
      <c r="C23" s="77"/>
      <c r="D23" s="78"/>
      <c r="E23" s="79"/>
      <c r="F23" s="79"/>
      <c r="G23" s="80">
        <f t="shared" si="1"/>
        <v>0</v>
      </c>
      <c r="H23" s="81" t="str">
        <f t="shared" si="2"/>
        <v>Inactive</v>
      </c>
    </row>
    <row r="24" ht="19.5" customHeight="1">
      <c r="A24" s="72" t="s">
        <v>207</v>
      </c>
      <c r="B24" s="73"/>
      <c r="C24" s="72"/>
      <c r="D24" s="73"/>
      <c r="E24" s="74"/>
      <c r="F24" s="74"/>
      <c r="G24" s="75">
        <f t="shared" si="1"/>
        <v>0</v>
      </c>
      <c r="H24" s="76" t="str">
        <f t="shared" si="2"/>
        <v>Inactive</v>
      </c>
    </row>
    <row r="25" ht="19.5" customHeight="1">
      <c r="A25" s="77" t="s">
        <v>208</v>
      </c>
      <c r="B25" s="78"/>
      <c r="C25" s="77"/>
      <c r="D25" s="78"/>
      <c r="E25" s="79"/>
      <c r="F25" s="79"/>
      <c r="G25" s="80">
        <f t="shared" si="1"/>
        <v>0</v>
      </c>
      <c r="H25" s="81" t="str">
        <f t="shared" si="2"/>
        <v>Inactive</v>
      </c>
    </row>
    <row r="26" ht="19.5" customHeight="1">
      <c r="A26" s="72" t="s">
        <v>209</v>
      </c>
      <c r="B26" s="73"/>
      <c r="C26" s="72"/>
      <c r="D26" s="73"/>
      <c r="E26" s="74"/>
      <c r="F26" s="74"/>
      <c r="G26" s="75">
        <f t="shared" si="1"/>
        <v>0</v>
      </c>
      <c r="H26" s="76" t="str">
        <f t="shared" si="2"/>
        <v>Inactive</v>
      </c>
    </row>
    <row r="27" ht="19.5" customHeight="1">
      <c r="A27" s="77" t="s">
        <v>210</v>
      </c>
      <c r="B27" s="78"/>
      <c r="C27" s="77"/>
      <c r="D27" s="78"/>
      <c r="E27" s="79"/>
      <c r="F27" s="79"/>
      <c r="G27" s="80">
        <f t="shared" si="1"/>
        <v>0</v>
      </c>
      <c r="H27" s="81" t="str">
        <f t="shared" si="2"/>
        <v>Inactive</v>
      </c>
    </row>
    <row r="28" ht="19.5" customHeight="1">
      <c r="A28" s="72" t="s">
        <v>211</v>
      </c>
      <c r="B28" s="73"/>
      <c r="C28" s="72"/>
      <c r="D28" s="73"/>
      <c r="E28" s="74"/>
      <c r="F28" s="74"/>
      <c r="G28" s="75">
        <f t="shared" si="1"/>
        <v>0</v>
      </c>
      <c r="H28" s="76" t="str">
        <f t="shared" si="2"/>
        <v>Inactive</v>
      </c>
    </row>
    <row r="29" ht="19.5" customHeight="1">
      <c r="A29" s="77" t="s">
        <v>212</v>
      </c>
      <c r="B29" s="78"/>
      <c r="C29" s="77"/>
      <c r="D29" s="78"/>
      <c r="E29" s="79"/>
      <c r="F29" s="79"/>
      <c r="G29" s="80">
        <f t="shared" si="1"/>
        <v>0</v>
      </c>
      <c r="H29" s="81" t="str">
        <f t="shared" si="2"/>
        <v>Inactive</v>
      </c>
    </row>
    <row r="30" ht="19.5" customHeight="1">
      <c r="A30" s="72" t="s">
        <v>213</v>
      </c>
      <c r="B30" s="73"/>
      <c r="C30" s="72"/>
      <c r="D30" s="73"/>
      <c r="E30" s="74"/>
      <c r="F30" s="74"/>
      <c r="G30" s="75">
        <f t="shared" si="1"/>
        <v>0</v>
      </c>
      <c r="H30" s="76" t="str">
        <f t="shared" si="2"/>
        <v>Inactive</v>
      </c>
    </row>
    <row r="31" ht="19.5" customHeight="1">
      <c r="A31" s="77" t="s">
        <v>214</v>
      </c>
      <c r="B31" s="78"/>
      <c r="C31" s="77"/>
      <c r="D31" s="78"/>
      <c r="E31" s="79"/>
      <c r="F31" s="79"/>
      <c r="G31" s="80">
        <f t="shared" si="1"/>
        <v>0</v>
      </c>
      <c r="H31" s="81" t="str">
        <f t="shared" si="2"/>
        <v>Inactive</v>
      </c>
    </row>
    <row r="32" ht="19.5" customHeight="1">
      <c r="A32" s="72" t="s">
        <v>215</v>
      </c>
      <c r="B32" s="73"/>
      <c r="C32" s="72"/>
      <c r="D32" s="73"/>
      <c r="E32" s="74"/>
      <c r="F32" s="74"/>
      <c r="G32" s="75">
        <f t="shared" si="1"/>
        <v>0</v>
      </c>
      <c r="H32" s="76" t="str">
        <f t="shared" si="2"/>
        <v>Inactive</v>
      </c>
    </row>
    <row r="33" ht="19.5" customHeight="1">
      <c r="A33" s="77" t="s">
        <v>216</v>
      </c>
      <c r="B33" s="78"/>
      <c r="C33" s="77"/>
      <c r="D33" s="78"/>
      <c r="E33" s="79"/>
      <c r="F33" s="79"/>
      <c r="G33" s="80">
        <f t="shared" si="1"/>
        <v>0</v>
      </c>
      <c r="H33" s="81" t="str">
        <f t="shared" si="2"/>
        <v>Inactive</v>
      </c>
    </row>
    <row r="34" ht="19.5" customHeight="1">
      <c r="A34" s="72" t="s">
        <v>217</v>
      </c>
      <c r="B34" s="73"/>
      <c r="C34" s="72"/>
      <c r="D34" s="73"/>
      <c r="E34" s="74"/>
      <c r="F34" s="74"/>
      <c r="G34" s="75">
        <f t="shared" si="1"/>
        <v>0</v>
      </c>
      <c r="H34" s="76" t="str">
        <f t="shared" si="2"/>
        <v>Inactive</v>
      </c>
    </row>
    <row r="35" ht="19.5" customHeight="1">
      <c r="A35" s="77" t="s">
        <v>218</v>
      </c>
      <c r="B35" s="78"/>
      <c r="C35" s="77"/>
      <c r="D35" s="78"/>
      <c r="E35" s="79"/>
      <c r="F35" s="79"/>
      <c r="G35" s="80">
        <f t="shared" si="1"/>
        <v>0</v>
      </c>
      <c r="H35" s="81" t="str">
        <f t="shared" si="2"/>
        <v>Inactive</v>
      </c>
    </row>
    <row r="36" ht="19.5" customHeight="1">
      <c r="A36" s="72" t="s">
        <v>219</v>
      </c>
      <c r="B36" s="73"/>
      <c r="C36" s="72"/>
      <c r="D36" s="73"/>
      <c r="E36" s="74"/>
      <c r="F36" s="74"/>
      <c r="G36" s="75">
        <f t="shared" si="1"/>
        <v>0</v>
      </c>
      <c r="H36" s="76" t="str">
        <f t="shared" si="2"/>
        <v>Inactive</v>
      </c>
    </row>
    <row r="37" ht="19.5" customHeight="1">
      <c r="A37" s="77" t="s">
        <v>220</v>
      </c>
      <c r="B37" s="78"/>
      <c r="C37" s="77"/>
      <c r="D37" s="78"/>
      <c r="E37" s="79"/>
      <c r="F37" s="79"/>
      <c r="G37" s="80">
        <f t="shared" si="1"/>
        <v>0</v>
      </c>
      <c r="H37" s="81" t="str">
        <f t="shared" si="2"/>
        <v>Inactive</v>
      </c>
    </row>
    <row r="38" ht="19.5" customHeight="1">
      <c r="A38" s="72" t="s">
        <v>221</v>
      </c>
      <c r="B38" s="73"/>
      <c r="C38" s="72"/>
      <c r="D38" s="73"/>
      <c r="E38" s="74"/>
      <c r="F38" s="74"/>
      <c r="G38" s="75">
        <f t="shared" si="1"/>
        <v>0</v>
      </c>
      <c r="H38" s="76" t="str">
        <f t="shared" si="2"/>
        <v>Inactive</v>
      </c>
    </row>
    <row r="39" ht="19.5" customHeight="1">
      <c r="A39" s="77" t="s">
        <v>222</v>
      </c>
      <c r="B39" s="78"/>
      <c r="C39" s="77"/>
      <c r="D39" s="78"/>
      <c r="E39" s="79"/>
      <c r="F39" s="79"/>
      <c r="G39" s="80">
        <f t="shared" si="1"/>
        <v>0</v>
      </c>
      <c r="H39" s="81" t="str">
        <f t="shared" si="2"/>
        <v>Inactive</v>
      </c>
    </row>
    <row r="40" ht="19.5" customHeight="1">
      <c r="A40" s="72" t="s">
        <v>223</v>
      </c>
      <c r="B40" s="73"/>
      <c r="C40" s="72"/>
      <c r="D40" s="73"/>
      <c r="E40" s="74"/>
      <c r="F40" s="74"/>
      <c r="G40" s="75">
        <f t="shared" si="1"/>
        <v>0</v>
      </c>
      <c r="H40" s="76" t="str">
        <f t="shared" si="2"/>
        <v>Inactive</v>
      </c>
    </row>
    <row r="41" ht="19.5" customHeight="1">
      <c r="A41" s="77" t="s">
        <v>224</v>
      </c>
      <c r="B41" s="78"/>
      <c r="C41" s="77"/>
      <c r="D41" s="78"/>
      <c r="E41" s="79"/>
      <c r="F41" s="79"/>
      <c r="G41" s="80">
        <f t="shared" si="1"/>
        <v>0</v>
      </c>
      <c r="H41" s="81" t="str">
        <f t="shared" si="2"/>
        <v>Inactive</v>
      </c>
    </row>
    <row r="42" ht="19.5" customHeight="1">
      <c r="A42" s="72" t="s">
        <v>225</v>
      </c>
      <c r="B42" s="73"/>
      <c r="C42" s="72"/>
      <c r="D42" s="73"/>
      <c r="E42" s="74"/>
      <c r="F42" s="74"/>
      <c r="G42" s="75">
        <f t="shared" si="1"/>
        <v>0</v>
      </c>
      <c r="H42" s="76" t="str">
        <f t="shared" si="2"/>
        <v>Inactive</v>
      </c>
    </row>
    <row r="43" ht="19.5" customHeight="1">
      <c r="A43" s="77" t="s">
        <v>226</v>
      </c>
      <c r="B43" s="78"/>
      <c r="C43" s="77"/>
      <c r="D43" s="78"/>
      <c r="E43" s="79"/>
      <c r="F43" s="79"/>
      <c r="G43" s="80">
        <f t="shared" si="1"/>
        <v>0</v>
      </c>
      <c r="H43" s="81" t="str">
        <f t="shared" si="2"/>
        <v>Inactive</v>
      </c>
    </row>
    <row r="44" ht="19.5" customHeight="1">
      <c r="A44" s="72" t="s">
        <v>227</v>
      </c>
      <c r="B44" s="73"/>
      <c r="C44" s="72"/>
      <c r="D44" s="73"/>
      <c r="E44" s="74"/>
      <c r="F44" s="74"/>
      <c r="G44" s="75">
        <f t="shared" si="1"/>
        <v>0</v>
      </c>
      <c r="H44" s="76" t="str">
        <f t="shared" si="2"/>
        <v>Inactive</v>
      </c>
    </row>
    <row r="45" ht="19.5" customHeight="1">
      <c r="A45" s="77" t="s">
        <v>228</v>
      </c>
      <c r="B45" s="78"/>
      <c r="C45" s="77"/>
      <c r="D45" s="78"/>
      <c r="E45" s="79"/>
      <c r="F45" s="79"/>
      <c r="G45" s="80">
        <f t="shared" si="1"/>
        <v>0</v>
      </c>
      <c r="H45" s="81" t="str">
        <f t="shared" si="2"/>
        <v>Inactive</v>
      </c>
    </row>
    <row r="46" ht="19.5" customHeight="1">
      <c r="A46" s="72" t="s">
        <v>229</v>
      </c>
      <c r="B46" s="73"/>
      <c r="C46" s="72"/>
      <c r="D46" s="73"/>
      <c r="E46" s="74"/>
      <c r="F46" s="74"/>
      <c r="G46" s="75">
        <f t="shared" si="1"/>
        <v>0</v>
      </c>
      <c r="H46" s="76" t="str">
        <f t="shared" si="2"/>
        <v>Inactive</v>
      </c>
    </row>
    <row r="47" ht="19.5" customHeight="1">
      <c r="A47" s="77" t="s">
        <v>230</v>
      </c>
      <c r="B47" s="78"/>
      <c r="C47" s="77"/>
      <c r="D47" s="78"/>
      <c r="E47" s="79"/>
      <c r="F47" s="79"/>
      <c r="G47" s="80">
        <f t="shared" si="1"/>
        <v>0</v>
      </c>
      <c r="H47" s="81" t="str">
        <f t="shared" si="2"/>
        <v>Inactive</v>
      </c>
    </row>
    <row r="48" ht="19.5" customHeight="1">
      <c r="A48" s="72" t="s">
        <v>231</v>
      </c>
      <c r="B48" s="73"/>
      <c r="C48" s="72"/>
      <c r="D48" s="73"/>
      <c r="E48" s="74"/>
      <c r="F48" s="74"/>
      <c r="G48" s="75">
        <f t="shared" si="1"/>
        <v>0</v>
      </c>
      <c r="H48" s="76" t="str">
        <f t="shared" si="2"/>
        <v>Inactive</v>
      </c>
    </row>
    <row r="49" ht="19.5" customHeight="1">
      <c r="A49" s="77" t="s">
        <v>232</v>
      </c>
      <c r="B49" s="78"/>
      <c r="C49" s="77"/>
      <c r="D49" s="78"/>
      <c r="E49" s="79"/>
      <c r="F49" s="79"/>
      <c r="G49" s="80">
        <f t="shared" si="1"/>
        <v>0</v>
      </c>
      <c r="H49" s="81" t="str">
        <f t="shared" si="2"/>
        <v>Inactive</v>
      </c>
    </row>
    <row r="50" ht="19.5" customHeight="1">
      <c r="A50" s="72" t="s">
        <v>233</v>
      </c>
      <c r="B50" s="73"/>
      <c r="C50" s="72"/>
      <c r="D50" s="73"/>
      <c r="E50" s="74"/>
      <c r="F50" s="74"/>
      <c r="G50" s="75">
        <f t="shared" si="1"/>
        <v>0</v>
      </c>
      <c r="H50" s="76" t="str">
        <f t="shared" si="2"/>
        <v>Inactive</v>
      </c>
    </row>
    <row r="51" ht="19.5" customHeight="1">
      <c r="A51" s="77" t="s">
        <v>234</v>
      </c>
      <c r="B51" s="78"/>
      <c r="C51" s="77"/>
      <c r="D51" s="78"/>
      <c r="E51" s="79"/>
      <c r="F51" s="79"/>
      <c r="G51" s="80">
        <f t="shared" si="1"/>
        <v>0</v>
      </c>
      <c r="H51" s="81" t="str">
        <f t="shared" si="2"/>
        <v>Inactive</v>
      </c>
    </row>
    <row r="52" ht="19.5" customHeight="1">
      <c r="A52" s="72" t="s">
        <v>235</v>
      </c>
      <c r="B52" s="73"/>
      <c r="C52" s="72"/>
      <c r="D52" s="73"/>
      <c r="E52" s="74"/>
      <c r="F52" s="74"/>
      <c r="G52" s="75">
        <f t="shared" si="1"/>
        <v>0</v>
      </c>
      <c r="H52" s="76" t="str">
        <f t="shared" si="2"/>
        <v>Inactive</v>
      </c>
    </row>
    <row r="53" ht="15.75" customHeight="1">
      <c r="A53" s="30"/>
      <c r="B53" s="30"/>
      <c r="C53" s="30"/>
      <c r="D53" s="82"/>
      <c r="E53" s="30"/>
      <c r="F53" s="30"/>
      <c r="G53" s="30"/>
      <c r="H53" s="30"/>
    </row>
    <row r="54" ht="15.75" customHeight="1">
      <c r="A54" s="30"/>
      <c r="B54" s="30"/>
      <c r="C54" s="30"/>
      <c r="D54" s="82"/>
      <c r="E54" s="30"/>
      <c r="F54" s="30"/>
      <c r="G54" s="30"/>
      <c r="H54" s="30"/>
    </row>
    <row r="55" ht="15.75" customHeight="1">
      <c r="A55" s="30"/>
      <c r="B55" s="30"/>
      <c r="C55" s="30"/>
      <c r="D55" s="82"/>
      <c r="E55" s="30"/>
      <c r="F55" s="30"/>
      <c r="G55" s="30"/>
      <c r="H55" s="30"/>
    </row>
    <row r="56" ht="15.75" customHeight="1">
      <c r="A56" s="30"/>
      <c r="B56" s="30"/>
      <c r="C56" s="30"/>
      <c r="D56" s="82"/>
      <c r="E56" s="30"/>
      <c r="F56" s="30"/>
      <c r="G56" s="30"/>
      <c r="H56" s="30"/>
    </row>
    <row r="57" ht="15.75" customHeight="1">
      <c r="A57" s="30"/>
      <c r="B57" s="30"/>
      <c r="C57" s="30"/>
      <c r="D57" s="82"/>
      <c r="E57" s="30"/>
      <c r="F57" s="30"/>
      <c r="G57" s="30"/>
      <c r="H57" s="30"/>
    </row>
    <row r="58" ht="15.75" customHeight="1">
      <c r="A58" s="30"/>
      <c r="B58" s="30"/>
      <c r="C58" s="30"/>
      <c r="D58" s="82"/>
      <c r="E58" s="30"/>
      <c r="F58" s="30"/>
      <c r="G58" s="30"/>
      <c r="H58" s="30"/>
    </row>
    <row r="59" ht="15.75" customHeight="1">
      <c r="A59" s="30"/>
      <c r="B59" s="30"/>
      <c r="C59" s="30"/>
      <c r="D59" s="82"/>
      <c r="E59" s="30"/>
      <c r="F59" s="30"/>
      <c r="G59" s="30"/>
      <c r="H59" s="30"/>
    </row>
    <row r="60" ht="15.75" customHeight="1">
      <c r="A60" s="30"/>
      <c r="B60" s="30"/>
      <c r="C60" s="30"/>
      <c r="D60" s="82"/>
      <c r="E60" s="30"/>
      <c r="F60" s="30"/>
      <c r="G60" s="30"/>
      <c r="H60" s="30"/>
    </row>
    <row r="61" ht="15.75" customHeight="1">
      <c r="A61" s="30"/>
      <c r="B61" s="30"/>
      <c r="C61" s="30"/>
      <c r="D61" s="82"/>
      <c r="E61" s="30"/>
      <c r="F61" s="30"/>
      <c r="G61" s="30"/>
      <c r="H61" s="30"/>
    </row>
    <row r="62" ht="15.75" customHeight="1">
      <c r="A62" s="30"/>
      <c r="B62" s="30"/>
      <c r="C62" s="30"/>
      <c r="D62" s="82"/>
      <c r="E62" s="30"/>
      <c r="F62" s="30"/>
      <c r="G62" s="30"/>
      <c r="H62" s="30"/>
    </row>
    <row r="63" ht="15.75" customHeight="1">
      <c r="A63" s="30"/>
      <c r="B63" s="30"/>
      <c r="C63" s="30"/>
      <c r="D63" s="82"/>
      <c r="E63" s="30"/>
      <c r="F63" s="30"/>
      <c r="G63" s="30"/>
      <c r="H63" s="30"/>
    </row>
    <row r="64" ht="15.75" customHeight="1">
      <c r="A64" s="30"/>
      <c r="B64" s="30"/>
      <c r="C64" s="30"/>
      <c r="D64" s="82"/>
      <c r="E64" s="30"/>
      <c r="F64" s="30"/>
      <c r="G64" s="30"/>
      <c r="H64" s="30"/>
    </row>
    <row r="65" ht="15.75" customHeight="1">
      <c r="A65" s="30"/>
      <c r="B65" s="30"/>
      <c r="C65" s="30"/>
      <c r="D65" s="82"/>
      <c r="E65" s="30"/>
      <c r="F65" s="30"/>
      <c r="G65" s="30"/>
      <c r="H65" s="30"/>
    </row>
    <row r="66" ht="15.75" customHeight="1">
      <c r="A66" s="30"/>
      <c r="B66" s="30"/>
      <c r="C66" s="30"/>
      <c r="D66" s="82"/>
      <c r="E66" s="30"/>
      <c r="F66" s="30"/>
      <c r="G66" s="30"/>
      <c r="H66" s="30"/>
    </row>
    <row r="67" ht="15.75" customHeight="1">
      <c r="A67" s="30"/>
      <c r="B67" s="30"/>
      <c r="C67" s="30"/>
      <c r="D67" s="82"/>
      <c r="E67" s="30"/>
      <c r="F67" s="30"/>
      <c r="G67" s="30"/>
      <c r="H67" s="30"/>
    </row>
    <row r="68" ht="15.75" customHeight="1">
      <c r="A68" s="30"/>
      <c r="B68" s="30"/>
      <c r="C68" s="30"/>
      <c r="D68" s="82"/>
      <c r="E68" s="30"/>
      <c r="F68" s="30"/>
      <c r="G68" s="30"/>
      <c r="H68" s="30"/>
    </row>
    <row r="69" ht="15.75" customHeight="1">
      <c r="A69" s="30"/>
      <c r="B69" s="30"/>
      <c r="C69" s="30"/>
      <c r="D69" s="82"/>
      <c r="E69" s="30"/>
      <c r="F69" s="30"/>
      <c r="G69" s="30"/>
      <c r="H69" s="30"/>
    </row>
    <row r="70" ht="15.75" customHeight="1">
      <c r="A70" s="30"/>
      <c r="B70" s="30"/>
      <c r="C70" s="30"/>
      <c r="D70" s="82"/>
      <c r="E70" s="30"/>
      <c r="F70" s="30"/>
      <c r="G70" s="30"/>
      <c r="H70" s="30"/>
    </row>
    <row r="71" ht="15.75" customHeight="1">
      <c r="A71" s="30"/>
      <c r="B71" s="30"/>
      <c r="C71" s="30"/>
      <c r="D71" s="82"/>
      <c r="E71" s="30"/>
      <c r="F71" s="30"/>
      <c r="G71" s="30"/>
      <c r="H71" s="30"/>
    </row>
    <row r="72" ht="15.75" customHeight="1">
      <c r="A72" s="30"/>
      <c r="B72" s="30"/>
      <c r="C72" s="30"/>
      <c r="D72" s="82"/>
      <c r="E72" s="30"/>
      <c r="F72" s="30"/>
      <c r="G72" s="30"/>
      <c r="H72" s="30"/>
    </row>
    <row r="73" ht="15.75" customHeight="1">
      <c r="A73" s="30"/>
      <c r="B73" s="30"/>
      <c r="C73" s="30"/>
      <c r="D73" s="82"/>
      <c r="E73" s="30"/>
      <c r="F73" s="30"/>
      <c r="G73" s="30"/>
      <c r="H73" s="30"/>
    </row>
    <row r="74" ht="15.75" customHeight="1">
      <c r="A74" s="30"/>
      <c r="B74" s="30"/>
      <c r="C74" s="30"/>
      <c r="D74" s="82"/>
      <c r="E74" s="30"/>
      <c r="F74" s="30"/>
      <c r="G74" s="30"/>
      <c r="H74" s="30"/>
    </row>
    <row r="75" ht="15.75" customHeight="1">
      <c r="A75" s="30"/>
      <c r="B75" s="30"/>
      <c r="C75" s="30"/>
      <c r="D75" s="82"/>
      <c r="E75" s="30"/>
      <c r="F75" s="30"/>
      <c r="G75" s="30"/>
      <c r="H75" s="30"/>
    </row>
    <row r="76" ht="15.75" customHeight="1">
      <c r="A76" s="30"/>
      <c r="B76" s="30"/>
      <c r="C76" s="30"/>
      <c r="D76" s="82"/>
      <c r="E76" s="30"/>
      <c r="F76" s="30"/>
      <c r="G76" s="30"/>
      <c r="H76" s="30"/>
    </row>
    <row r="77" ht="15.75" customHeight="1">
      <c r="A77" s="30"/>
      <c r="B77" s="30"/>
      <c r="C77" s="30"/>
      <c r="D77" s="82"/>
      <c r="E77" s="30"/>
      <c r="F77" s="30"/>
      <c r="G77" s="30"/>
      <c r="H77" s="30"/>
    </row>
    <row r="78" ht="15.75" customHeight="1">
      <c r="A78" s="30"/>
      <c r="B78" s="30"/>
      <c r="C78" s="30"/>
      <c r="D78" s="82"/>
      <c r="E78" s="30"/>
      <c r="F78" s="30"/>
      <c r="G78" s="30"/>
      <c r="H78" s="30"/>
    </row>
    <row r="79" ht="15.75" customHeight="1">
      <c r="A79" s="30"/>
      <c r="B79" s="30"/>
      <c r="C79" s="30"/>
      <c r="D79" s="82"/>
      <c r="E79" s="30"/>
      <c r="F79" s="30"/>
      <c r="G79" s="30"/>
      <c r="H79" s="30"/>
    </row>
    <row r="80" ht="15.75" customHeight="1">
      <c r="A80" s="30"/>
      <c r="B80" s="30"/>
      <c r="C80" s="30"/>
      <c r="D80" s="82"/>
      <c r="E80" s="30"/>
      <c r="F80" s="30"/>
      <c r="G80" s="30"/>
      <c r="H80" s="30"/>
    </row>
    <row r="81" ht="15.75" customHeight="1">
      <c r="A81" s="30"/>
      <c r="B81" s="30"/>
      <c r="C81" s="30"/>
      <c r="D81" s="82"/>
      <c r="E81" s="30"/>
      <c r="F81" s="30"/>
      <c r="G81" s="30"/>
      <c r="H81" s="30"/>
    </row>
    <row r="82" ht="15.75" customHeight="1">
      <c r="A82" s="30"/>
      <c r="B82" s="30"/>
      <c r="C82" s="30"/>
      <c r="D82" s="82"/>
      <c r="E82" s="30"/>
      <c r="F82" s="30"/>
      <c r="G82" s="30"/>
      <c r="H82" s="30"/>
    </row>
    <row r="83" ht="15.75" customHeight="1">
      <c r="A83" s="30"/>
      <c r="B83" s="30"/>
      <c r="C83" s="30"/>
      <c r="D83" s="82"/>
      <c r="E83" s="30"/>
      <c r="F83" s="30"/>
      <c r="G83" s="30"/>
      <c r="H83" s="30"/>
    </row>
    <row r="84" ht="15.75" customHeight="1">
      <c r="A84" s="30"/>
      <c r="B84" s="30"/>
      <c r="C84" s="30"/>
      <c r="D84" s="82"/>
      <c r="E84" s="30"/>
      <c r="F84" s="30"/>
      <c r="G84" s="30"/>
      <c r="H84" s="30"/>
    </row>
    <row r="85" ht="15.75" customHeight="1">
      <c r="A85" s="30"/>
      <c r="B85" s="30"/>
      <c r="C85" s="30"/>
      <c r="D85" s="82"/>
      <c r="E85" s="30"/>
      <c r="F85" s="30"/>
      <c r="G85" s="30"/>
      <c r="H85" s="30"/>
    </row>
    <row r="86" ht="15.75" customHeight="1">
      <c r="A86" s="30"/>
      <c r="B86" s="30"/>
      <c r="C86" s="30"/>
      <c r="D86" s="82"/>
      <c r="E86" s="30"/>
      <c r="F86" s="30"/>
      <c r="G86" s="30"/>
      <c r="H86" s="30"/>
    </row>
    <row r="87" ht="15.75" customHeight="1">
      <c r="A87" s="30"/>
      <c r="B87" s="30"/>
      <c r="C87" s="30"/>
      <c r="D87" s="82"/>
      <c r="E87" s="30"/>
      <c r="F87" s="30"/>
      <c r="G87" s="30"/>
      <c r="H87" s="30"/>
    </row>
    <row r="88" ht="15.75" customHeight="1">
      <c r="A88" s="30"/>
      <c r="B88" s="30"/>
      <c r="C88" s="30"/>
      <c r="D88" s="82"/>
      <c r="E88" s="30"/>
      <c r="F88" s="30"/>
      <c r="G88" s="30"/>
      <c r="H88" s="30"/>
    </row>
    <row r="89" ht="15.75" customHeight="1">
      <c r="A89" s="30"/>
      <c r="B89" s="30"/>
      <c r="C89" s="30"/>
      <c r="D89" s="82"/>
      <c r="E89" s="30"/>
      <c r="F89" s="30"/>
      <c r="G89" s="30"/>
      <c r="H89" s="30"/>
    </row>
    <row r="90" ht="15.75" customHeight="1">
      <c r="A90" s="30"/>
      <c r="B90" s="30"/>
      <c r="C90" s="30"/>
      <c r="D90" s="82"/>
      <c r="E90" s="30"/>
      <c r="F90" s="30"/>
      <c r="G90" s="30"/>
      <c r="H90" s="30"/>
    </row>
    <row r="91" ht="15.75" customHeight="1">
      <c r="A91" s="30"/>
      <c r="B91" s="30"/>
      <c r="C91" s="30"/>
      <c r="D91" s="82"/>
      <c r="E91" s="30"/>
      <c r="F91" s="30"/>
      <c r="G91" s="30"/>
      <c r="H91" s="30"/>
    </row>
    <row r="92" ht="15.75" customHeight="1">
      <c r="A92" s="30"/>
      <c r="B92" s="30"/>
      <c r="C92" s="30"/>
      <c r="D92" s="82"/>
      <c r="E92" s="30"/>
      <c r="F92" s="30"/>
      <c r="G92" s="30"/>
      <c r="H92" s="30"/>
    </row>
    <row r="93" ht="15.75" customHeight="1">
      <c r="A93" s="30"/>
      <c r="B93" s="30"/>
      <c r="C93" s="30"/>
      <c r="D93" s="82"/>
      <c r="E93" s="30"/>
      <c r="F93" s="30"/>
      <c r="G93" s="30"/>
      <c r="H93" s="30"/>
    </row>
    <row r="94" ht="15.75" customHeight="1">
      <c r="A94" s="30"/>
      <c r="B94" s="30"/>
      <c r="C94" s="30"/>
      <c r="D94" s="82"/>
      <c r="E94" s="30"/>
      <c r="F94" s="30"/>
      <c r="G94" s="30"/>
      <c r="H94" s="30"/>
    </row>
    <row r="95" ht="15.75" customHeight="1">
      <c r="A95" s="30"/>
      <c r="B95" s="30"/>
      <c r="C95" s="30"/>
      <c r="D95" s="82"/>
      <c r="E95" s="30"/>
      <c r="F95" s="30"/>
      <c r="G95" s="30"/>
      <c r="H95" s="30"/>
    </row>
    <row r="96" ht="15.75" customHeight="1">
      <c r="A96" s="30"/>
      <c r="B96" s="30"/>
      <c r="C96" s="30"/>
      <c r="D96" s="82"/>
      <c r="E96" s="30"/>
      <c r="F96" s="30"/>
      <c r="G96" s="30"/>
      <c r="H96" s="30"/>
    </row>
    <row r="97" ht="15.75" customHeight="1">
      <c r="A97" s="30"/>
      <c r="B97" s="30"/>
      <c r="C97" s="30"/>
      <c r="D97" s="82"/>
      <c r="E97" s="30"/>
      <c r="F97" s="30"/>
      <c r="G97" s="30"/>
      <c r="H97" s="30"/>
    </row>
    <row r="98" ht="15.75" customHeight="1">
      <c r="A98" s="30"/>
      <c r="B98" s="30"/>
      <c r="C98" s="30"/>
      <c r="D98" s="82"/>
      <c r="E98" s="30"/>
      <c r="F98" s="30"/>
      <c r="G98" s="30"/>
      <c r="H98" s="30"/>
    </row>
    <row r="99" ht="15.75" customHeight="1">
      <c r="A99" s="30"/>
      <c r="B99" s="30"/>
      <c r="C99" s="30"/>
      <c r="D99" s="82"/>
      <c r="E99" s="30"/>
      <c r="F99" s="30"/>
      <c r="G99" s="30"/>
      <c r="H99" s="30"/>
    </row>
    <row r="100" ht="15.75" customHeight="1">
      <c r="A100" s="30"/>
      <c r="B100" s="30"/>
      <c r="C100" s="30"/>
      <c r="D100" s="82"/>
      <c r="E100" s="30"/>
      <c r="F100" s="30"/>
      <c r="G100" s="30"/>
      <c r="H100" s="30"/>
    </row>
    <row r="101" ht="15.75" customHeight="1">
      <c r="A101" s="30"/>
      <c r="B101" s="30"/>
      <c r="C101" s="30"/>
      <c r="D101" s="82"/>
      <c r="E101" s="30"/>
      <c r="F101" s="30"/>
      <c r="G101" s="30"/>
      <c r="H101" s="30"/>
    </row>
    <row r="102" ht="15.75" customHeight="1">
      <c r="A102" s="30"/>
      <c r="B102" s="30"/>
      <c r="C102" s="30"/>
      <c r="D102" s="82"/>
      <c r="E102" s="30"/>
      <c r="F102" s="30"/>
      <c r="G102" s="30"/>
      <c r="H102" s="30"/>
    </row>
    <row r="103" ht="15.75" customHeight="1">
      <c r="A103" s="30"/>
      <c r="B103" s="30"/>
      <c r="C103" s="30"/>
      <c r="D103" s="82"/>
      <c r="E103" s="30"/>
      <c r="F103" s="30"/>
      <c r="G103" s="30"/>
      <c r="H103" s="30"/>
    </row>
    <row r="104" ht="15.75" customHeight="1">
      <c r="A104" s="30"/>
      <c r="B104" s="30"/>
      <c r="C104" s="30"/>
      <c r="D104" s="82"/>
      <c r="E104" s="30"/>
      <c r="F104" s="30"/>
      <c r="G104" s="30"/>
      <c r="H104" s="30"/>
    </row>
    <row r="105" ht="15.75" customHeight="1">
      <c r="A105" s="30"/>
      <c r="B105" s="30"/>
      <c r="C105" s="30"/>
      <c r="D105" s="82"/>
      <c r="E105" s="30"/>
      <c r="F105" s="30"/>
      <c r="G105" s="30"/>
      <c r="H105" s="30"/>
    </row>
    <row r="106" ht="15.75" customHeight="1">
      <c r="A106" s="30"/>
      <c r="B106" s="30"/>
      <c r="C106" s="30"/>
      <c r="D106" s="82"/>
      <c r="E106" s="30"/>
      <c r="F106" s="30"/>
      <c r="G106" s="30"/>
      <c r="H106" s="30"/>
    </row>
    <row r="107" ht="15.75" customHeight="1">
      <c r="A107" s="30"/>
      <c r="B107" s="30"/>
      <c r="C107" s="30"/>
      <c r="D107" s="82"/>
      <c r="E107" s="30"/>
      <c r="F107" s="30"/>
      <c r="G107" s="30"/>
      <c r="H107" s="30"/>
    </row>
    <row r="108" ht="15.75" customHeight="1">
      <c r="A108" s="30"/>
      <c r="B108" s="30"/>
      <c r="C108" s="30"/>
      <c r="D108" s="82"/>
      <c r="E108" s="30"/>
      <c r="F108" s="30"/>
      <c r="G108" s="30"/>
      <c r="H108" s="30"/>
    </row>
    <row r="109" ht="15.75" customHeight="1">
      <c r="A109" s="30"/>
      <c r="B109" s="30"/>
      <c r="C109" s="30"/>
      <c r="D109" s="82"/>
      <c r="E109" s="30"/>
      <c r="F109" s="30"/>
      <c r="G109" s="30"/>
      <c r="H109" s="30"/>
    </row>
    <row r="110" ht="15.75" customHeight="1">
      <c r="A110" s="30"/>
      <c r="B110" s="30"/>
      <c r="C110" s="30"/>
      <c r="D110" s="82"/>
      <c r="E110" s="30"/>
      <c r="F110" s="30"/>
      <c r="G110" s="30"/>
      <c r="H110" s="30"/>
    </row>
    <row r="111" ht="15.75" customHeight="1">
      <c r="A111" s="30"/>
      <c r="B111" s="30"/>
      <c r="C111" s="30"/>
      <c r="D111" s="82"/>
      <c r="E111" s="30"/>
      <c r="F111" s="30"/>
      <c r="G111" s="30"/>
      <c r="H111" s="30"/>
    </row>
    <row r="112" ht="15.75" customHeight="1">
      <c r="A112" s="30"/>
      <c r="B112" s="30"/>
      <c r="C112" s="30"/>
      <c r="D112" s="82"/>
      <c r="E112" s="30"/>
      <c r="F112" s="30"/>
      <c r="G112" s="30"/>
      <c r="H112" s="30"/>
    </row>
    <row r="113" ht="15.75" customHeight="1">
      <c r="A113" s="30"/>
      <c r="B113" s="30"/>
      <c r="C113" s="30"/>
      <c r="D113" s="82"/>
      <c r="E113" s="30"/>
      <c r="F113" s="30"/>
      <c r="G113" s="30"/>
      <c r="H113" s="30"/>
    </row>
    <row r="114" ht="15.75" customHeight="1">
      <c r="A114" s="30"/>
      <c r="B114" s="30"/>
      <c r="C114" s="30"/>
      <c r="D114" s="82"/>
      <c r="E114" s="30"/>
      <c r="F114" s="30"/>
      <c r="G114" s="30"/>
      <c r="H114" s="30"/>
    </row>
    <row r="115" ht="15.75" customHeight="1">
      <c r="A115" s="30"/>
      <c r="B115" s="30"/>
      <c r="C115" s="30"/>
      <c r="D115" s="82"/>
      <c r="E115" s="30"/>
      <c r="F115" s="30"/>
      <c r="G115" s="30"/>
      <c r="H115" s="30"/>
    </row>
    <row r="116" ht="15.75" customHeight="1">
      <c r="A116" s="30"/>
      <c r="B116" s="30"/>
      <c r="C116" s="30"/>
      <c r="D116" s="82"/>
      <c r="E116" s="30"/>
      <c r="F116" s="30"/>
      <c r="G116" s="30"/>
      <c r="H116" s="30"/>
    </row>
    <row r="117" ht="15.75" customHeight="1">
      <c r="A117" s="30"/>
      <c r="B117" s="30"/>
      <c r="C117" s="30"/>
      <c r="D117" s="82"/>
      <c r="E117" s="30"/>
      <c r="F117" s="30"/>
      <c r="G117" s="30"/>
      <c r="H117" s="30"/>
    </row>
    <row r="118" ht="15.75" customHeight="1">
      <c r="A118" s="30"/>
      <c r="B118" s="30"/>
      <c r="C118" s="30"/>
      <c r="D118" s="82"/>
      <c r="E118" s="30"/>
      <c r="F118" s="30"/>
      <c r="G118" s="30"/>
      <c r="H118" s="30"/>
    </row>
    <row r="119" ht="15.75" customHeight="1">
      <c r="A119" s="30"/>
      <c r="B119" s="30"/>
      <c r="C119" s="30"/>
      <c r="D119" s="82"/>
      <c r="E119" s="30"/>
      <c r="F119" s="30"/>
      <c r="G119" s="30"/>
      <c r="H119" s="30"/>
    </row>
    <row r="120" ht="15.75" customHeight="1">
      <c r="A120" s="30"/>
      <c r="B120" s="30"/>
      <c r="C120" s="30"/>
      <c r="D120" s="82"/>
      <c r="E120" s="30"/>
      <c r="F120" s="30"/>
      <c r="G120" s="30"/>
      <c r="H120" s="30"/>
    </row>
    <row r="121" ht="15.75" customHeight="1">
      <c r="A121" s="30"/>
      <c r="B121" s="30"/>
      <c r="C121" s="30"/>
      <c r="D121" s="82"/>
      <c r="E121" s="30"/>
      <c r="F121" s="30"/>
      <c r="G121" s="30"/>
      <c r="H121" s="30"/>
    </row>
    <row r="122" ht="15.75" customHeight="1">
      <c r="A122" s="30"/>
      <c r="B122" s="30"/>
      <c r="C122" s="30"/>
      <c r="D122" s="82"/>
      <c r="E122" s="30"/>
      <c r="F122" s="30"/>
      <c r="G122" s="30"/>
      <c r="H122" s="30"/>
    </row>
    <row r="123" ht="15.75" customHeight="1">
      <c r="A123" s="30"/>
      <c r="B123" s="30"/>
      <c r="C123" s="30"/>
      <c r="D123" s="82"/>
      <c r="E123" s="30"/>
      <c r="F123" s="30"/>
      <c r="G123" s="30"/>
      <c r="H123" s="30"/>
    </row>
    <row r="124" ht="15.75" customHeight="1">
      <c r="A124" s="30"/>
      <c r="B124" s="30"/>
      <c r="C124" s="30"/>
      <c r="D124" s="82"/>
      <c r="E124" s="30"/>
      <c r="F124" s="30"/>
      <c r="G124" s="30"/>
      <c r="H124" s="30"/>
    </row>
    <row r="125" ht="15.75" customHeight="1">
      <c r="A125" s="30"/>
      <c r="B125" s="30"/>
      <c r="C125" s="30"/>
      <c r="D125" s="82"/>
      <c r="E125" s="30"/>
      <c r="F125" s="30"/>
      <c r="G125" s="30"/>
      <c r="H125" s="30"/>
    </row>
    <row r="126" ht="15.75" customHeight="1">
      <c r="A126" s="30"/>
      <c r="B126" s="30"/>
      <c r="C126" s="30"/>
      <c r="D126" s="82"/>
      <c r="E126" s="30"/>
      <c r="F126" s="30"/>
      <c r="G126" s="30"/>
      <c r="H126" s="30"/>
    </row>
    <row r="127" ht="15.75" customHeight="1">
      <c r="A127" s="30"/>
      <c r="B127" s="30"/>
      <c r="C127" s="30"/>
      <c r="D127" s="82"/>
      <c r="E127" s="30"/>
      <c r="F127" s="30"/>
      <c r="G127" s="30"/>
      <c r="H127" s="30"/>
    </row>
    <row r="128" ht="15.75" customHeight="1">
      <c r="A128" s="30"/>
      <c r="B128" s="30"/>
      <c r="C128" s="30"/>
      <c r="D128" s="82"/>
      <c r="E128" s="30"/>
      <c r="F128" s="30"/>
      <c r="G128" s="30"/>
      <c r="H128" s="30"/>
    </row>
    <row r="129" ht="15.75" customHeight="1">
      <c r="A129" s="30"/>
      <c r="B129" s="30"/>
      <c r="C129" s="30"/>
      <c r="D129" s="82"/>
      <c r="E129" s="30"/>
      <c r="F129" s="30"/>
      <c r="G129" s="30"/>
      <c r="H129" s="30"/>
    </row>
    <row r="130" ht="15.75" customHeight="1">
      <c r="A130" s="30"/>
      <c r="B130" s="30"/>
      <c r="C130" s="30"/>
      <c r="D130" s="82"/>
      <c r="E130" s="30"/>
      <c r="F130" s="30"/>
      <c r="G130" s="30"/>
      <c r="H130" s="30"/>
    </row>
    <row r="131" ht="15.75" customHeight="1">
      <c r="A131" s="30"/>
      <c r="B131" s="30"/>
      <c r="C131" s="30"/>
      <c r="D131" s="82"/>
      <c r="E131" s="30"/>
      <c r="F131" s="30"/>
      <c r="G131" s="30"/>
      <c r="H131" s="30"/>
    </row>
    <row r="132" ht="15.75" customHeight="1">
      <c r="A132" s="30"/>
      <c r="B132" s="30"/>
      <c r="C132" s="30"/>
      <c r="D132" s="82"/>
      <c r="E132" s="30"/>
      <c r="F132" s="30"/>
      <c r="G132" s="30"/>
      <c r="H132" s="30"/>
    </row>
    <row r="133" ht="15.75" customHeight="1">
      <c r="A133" s="30"/>
      <c r="B133" s="30"/>
      <c r="C133" s="30"/>
      <c r="D133" s="82"/>
      <c r="E133" s="30"/>
      <c r="F133" s="30"/>
      <c r="G133" s="30"/>
      <c r="H133" s="30"/>
    </row>
    <row r="134" ht="15.75" customHeight="1">
      <c r="A134" s="30"/>
      <c r="B134" s="30"/>
      <c r="C134" s="30"/>
      <c r="D134" s="82"/>
      <c r="E134" s="30"/>
      <c r="F134" s="30"/>
      <c r="G134" s="30"/>
      <c r="H134" s="30"/>
    </row>
    <row r="135" ht="15.75" customHeight="1">
      <c r="A135" s="30"/>
      <c r="B135" s="30"/>
      <c r="C135" s="30"/>
      <c r="D135" s="82"/>
      <c r="E135" s="30"/>
      <c r="F135" s="30"/>
      <c r="G135" s="30"/>
      <c r="H135" s="30"/>
    </row>
    <row r="136" ht="15.75" customHeight="1">
      <c r="A136" s="30"/>
      <c r="B136" s="30"/>
      <c r="C136" s="30"/>
      <c r="D136" s="82"/>
      <c r="E136" s="30"/>
      <c r="F136" s="30"/>
      <c r="G136" s="30"/>
      <c r="H136" s="30"/>
    </row>
    <row r="137" ht="15.75" customHeight="1">
      <c r="A137" s="30"/>
      <c r="B137" s="30"/>
      <c r="C137" s="30"/>
      <c r="D137" s="82"/>
      <c r="E137" s="30"/>
      <c r="F137" s="30"/>
      <c r="G137" s="30"/>
      <c r="H137" s="30"/>
    </row>
    <row r="138" ht="15.75" customHeight="1">
      <c r="A138" s="30"/>
      <c r="B138" s="30"/>
      <c r="C138" s="30"/>
      <c r="D138" s="82"/>
      <c r="E138" s="30"/>
      <c r="F138" s="30"/>
      <c r="G138" s="30"/>
      <c r="H138" s="30"/>
    </row>
    <row r="139" ht="15.75" customHeight="1">
      <c r="A139" s="30"/>
      <c r="B139" s="30"/>
      <c r="C139" s="30"/>
      <c r="D139" s="82"/>
      <c r="E139" s="30"/>
      <c r="F139" s="30"/>
      <c r="G139" s="30"/>
      <c r="H139" s="30"/>
    </row>
    <row r="140" ht="15.75" customHeight="1">
      <c r="A140" s="30"/>
      <c r="B140" s="30"/>
      <c r="C140" s="30"/>
      <c r="D140" s="82"/>
      <c r="E140" s="30"/>
      <c r="F140" s="30"/>
      <c r="G140" s="30"/>
      <c r="H140" s="30"/>
    </row>
    <row r="141" ht="15.75" customHeight="1">
      <c r="A141" s="30"/>
      <c r="B141" s="30"/>
      <c r="C141" s="30"/>
      <c r="D141" s="82"/>
      <c r="E141" s="30"/>
      <c r="F141" s="30"/>
      <c r="G141" s="30"/>
      <c r="H141" s="30"/>
    </row>
    <row r="142" ht="15.75" customHeight="1">
      <c r="A142" s="30"/>
      <c r="B142" s="30"/>
      <c r="C142" s="30"/>
      <c r="D142" s="82"/>
      <c r="E142" s="30"/>
      <c r="F142" s="30"/>
      <c r="G142" s="30"/>
      <c r="H142" s="30"/>
    </row>
    <row r="143" ht="15.75" customHeight="1">
      <c r="A143" s="30"/>
      <c r="B143" s="30"/>
      <c r="C143" s="30"/>
      <c r="D143" s="82"/>
      <c r="E143" s="30"/>
      <c r="F143" s="30"/>
      <c r="G143" s="30"/>
      <c r="H143" s="30"/>
    </row>
    <row r="144" ht="15.75" customHeight="1">
      <c r="A144" s="30"/>
      <c r="B144" s="30"/>
      <c r="C144" s="30"/>
      <c r="D144" s="82"/>
      <c r="E144" s="30"/>
      <c r="F144" s="30"/>
      <c r="G144" s="30"/>
      <c r="H144" s="30"/>
    </row>
    <row r="145" ht="15.75" customHeight="1">
      <c r="A145" s="30"/>
      <c r="B145" s="30"/>
      <c r="C145" s="30"/>
      <c r="D145" s="82"/>
      <c r="E145" s="30"/>
      <c r="F145" s="30"/>
      <c r="G145" s="30"/>
      <c r="H145" s="30"/>
    </row>
    <row r="146" ht="15.75" customHeight="1">
      <c r="A146" s="30"/>
      <c r="B146" s="30"/>
      <c r="C146" s="30"/>
      <c r="D146" s="82"/>
      <c r="E146" s="30"/>
      <c r="F146" s="30"/>
      <c r="G146" s="30"/>
      <c r="H146" s="30"/>
    </row>
    <row r="147" ht="15.75" customHeight="1">
      <c r="A147" s="30"/>
      <c r="B147" s="30"/>
      <c r="C147" s="30"/>
      <c r="D147" s="82"/>
      <c r="E147" s="30"/>
      <c r="F147" s="30"/>
      <c r="G147" s="30"/>
      <c r="H147" s="30"/>
    </row>
    <row r="148" ht="15.75" customHeight="1">
      <c r="A148" s="30"/>
      <c r="B148" s="30"/>
      <c r="C148" s="30"/>
      <c r="D148" s="82"/>
      <c r="E148" s="30"/>
      <c r="F148" s="30"/>
      <c r="G148" s="30"/>
      <c r="H148" s="30"/>
    </row>
    <row r="149" ht="15.75" customHeight="1">
      <c r="A149" s="30"/>
      <c r="B149" s="30"/>
      <c r="C149" s="30"/>
      <c r="D149" s="82"/>
      <c r="E149" s="30"/>
      <c r="F149" s="30"/>
      <c r="G149" s="30"/>
      <c r="H149" s="30"/>
    </row>
    <row r="150" ht="15.75" customHeight="1">
      <c r="A150" s="30"/>
      <c r="B150" s="30"/>
      <c r="C150" s="30"/>
      <c r="D150" s="82"/>
      <c r="E150" s="30"/>
      <c r="F150" s="30"/>
      <c r="G150" s="30"/>
      <c r="H150" s="30"/>
    </row>
    <row r="151" ht="15.75" customHeight="1">
      <c r="A151" s="30"/>
      <c r="B151" s="30"/>
      <c r="C151" s="30"/>
      <c r="D151" s="82"/>
      <c r="E151" s="30"/>
      <c r="F151" s="30"/>
      <c r="G151" s="30"/>
      <c r="H151" s="30"/>
    </row>
    <row r="152" ht="15.75" customHeight="1">
      <c r="A152" s="30"/>
      <c r="B152" s="30"/>
      <c r="C152" s="30"/>
      <c r="D152" s="82"/>
      <c r="E152" s="30"/>
      <c r="F152" s="30"/>
      <c r="G152" s="30"/>
      <c r="H152" s="30"/>
    </row>
    <row r="153" ht="15.75" customHeight="1">
      <c r="A153" s="30"/>
      <c r="B153" s="30"/>
      <c r="C153" s="30"/>
      <c r="D153" s="82"/>
      <c r="E153" s="30"/>
      <c r="F153" s="30"/>
      <c r="G153" s="30"/>
      <c r="H153" s="30"/>
    </row>
    <row r="154" ht="15.75" customHeight="1">
      <c r="A154" s="30"/>
      <c r="B154" s="30"/>
      <c r="C154" s="30"/>
      <c r="D154" s="82"/>
      <c r="E154" s="30"/>
      <c r="F154" s="30"/>
      <c r="G154" s="30"/>
      <c r="H154" s="30"/>
    </row>
    <row r="155" ht="15.75" customHeight="1">
      <c r="A155" s="30"/>
      <c r="B155" s="30"/>
      <c r="C155" s="30"/>
      <c r="D155" s="82"/>
      <c r="E155" s="30"/>
      <c r="F155" s="30"/>
      <c r="G155" s="30"/>
      <c r="H155" s="30"/>
    </row>
    <row r="156" ht="15.75" customHeight="1">
      <c r="A156" s="30"/>
      <c r="B156" s="30"/>
      <c r="C156" s="30"/>
      <c r="D156" s="82"/>
      <c r="E156" s="30"/>
      <c r="F156" s="30"/>
      <c r="G156" s="30"/>
      <c r="H156" s="30"/>
    </row>
    <row r="157" ht="15.75" customHeight="1">
      <c r="A157" s="30"/>
      <c r="B157" s="30"/>
      <c r="C157" s="30"/>
      <c r="D157" s="82"/>
      <c r="E157" s="30"/>
      <c r="F157" s="30"/>
      <c r="G157" s="30"/>
      <c r="H157" s="30"/>
    </row>
    <row r="158" ht="15.75" customHeight="1">
      <c r="A158" s="30"/>
      <c r="B158" s="30"/>
      <c r="C158" s="30"/>
      <c r="D158" s="82"/>
      <c r="E158" s="30"/>
      <c r="F158" s="30"/>
      <c r="G158" s="30"/>
      <c r="H158" s="30"/>
    </row>
    <row r="159" ht="15.75" customHeight="1">
      <c r="A159" s="30"/>
      <c r="B159" s="30"/>
      <c r="C159" s="30"/>
      <c r="D159" s="82"/>
      <c r="E159" s="30"/>
      <c r="F159" s="30"/>
      <c r="G159" s="30"/>
      <c r="H159" s="30"/>
    </row>
    <row r="160" ht="15.75" customHeight="1">
      <c r="A160" s="30"/>
      <c r="B160" s="30"/>
      <c r="C160" s="30"/>
      <c r="D160" s="82"/>
      <c r="E160" s="30"/>
      <c r="F160" s="30"/>
      <c r="G160" s="30"/>
      <c r="H160" s="30"/>
    </row>
    <row r="161" ht="15.75" customHeight="1">
      <c r="A161" s="30"/>
      <c r="B161" s="30"/>
      <c r="C161" s="30"/>
      <c r="D161" s="82"/>
      <c r="E161" s="30"/>
      <c r="F161" s="30"/>
      <c r="G161" s="30"/>
      <c r="H161" s="30"/>
    </row>
    <row r="162" ht="15.75" customHeight="1">
      <c r="A162" s="30"/>
      <c r="B162" s="30"/>
      <c r="C162" s="30"/>
      <c r="D162" s="82"/>
      <c r="E162" s="30"/>
      <c r="F162" s="30"/>
      <c r="G162" s="30"/>
      <c r="H162" s="30"/>
    </row>
    <row r="163" ht="15.75" customHeight="1">
      <c r="A163" s="30"/>
      <c r="B163" s="30"/>
      <c r="C163" s="30"/>
      <c r="D163" s="82"/>
      <c r="E163" s="30"/>
      <c r="F163" s="30"/>
      <c r="G163" s="30"/>
      <c r="H163" s="30"/>
    </row>
    <row r="164" ht="15.75" customHeight="1">
      <c r="A164" s="30"/>
      <c r="B164" s="30"/>
      <c r="C164" s="30"/>
      <c r="D164" s="82"/>
      <c r="E164" s="30"/>
      <c r="F164" s="30"/>
      <c r="G164" s="30"/>
      <c r="H164" s="30"/>
    </row>
    <row r="165" ht="15.75" customHeight="1">
      <c r="A165" s="30"/>
      <c r="B165" s="30"/>
      <c r="C165" s="30"/>
      <c r="D165" s="82"/>
      <c r="E165" s="30"/>
      <c r="F165" s="30"/>
      <c r="G165" s="30"/>
      <c r="H165" s="30"/>
    </row>
    <row r="166" ht="15.75" customHeight="1">
      <c r="A166" s="30"/>
      <c r="B166" s="30"/>
      <c r="C166" s="30"/>
      <c r="D166" s="82"/>
      <c r="E166" s="30"/>
      <c r="F166" s="30"/>
      <c r="G166" s="30"/>
      <c r="H166" s="30"/>
    </row>
    <row r="167" ht="15.75" customHeight="1">
      <c r="A167" s="30"/>
      <c r="B167" s="30"/>
      <c r="C167" s="30"/>
      <c r="D167" s="82"/>
      <c r="E167" s="30"/>
      <c r="F167" s="30"/>
      <c r="G167" s="30"/>
      <c r="H167" s="30"/>
    </row>
    <row r="168" ht="15.75" customHeight="1">
      <c r="A168" s="30"/>
      <c r="B168" s="30"/>
      <c r="C168" s="30"/>
      <c r="D168" s="82"/>
      <c r="E168" s="30"/>
      <c r="F168" s="30"/>
      <c r="G168" s="30"/>
      <c r="H168" s="30"/>
    </row>
    <row r="169" ht="15.75" customHeight="1">
      <c r="A169" s="30"/>
      <c r="B169" s="30"/>
      <c r="C169" s="30"/>
      <c r="D169" s="82"/>
      <c r="E169" s="30"/>
      <c r="F169" s="30"/>
      <c r="G169" s="30"/>
      <c r="H169" s="30"/>
    </row>
    <row r="170" ht="15.75" customHeight="1">
      <c r="A170" s="30"/>
      <c r="B170" s="30"/>
      <c r="C170" s="30"/>
      <c r="D170" s="82"/>
      <c r="E170" s="30"/>
      <c r="F170" s="30"/>
      <c r="G170" s="30"/>
      <c r="H170" s="30"/>
    </row>
    <row r="171" ht="15.75" customHeight="1">
      <c r="A171" s="30"/>
      <c r="B171" s="30"/>
      <c r="C171" s="30"/>
      <c r="D171" s="82"/>
      <c r="E171" s="30"/>
      <c r="F171" s="30"/>
      <c r="G171" s="30"/>
      <c r="H171" s="30"/>
    </row>
    <row r="172" ht="15.75" customHeight="1">
      <c r="A172" s="30"/>
      <c r="B172" s="30"/>
      <c r="C172" s="30"/>
      <c r="D172" s="82"/>
      <c r="E172" s="30"/>
      <c r="F172" s="30"/>
      <c r="G172" s="30"/>
      <c r="H172" s="30"/>
    </row>
    <row r="173" ht="15.75" customHeight="1">
      <c r="A173" s="30"/>
      <c r="B173" s="30"/>
      <c r="C173" s="30"/>
      <c r="D173" s="82"/>
      <c r="E173" s="30"/>
      <c r="F173" s="30"/>
      <c r="G173" s="30"/>
      <c r="H173" s="30"/>
    </row>
    <row r="174" ht="15.75" customHeight="1">
      <c r="A174" s="30"/>
      <c r="B174" s="30"/>
      <c r="C174" s="30"/>
      <c r="D174" s="82"/>
      <c r="E174" s="30"/>
      <c r="F174" s="30"/>
      <c r="G174" s="30"/>
      <c r="H174" s="30"/>
    </row>
    <row r="175" ht="15.75" customHeight="1">
      <c r="A175" s="30"/>
      <c r="B175" s="30"/>
      <c r="C175" s="30"/>
      <c r="D175" s="82"/>
      <c r="E175" s="30"/>
      <c r="F175" s="30"/>
      <c r="G175" s="30"/>
      <c r="H175" s="30"/>
    </row>
    <row r="176" ht="15.75" customHeight="1">
      <c r="A176" s="30"/>
      <c r="B176" s="30"/>
      <c r="C176" s="30"/>
      <c r="D176" s="82"/>
      <c r="E176" s="30"/>
      <c r="F176" s="30"/>
      <c r="G176" s="30"/>
      <c r="H176" s="30"/>
    </row>
    <row r="177" ht="15.75" customHeight="1">
      <c r="A177" s="30"/>
      <c r="B177" s="30"/>
      <c r="C177" s="30"/>
      <c r="D177" s="82"/>
      <c r="E177" s="30"/>
      <c r="F177" s="30"/>
      <c r="G177" s="30"/>
      <c r="H177" s="30"/>
    </row>
    <row r="178" ht="15.75" customHeight="1">
      <c r="A178" s="30"/>
      <c r="B178" s="30"/>
      <c r="C178" s="30"/>
      <c r="D178" s="82"/>
      <c r="E178" s="30"/>
      <c r="F178" s="30"/>
      <c r="G178" s="30"/>
      <c r="H178" s="30"/>
    </row>
    <row r="179" ht="15.75" customHeight="1">
      <c r="A179" s="30"/>
      <c r="B179" s="30"/>
      <c r="C179" s="30"/>
      <c r="D179" s="82"/>
      <c r="E179" s="30"/>
      <c r="F179" s="30"/>
      <c r="G179" s="30"/>
      <c r="H179" s="30"/>
    </row>
    <row r="180" ht="15.75" customHeight="1">
      <c r="A180" s="30"/>
      <c r="B180" s="30"/>
      <c r="C180" s="30"/>
      <c r="D180" s="82"/>
      <c r="E180" s="30"/>
      <c r="F180" s="30"/>
      <c r="G180" s="30"/>
      <c r="H180" s="30"/>
    </row>
    <row r="181" ht="15.75" customHeight="1">
      <c r="A181" s="30"/>
      <c r="B181" s="30"/>
      <c r="C181" s="30"/>
      <c r="D181" s="82"/>
      <c r="E181" s="30"/>
      <c r="F181" s="30"/>
      <c r="G181" s="30"/>
      <c r="H181" s="30"/>
    </row>
    <row r="182" ht="15.75" customHeight="1">
      <c r="A182" s="30"/>
      <c r="B182" s="30"/>
      <c r="C182" s="30"/>
      <c r="D182" s="82"/>
      <c r="E182" s="30"/>
      <c r="F182" s="30"/>
      <c r="G182" s="30"/>
      <c r="H182" s="30"/>
    </row>
    <row r="183" ht="15.75" customHeight="1">
      <c r="A183" s="30"/>
      <c r="B183" s="30"/>
      <c r="C183" s="30"/>
      <c r="D183" s="82"/>
      <c r="E183" s="30"/>
      <c r="F183" s="30"/>
      <c r="G183" s="30"/>
      <c r="H183" s="30"/>
    </row>
    <row r="184" ht="15.75" customHeight="1">
      <c r="A184" s="30"/>
      <c r="B184" s="30"/>
      <c r="C184" s="30"/>
      <c r="D184" s="82"/>
      <c r="E184" s="30"/>
      <c r="F184" s="30"/>
      <c r="G184" s="30"/>
      <c r="H184" s="30"/>
    </row>
    <row r="185" ht="15.75" customHeight="1">
      <c r="A185" s="30"/>
      <c r="B185" s="30"/>
      <c r="C185" s="30"/>
      <c r="D185" s="82"/>
      <c r="E185" s="30"/>
      <c r="F185" s="30"/>
      <c r="G185" s="30"/>
      <c r="H185" s="30"/>
    </row>
    <row r="186" ht="15.75" customHeight="1">
      <c r="A186" s="30"/>
      <c r="B186" s="30"/>
      <c r="C186" s="30"/>
      <c r="D186" s="82"/>
      <c r="E186" s="30"/>
      <c r="F186" s="30"/>
      <c r="G186" s="30"/>
      <c r="H186" s="30"/>
    </row>
    <row r="187" ht="15.75" customHeight="1">
      <c r="A187" s="30"/>
      <c r="B187" s="30"/>
      <c r="C187" s="30"/>
      <c r="D187" s="82"/>
      <c r="E187" s="30"/>
      <c r="F187" s="30"/>
      <c r="G187" s="30"/>
      <c r="H187" s="30"/>
    </row>
    <row r="188" ht="15.75" customHeight="1">
      <c r="A188" s="30"/>
      <c r="B188" s="30"/>
      <c r="C188" s="30"/>
      <c r="D188" s="82"/>
      <c r="E188" s="30"/>
      <c r="F188" s="30"/>
      <c r="G188" s="30"/>
      <c r="H188" s="30"/>
    </row>
    <row r="189" ht="15.75" customHeight="1">
      <c r="A189" s="30"/>
      <c r="B189" s="30"/>
      <c r="C189" s="30"/>
      <c r="D189" s="82"/>
      <c r="E189" s="30"/>
      <c r="F189" s="30"/>
      <c r="G189" s="30"/>
      <c r="H189" s="30"/>
    </row>
    <row r="190" ht="15.75" customHeight="1">
      <c r="A190" s="30"/>
      <c r="B190" s="30"/>
      <c r="C190" s="30"/>
      <c r="D190" s="82"/>
      <c r="E190" s="30"/>
      <c r="F190" s="30"/>
      <c r="G190" s="30"/>
      <c r="H190" s="30"/>
    </row>
    <row r="191" ht="15.75" customHeight="1">
      <c r="A191" s="30"/>
      <c r="B191" s="30"/>
      <c r="C191" s="30"/>
      <c r="D191" s="82"/>
      <c r="E191" s="30"/>
      <c r="F191" s="30"/>
      <c r="G191" s="30"/>
      <c r="H191" s="30"/>
    </row>
    <row r="192" ht="15.75" customHeight="1">
      <c r="A192" s="30"/>
      <c r="B192" s="30"/>
      <c r="C192" s="30"/>
      <c r="D192" s="82"/>
      <c r="E192" s="30"/>
      <c r="F192" s="30"/>
      <c r="G192" s="30"/>
      <c r="H192" s="30"/>
    </row>
    <row r="193" ht="15.75" customHeight="1">
      <c r="A193" s="30"/>
      <c r="B193" s="30"/>
      <c r="C193" s="30"/>
      <c r="D193" s="82"/>
      <c r="E193" s="30"/>
      <c r="F193" s="30"/>
      <c r="G193" s="30"/>
      <c r="H193" s="30"/>
    </row>
    <row r="194" ht="15.75" customHeight="1">
      <c r="A194" s="30"/>
      <c r="B194" s="30"/>
      <c r="C194" s="30"/>
      <c r="D194" s="82"/>
      <c r="E194" s="30"/>
      <c r="F194" s="30"/>
      <c r="G194" s="30"/>
      <c r="H194" s="30"/>
    </row>
    <row r="195" ht="15.75" customHeight="1">
      <c r="A195" s="30"/>
      <c r="B195" s="30"/>
      <c r="C195" s="30"/>
      <c r="D195" s="82"/>
      <c r="E195" s="30"/>
      <c r="F195" s="30"/>
      <c r="G195" s="30"/>
      <c r="H195" s="30"/>
    </row>
    <row r="196" ht="15.75" customHeight="1">
      <c r="A196" s="30"/>
      <c r="B196" s="30"/>
      <c r="C196" s="30"/>
      <c r="D196" s="82"/>
      <c r="E196" s="30"/>
      <c r="F196" s="30"/>
      <c r="G196" s="30"/>
      <c r="H196" s="30"/>
    </row>
    <row r="197" ht="15.75" customHeight="1">
      <c r="A197" s="30"/>
      <c r="B197" s="30"/>
      <c r="C197" s="30"/>
      <c r="D197" s="82"/>
      <c r="E197" s="30"/>
      <c r="F197" s="30"/>
      <c r="G197" s="30"/>
      <c r="H197" s="30"/>
    </row>
    <row r="198" ht="15.75" customHeight="1">
      <c r="A198" s="30"/>
      <c r="B198" s="30"/>
      <c r="C198" s="30"/>
      <c r="D198" s="82"/>
      <c r="E198" s="30"/>
      <c r="F198" s="30"/>
      <c r="G198" s="30"/>
      <c r="H198" s="30"/>
    </row>
    <row r="199" ht="15.75" customHeight="1">
      <c r="A199" s="30"/>
      <c r="B199" s="30"/>
      <c r="C199" s="30"/>
      <c r="D199" s="82"/>
      <c r="E199" s="30"/>
      <c r="F199" s="30"/>
      <c r="G199" s="30"/>
      <c r="H199" s="30"/>
    </row>
    <row r="200" ht="15.75" customHeight="1">
      <c r="A200" s="30"/>
      <c r="B200" s="30"/>
      <c r="C200" s="30"/>
      <c r="D200" s="82"/>
      <c r="E200" s="30"/>
      <c r="F200" s="30"/>
      <c r="G200" s="30"/>
      <c r="H200" s="30"/>
    </row>
    <row r="201" ht="15.75" customHeight="1">
      <c r="A201" s="30"/>
      <c r="B201" s="30"/>
      <c r="C201" s="30"/>
      <c r="D201" s="82"/>
      <c r="E201" s="30"/>
      <c r="F201" s="30"/>
      <c r="G201" s="30"/>
      <c r="H201" s="30"/>
    </row>
    <row r="202" ht="15.75" customHeight="1">
      <c r="A202" s="30"/>
      <c r="B202" s="30"/>
      <c r="C202" s="30"/>
      <c r="D202" s="82"/>
      <c r="E202" s="30"/>
      <c r="F202" s="30"/>
      <c r="G202" s="30"/>
      <c r="H202" s="30"/>
    </row>
    <row r="203" ht="15.75" customHeight="1">
      <c r="A203" s="30"/>
      <c r="B203" s="30"/>
      <c r="C203" s="30"/>
      <c r="D203" s="82"/>
      <c r="E203" s="30"/>
      <c r="F203" s="30"/>
      <c r="G203" s="30"/>
      <c r="H203" s="30"/>
    </row>
    <row r="204" ht="15.75" customHeight="1">
      <c r="A204" s="30"/>
      <c r="B204" s="30"/>
      <c r="C204" s="30"/>
      <c r="D204" s="82"/>
      <c r="E204" s="30"/>
      <c r="F204" s="30"/>
      <c r="G204" s="30"/>
      <c r="H204" s="30"/>
    </row>
    <row r="205" ht="15.75" customHeight="1">
      <c r="A205" s="30"/>
      <c r="B205" s="30"/>
      <c r="C205" s="30"/>
      <c r="D205" s="82"/>
      <c r="E205" s="30"/>
      <c r="F205" s="30"/>
      <c r="G205" s="30"/>
      <c r="H205" s="30"/>
    </row>
    <row r="206" ht="15.75" customHeight="1">
      <c r="A206" s="30"/>
      <c r="B206" s="30"/>
      <c r="C206" s="30"/>
      <c r="D206" s="82"/>
      <c r="E206" s="30"/>
      <c r="F206" s="30"/>
      <c r="G206" s="30"/>
      <c r="H206" s="30"/>
    </row>
    <row r="207" ht="15.75" customHeight="1">
      <c r="A207" s="30"/>
      <c r="B207" s="30"/>
      <c r="C207" s="30"/>
      <c r="D207" s="82"/>
      <c r="E207" s="30"/>
      <c r="F207" s="30"/>
      <c r="G207" s="30"/>
      <c r="H207" s="30"/>
    </row>
    <row r="208" ht="15.75" customHeight="1">
      <c r="A208" s="30"/>
      <c r="B208" s="30"/>
      <c r="C208" s="30"/>
      <c r="D208" s="82"/>
      <c r="E208" s="30"/>
      <c r="F208" s="30"/>
      <c r="G208" s="30"/>
      <c r="H208" s="30"/>
    </row>
    <row r="209" ht="15.75" customHeight="1">
      <c r="A209" s="30"/>
      <c r="B209" s="30"/>
      <c r="C209" s="30"/>
      <c r="D209" s="82"/>
      <c r="E209" s="30"/>
      <c r="F209" s="30"/>
      <c r="G209" s="30"/>
      <c r="H209" s="30"/>
    </row>
    <row r="210" ht="15.75" customHeight="1">
      <c r="A210" s="30"/>
      <c r="B210" s="30"/>
      <c r="C210" s="30"/>
      <c r="D210" s="82"/>
      <c r="E210" s="30"/>
      <c r="F210" s="30"/>
      <c r="G210" s="30"/>
      <c r="H210" s="30"/>
    </row>
    <row r="211" ht="15.75" customHeight="1">
      <c r="A211" s="30"/>
      <c r="B211" s="30"/>
      <c r="C211" s="30"/>
      <c r="D211" s="82"/>
      <c r="E211" s="30"/>
      <c r="F211" s="30"/>
      <c r="G211" s="30"/>
      <c r="H211" s="30"/>
    </row>
    <row r="212" ht="15.75" customHeight="1">
      <c r="A212" s="30"/>
      <c r="B212" s="30"/>
      <c r="C212" s="30"/>
      <c r="D212" s="82"/>
      <c r="E212" s="30"/>
      <c r="F212" s="30"/>
      <c r="G212" s="30"/>
      <c r="H212" s="30"/>
    </row>
    <row r="213" ht="15.75" customHeight="1">
      <c r="A213" s="30"/>
      <c r="B213" s="30"/>
      <c r="C213" s="30"/>
      <c r="D213" s="82"/>
      <c r="E213" s="30"/>
      <c r="F213" s="30"/>
      <c r="G213" s="30"/>
      <c r="H213" s="30"/>
    </row>
    <row r="214" ht="15.75" customHeight="1">
      <c r="A214" s="30"/>
      <c r="B214" s="30"/>
      <c r="C214" s="30"/>
      <c r="D214" s="82"/>
      <c r="E214" s="30"/>
      <c r="F214" s="30"/>
      <c r="G214" s="30"/>
      <c r="H214" s="30"/>
    </row>
    <row r="215" ht="15.75" customHeight="1">
      <c r="A215" s="30"/>
      <c r="B215" s="30"/>
      <c r="C215" s="30"/>
      <c r="D215" s="82"/>
      <c r="E215" s="30"/>
      <c r="F215" s="30"/>
      <c r="G215" s="30"/>
      <c r="H215" s="30"/>
    </row>
    <row r="216" ht="15.75" customHeight="1">
      <c r="A216" s="30"/>
      <c r="B216" s="30"/>
      <c r="C216" s="30"/>
      <c r="D216" s="82"/>
      <c r="E216" s="30"/>
      <c r="F216" s="30"/>
      <c r="G216" s="30"/>
      <c r="H216" s="30"/>
    </row>
    <row r="217" ht="15.75" customHeight="1">
      <c r="A217" s="30"/>
      <c r="B217" s="30"/>
      <c r="C217" s="30"/>
      <c r="D217" s="82"/>
      <c r="E217" s="30"/>
      <c r="F217" s="30"/>
      <c r="G217" s="30"/>
      <c r="H217" s="30"/>
    </row>
    <row r="218" ht="15.75" customHeight="1">
      <c r="A218" s="30"/>
      <c r="B218" s="30"/>
      <c r="C218" s="30"/>
      <c r="D218" s="82"/>
      <c r="E218" s="30"/>
      <c r="F218" s="30"/>
      <c r="G218" s="30"/>
      <c r="H218" s="30"/>
    </row>
    <row r="219" ht="15.75" customHeight="1">
      <c r="A219" s="30"/>
      <c r="B219" s="30"/>
      <c r="C219" s="30"/>
      <c r="D219" s="82"/>
      <c r="E219" s="30"/>
      <c r="F219" s="30"/>
      <c r="G219" s="30"/>
      <c r="H219" s="30"/>
    </row>
    <row r="220" ht="15.75" customHeight="1">
      <c r="A220" s="30"/>
      <c r="B220" s="30"/>
      <c r="C220" s="30"/>
      <c r="D220" s="82"/>
      <c r="E220" s="30"/>
      <c r="F220" s="30"/>
      <c r="G220" s="30"/>
      <c r="H220" s="30"/>
    </row>
    <row r="221" ht="15.75" customHeight="1">
      <c r="A221" s="30"/>
      <c r="B221" s="30"/>
      <c r="C221" s="30"/>
      <c r="D221" s="82"/>
      <c r="E221" s="30"/>
      <c r="F221" s="30"/>
      <c r="G221" s="30"/>
      <c r="H221" s="30"/>
    </row>
    <row r="222" ht="15.75" customHeight="1">
      <c r="A222" s="30"/>
      <c r="B222" s="30"/>
      <c r="C222" s="30"/>
      <c r="D222" s="82"/>
      <c r="E222" s="30"/>
      <c r="F222" s="30"/>
      <c r="G222" s="30"/>
      <c r="H222" s="30"/>
    </row>
    <row r="223" ht="15.75" customHeight="1">
      <c r="A223" s="30"/>
      <c r="B223" s="30"/>
      <c r="C223" s="30"/>
      <c r="D223" s="82"/>
      <c r="E223" s="30"/>
      <c r="F223" s="30"/>
      <c r="G223" s="30"/>
      <c r="H223" s="30"/>
    </row>
    <row r="224" ht="15.75" customHeight="1">
      <c r="A224" s="30"/>
      <c r="B224" s="30"/>
      <c r="C224" s="30"/>
      <c r="D224" s="82"/>
      <c r="E224" s="30"/>
      <c r="F224" s="30"/>
      <c r="G224" s="30"/>
      <c r="H224" s="30"/>
    </row>
    <row r="225" ht="15.75" customHeight="1">
      <c r="A225" s="30"/>
      <c r="B225" s="30"/>
      <c r="C225" s="30"/>
      <c r="D225" s="82"/>
      <c r="E225" s="30"/>
      <c r="F225" s="30"/>
      <c r="G225" s="30"/>
      <c r="H225" s="30"/>
    </row>
    <row r="226" ht="15.75" customHeight="1">
      <c r="A226" s="30"/>
      <c r="B226" s="30"/>
      <c r="C226" s="30"/>
      <c r="D226" s="82"/>
      <c r="E226" s="30"/>
      <c r="F226" s="30"/>
      <c r="G226" s="30"/>
      <c r="H226" s="30"/>
    </row>
    <row r="227" ht="15.75" customHeight="1">
      <c r="A227" s="30"/>
      <c r="B227" s="30"/>
      <c r="C227" s="30"/>
      <c r="D227" s="82"/>
      <c r="E227" s="30"/>
      <c r="F227" s="30"/>
      <c r="G227" s="30"/>
      <c r="H227" s="30"/>
    </row>
    <row r="228" ht="15.75" customHeight="1">
      <c r="A228" s="30"/>
      <c r="B228" s="30"/>
      <c r="C228" s="30"/>
      <c r="D228" s="82"/>
      <c r="E228" s="30"/>
      <c r="F228" s="30"/>
      <c r="G228" s="30"/>
      <c r="H228" s="30"/>
    </row>
    <row r="229" ht="15.75" customHeight="1">
      <c r="A229" s="30"/>
      <c r="B229" s="30"/>
      <c r="C229" s="30"/>
      <c r="D229" s="82"/>
      <c r="E229" s="30"/>
      <c r="F229" s="30"/>
      <c r="G229" s="30"/>
      <c r="H229" s="30"/>
    </row>
    <row r="230" ht="15.75" customHeight="1">
      <c r="A230" s="30"/>
      <c r="B230" s="30"/>
      <c r="C230" s="30"/>
      <c r="D230" s="82"/>
      <c r="E230" s="30"/>
      <c r="F230" s="30"/>
      <c r="G230" s="30"/>
      <c r="H230" s="30"/>
    </row>
    <row r="231" ht="15.75" customHeight="1">
      <c r="A231" s="30"/>
      <c r="B231" s="30"/>
      <c r="C231" s="30"/>
      <c r="D231" s="82"/>
      <c r="E231" s="30"/>
      <c r="F231" s="30"/>
      <c r="G231" s="30"/>
      <c r="H231" s="30"/>
    </row>
    <row r="232" ht="15.75" customHeight="1">
      <c r="A232" s="30"/>
      <c r="B232" s="30"/>
      <c r="C232" s="30"/>
      <c r="D232" s="82"/>
      <c r="E232" s="30"/>
      <c r="F232" s="30"/>
      <c r="G232" s="30"/>
      <c r="H232" s="30"/>
    </row>
    <row r="233" ht="15.75" customHeight="1">
      <c r="A233" s="30"/>
      <c r="B233" s="30"/>
      <c r="C233" s="30"/>
      <c r="D233" s="82"/>
      <c r="E233" s="30"/>
      <c r="F233" s="30"/>
      <c r="G233" s="30"/>
      <c r="H233" s="30"/>
    </row>
    <row r="234" ht="15.75" customHeight="1">
      <c r="A234" s="30"/>
      <c r="B234" s="30"/>
      <c r="C234" s="30"/>
      <c r="D234" s="82"/>
      <c r="E234" s="30"/>
      <c r="F234" s="30"/>
      <c r="G234" s="30"/>
      <c r="H234" s="30"/>
    </row>
    <row r="235" ht="15.75" customHeight="1">
      <c r="A235" s="30"/>
      <c r="B235" s="30"/>
      <c r="C235" s="30"/>
      <c r="D235" s="82"/>
      <c r="E235" s="30"/>
      <c r="F235" s="30"/>
      <c r="G235" s="30"/>
      <c r="H235" s="30"/>
    </row>
    <row r="236" ht="15.75" customHeight="1">
      <c r="A236" s="30"/>
      <c r="B236" s="30"/>
      <c r="C236" s="30"/>
      <c r="D236" s="82"/>
      <c r="E236" s="30"/>
      <c r="F236" s="30"/>
      <c r="G236" s="30"/>
      <c r="H236" s="30"/>
    </row>
    <row r="237" ht="15.75" customHeight="1">
      <c r="A237" s="30"/>
      <c r="B237" s="30"/>
      <c r="C237" s="30"/>
      <c r="D237" s="82"/>
      <c r="E237" s="30"/>
      <c r="F237" s="30"/>
      <c r="G237" s="30"/>
      <c r="H237" s="30"/>
    </row>
    <row r="238" ht="15.75" customHeight="1">
      <c r="A238" s="30"/>
      <c r="B238" s="30"/>
      <c r="C238" s="30"/>
      <c r="D238" s="82"/>
      <c r="E238" s="30"/>
      <c r="F238" s="30"/>
      <c r="G238" s="30"/>
      <c r="H238" s="30"/>
    </row>
    <row r="239" ht="15.75" customHeight="1">
      <c r="A239" s="30"/>
      <c r="B239" s="30"/>
      <c r="C239" s="30"/>
      <c r="D239" s="82"/>
      <c r="E239" s="30"/>
      <c r="F239" s="30"/>
      <c r="G239" s="30"/>
      <c r="H239" s="30"/>
    </row>
    <row r="240" ht="15.75" customHeight="1">
      <c r="A240" s="30"/>
      <c r="B240" s="30"/>
      <c r="C240" s="30"/>
      <c r="D240" s="82"/>
      <c r="E240" s="30"/>
      <c r="F240" s="30"/>
      <c r="G240" s="30"/>
      <c r="H240" s="30"/>
    </row>
    <row r="241" ht="15.75" customHeight="1">
      <c r="A241" s="30"/>
      <c r="B241" s="30"/>
      <c r="C241" s="30"/>
      <c r="D241" s="82"/>
      <c r="E241" s="30"/>
      <c r="F241" s="30"/>
      <c r="G241" s="30"/>
      <c r="H241" s="30"/>
    </row>
    <row r="242" ht="15.75" customHeight="1">
      <c r="A242" s="30"/>
      <c r="B242" s="30"/>
      <c r="C242" s="30"/>
      <c r="D242" s="82"/>
      <c r="E242" s="30"/>
      <c r="F242" s="30"/>
      <c r="G242" s="30"/>
      <c r="H242" s="30"/>
    </row>
    <row r="243" ht="15.75" customHeight="1">
      <c r="A243" s="30"/>
      <c r="B243" s="30"/>
      <c r="C243" s="30"/>
      <c r="D243" s="82"/>
      <c r="E243" s="30"/>
      <c r="F243" s="30"/>
      <c r="G243" s="30"/>
      <c r="H243" s="30"/>
    </row>
    <row r="244" ht="15.75" customHeight="1">
      <c r="A244" s="30"/>
      <c r="B244" s="30"/>
      <c r="C244" s="30"/>
      <c r="D244" s="82"/>
      <c r="E244" s="30"/>
      <c r="F244" s="30"/>
      <c r="G244" s="30"/>
      <c r="H244" s="30"/>
    </row>
    <row r="245" ht="15.75" customHeight="1">
      <c r="A245" s="30"/>
      <c r="B245" s="30"/>
      <c r="C245" s="30"/>
      <c r="D245" s="82"/>
      <c r="E245" s="30"/>
      <c r="F245" s="30"/>
      <c r="G245" s="30"/>
      <c r="H245" s="30"/>
    </row>
    <row r="246" ht="15.75" customHeight="1">
      <c r="A246" s="30"/>
      <c r="B246" s="30"/>
      <c r="C246" s="30"/>
      <c r="D246" s="82"/>
      <c r="E246" s="30"/>
      <c r="F246" s="30"/>
      <c r="G246" s="30"/>
      <c r="H246" s="30"/>
    </row>
    <row r="247" ht="15.75" customHeight="1">
      <c r="A247" s="30"/>
      <c r="B247" s="30"/>
      <c r="C247" s="30"/>
      <c r="D247" s="82"/>
      <c r="E247" s="30"/>
      <c r="F247" s="30"/>
      <c r="G247" s="30"/>
      <c r="H247" s="30"/>
    </row>
    <row r="248" ht="15.75" customHeight="1">
      <c r="A248" s="30"/>
      <c r="B248" s="30"/>
      <c r="C248" s="30"/>
      <c r="D248" s="82"/>
      <c r="E248" s="30"/>
      <c r="F248" s="30"/>
      <c r="G248" s="30"/>
      <c r="H248" s="30"/>
    </row>
    <row r="249" ht="15.75" customHeight="1">
      <c r="A249" s="30"/>
      <c r="B249" s="30"/>
      <c r="C249" s="30"/>
      <c r="D249" s="82"/>
      <c r="E249" s="30"/>
      <c r="F249" s="30"/>
      <c r="G249" s="30"/>
      <c r="H249" s="30"/>
    </row>
    <row r="250" ht="15.75" customHeight="1">
      <c r="A250" s="30"/>
      <c r="B250" s="30"/>
      <c r="C250" s="30"/>
      <c r="D250" s="82"/>
      <c r="E250" s="30"/>
      <c r="F250" s="30"/>
      <c r="G250" s="30"/>
      <c r="H250" s="30"/>
    </row>
    <row r="251" ht="15.75" customHeight="1">
      <c r="A251" s="30"/>
      <c r="B251" s="30"/>
      <c r="C251" s="30"/>
      <c r="D251" s="82"/>
      <c r="E251" s="30"/>
      <c r="F251" s="30"/>
      <c r="G251" s="30"/>
      <c r="H251" s="30"/>
    </row>
    <row r="252" ht="15.75" customHeight="1">
      <c r="A252" s="30"/>
      <c r="B252" s="30"/>
      <c r="C252" s="30"/>
      <c r="D252" s="82"/>
      <c r="E252" s="30"/>
      <c r="F252" s="30"/>
      <c r="G252" s="30"/>
      <c r="H252" s="30"/>
    </row>
    <row r="253" ht="15.75" customHeight="1">
      <c r="A253" s="30"/>
      <c r="B253" s="30"/>
      <c r="C253" s="30"/>
      <c r="D253" s="82"/>
      <c r="E253" s="30"/>
      <c r="F253" s="30"/>
      <c r="G253" s="30"/>
      <c r="H253" s="30"/>
    </row>
    <row r="254" ht="15.75" customHeight="1">
      <c r="A254" s="30"/>
      <c r="B254" s="30"/>
      <c r="C254" s="30"/>
      <c r="D254" s="82"/>
      <c r="E254" s="30"/>
      <c r="F254" s="30"/>
      <c r="G254" s="30"/>
      <c r="H254" s="30"/>
    </row>
    <row r="255" ht="15.75" customHeight="1">
      <c r="A255" s="30"/>
      <c r="B255" s="30"/>
      <c r="C255" s="30"/>
      <c r="D255" s="82"/>
      <c r="E255" s="30"/>
      <c r="F255" s="30"/>
      <c r="G255" s="30"/>
      <c r="H255" s="30"/>
    </row>
    <row r="256" ht="15.75" customHeight="1">
      <c r="A256" s="30"/>
      <c r="B256" s="30"/>
      <c r="C256" s="30"/>
      <c r="D256" s="82"/>
      <c r="E256" s="30"/>
      <c r="F256" s="30"/>
      <c r="G256" s="30"/>
      <c r="H256" s="30"/>
    </row>
    <row r="257" ht="15.75" customHeight="1">
      <c r="A257" s="30"/>
      <c r="B257" s="30"/>
      <c r="C257" s="30"/>
      <c r="D257" s="82"/>
      <c r="E257" s="30"/>
      <c r="F257" s="30"/>
      <c r="G257" s="30"/>
      <c r="H257" s="30"/>
    </row>
    <row r="258" ht="15.75" customHeight="1">
      <c r="A258" s="30"/>
      <c r="B258" s="30"/>
      <c r="C258" s="30"/>
      <c r="D258" s="82"/>
      <c r="E258" s="30"/>
      <c r="F258" s="30"/>
      <c r="G258" s="30"/>
      <c r="H258" s="30"/>
    </row>
    <row r="259" ht="15.75" customHeight="1">
      <c r="A259" s="30"/>
      <c r="B259" s="30"/>
      <c r="C259" s="30"/>
      <c r="D259" s="82"/>
      <c r="E259" s="30"/>
      <c r="F259" s="30"/>
      <c r="G259" s="30"/>
      <c r="H259" s="30"/>
    </row>
    <row r="260" ht="15.75" customHeight="1">
      <c r="A260" s="30"/>
      <c r="B260" s="30"/>
      <c r="C260" s="30"/>
      <c r="D260" s="82"/>
      <c r="E260" s="30"/>
      <c r="F260" s="30"/>
      <c r="G260" s="30"/>
      <c r="H260" s="30"/>
    </row>
    <row r="261" ht="15.75" customHeight="1">
      <c r="A261" s="30"/>
      <c r="B261" s="30"/>
      <c r="C261" s="30"/>
      <c r="D261" s="82"/>
      <c r="E261" s="30"/>
      <c r="F261" s="30"/>
      <c r="G261" s="30"/>
      <c r="H261" s="30"/>
    </row>
    <row r="262" ht="15.75" customHeight="1">
      <c r="A262" s="30"/>
      <c r="B262" s="30"/>
      <c r="C262" s="30"/>
      <c r="D262" s="82"/>
      <c r="E262" s="30"/>
      <c r="F262" s="30"/>
      <c r="G262" s="30"/>
      <c r="H262" s="30"/>
    </row>
    <row r="263" ht="15.75" customHeight="1">
      <c r="A263" s="30"/>
      <c r="B263" s="30"/>
      <c r="C263" s="30"/>
      <c r="D263" s="82"/>
      <c r="E263" s="30"/>
      <c r="F263" s="30"/>
      <c r="G263" s="30"/>
      <c r="H263" s="30"/>
    </row>
    <row r="264" ht="15.75" customHeight="1">
      <c r="A264" s="30"/>
      <c r="B264" s="30"/>
      <c r="C264" s="30"/>
      <c r="D264" s="82"/>
      <c r="E264" s="30"/>
      <c r="F264" s="30"/>
      <c r="G264" s="30"/>
      <c r="H264" s="30"/>
    </row>
    <row r="265" ht="15.75" customHeight="1">
      <c r="A265" s="30"/>
      <c r="B265" s="30"/>
      <c r="C265" s="30"/>
      <c r="D265" s="82"/>
      <c r="E265" s="30"/>
      <c r="F265" s="30"/>
      <c r="G265" s="30"/>
      <c r="H265" s="30"/>
    </row>
    <row r="266" ht="15.75" customHeight="1">
      <c r="A266" s="30"/>
      <c r="B266" s="30"/>
      <c r="C266" s="30"/>
      <c r="D266" s="82"/>
      <c r="E266" s="30"/>
      <c r="F266" s="30"/>
      <c r="G266" s="30"/>
      <c r="H266" s="30"/>
    </row>
    <row r="267" ht="15.75" customHeight="1">
      <c r="A267" s="30"/>
      <c r="B267" s="30"/>
      <c r="C267" s="30"/>
      <c r="D267" s="82"/>
      <c r="E267" s="30"/>
      <c r="F267" s="30"/>
      <c r="G267" s="30"/>
      <c r="H267" s="30"/>
    </row>
    <row r="268" ht="15.75" customHeight="1">
      <c r="A268" s="30"/>
      <c r="B268" s="30"/>
      <c r="C268" s="30"/>
      <c r="D268" s="82"/>
      <c r="E268" s="30"/>
      <c r="F268" s="30"/>
      <c r="G268" s="30"/>
      <c r="H268" s="30"/>
    </row>
    <row r="269" ht="15.75" customHeight="1">
      <c r="A269" s="30"/>
      <c r="B269" s="30"/>
      <c r="C269" s="30"/>
      <c r="D269" s="82"/>
      <c r="E269" s="30"/>
      <c r="F269" s="30"/>
      <c r="G269" s="30"/>
      <c r="H269" s="30"/>
    </row>
    <row r="270" ht="15.75" customHeight="1">
      <c r="A270" s="30"/>
      <c r="B270" s="30"/>
      <c r="C270" s="30"/>
      <c r="D270" s="82"/>
      <c r="E270" s="30"/>
      <c r="F270" s="30"/>
      <c r="G270" s="30"/>
      <c r="H270" s="30"/>
    </row>
    <row r="271" ht="15.75" customHeight="1">
      <c r="A271" s="30"/>
      <c r="B271" s="30"/>
      <c r="C271" s="30"/>
      <c r="D271" s="82"/>
      <c r="E271" s="30"/>
      <c r="F271" s="30"/>
      <c r="G271" s="30"/>
      <c r="H271" s="30"/>
    </row>
    <row r="272" ht="15.75" customHeight="1">
      <c r="A272" s="30"/>
      <c r="B272" s="30"/>
      <c r="C272" s="30"/>
      <c r="D272" s="82"/>
      <c r="E272" s="30"/>
      <c r="F272" s="30"/>
      <c r="G272" s="30"/>
      <c r="H272" s="30"/>
    </row>
    <row r="273" ht="15.75" customHeight="1">
      <c r="A273" s="30"/>
      <c r="B273" s="30"/>
      <c r="C273" s="30"/>
      <c r="D273" s="82"/>
      <c r="E273" s="30"/>
      <c r="F273" s="30"/>
      <c r="G273" s="30"/>
      <c r="H273" s="30"/>
    </row>
    <row r="274" ht="15.75" customHeight="1">
      <c r="A274" s="30"/>
      <c r="B274" s="30"/>
      <c r="C274" s="30"/>
      <c r="D274" s="82"/>
      <c r="E274" s="30"/>
      <c r="F274" s="30"/>
      <c r="G274" s="30"/>
      <c r="H274" s="30"/>
    </row>
    <row r="275" ht="15.75" customHeight="1">
      <c r="A275" s="30"/>
      <c r="B275" s="30"/>
      <c r="C275" s="30"/>
      <c r="D275" s="82"/>
      <c r="E275" s="30"/>
      <c r="F275" s="30"/>
      <c r="G275" s="30"/>
      <c r="H275" s="30"/>
    </row>
    <row r="276" ht="15.75" customHeight="1">
      <c r="A276" s="30"/>
      <c r="B276" s="30"/>
      <c r="C276" s="30"/>
      <c r="D276" s="82"/>
      <c r="E276" s="30"/>
      <c r="F276" s="30"/>
      <c r="G276" s="30"/>
      <c r="H276" s="30"/>
    </row>
    <row r="277" ht="15.75" customHeight="1">
      <c r="A277" s="30"/>
      <c r="B277" s="30"/>
      <c r="C277" s="30"/>
      <c r="D277" s="82"/>
      <c r="E277" s="30"/>
      <c r="F277" s="30"/>
      <c r="G277" s="30"/>
      <c r="H277" s="30"/>
    </row>
    <row r="278" ht="15.75" customHeight="1">
      <c r="A278" s="30"/>
      <c r="B278" s="30"/>
      <c r="C278" s="30"/>
      <c r="D278" s="82"/>
      <c r="E278" s="30"/>
      <c r="F278" s="30"/>
      <c r="G278" s="30"/>
      <c r="H278" s="30"/>
    </row>
    <row r="279" ht="15.75" customHeight="1">
      <c r="A279" s="30"/>
      <c r="B279" s="30"/>
      <c r="C279" s="30"/>
      <c r="D279" s="82"/>
      <c r="E279" s="30"/>
      <c r="F279" s="30"/>
      <c r="G279" s="30"/>
      <c r="H279" s="30"/>
    </row>
    <row r="280" ht="15.75" customHeight="1">
      <c r="A280" s="30"/>
      <c r="B280" s="30"/>
      <c r="C280" s="30"/>
      <c r="D280" s="82"/>
      <c r="E280" s="30"/>
      <c r="F280" s="30"/>
      <c r="G280" s="30"/>
      <c r="H280" s="30"/>
    </row>
    <row r="281" ht="15.75" customHeight="1">
      <c r="A281" s="30"/>
      <c r="B281" s="30"/>
      <c r="C281" s="30"/>
      <c r="D281" s="82"/>
      <c r="E281" s="30"/>
      <c r="F281" s="30"/>
      <c r="G281" s="30"/>
      <c r="H281" s="30"/>
    </row>
    <row r="282" ht="15.75" customHeight="1">
      <c r="A282" s="30"/>
      <c r="B282" s="30"/>
      <c r="C282" s="30"/>
      <c r="D282" s="82"/>
      <c r="E282" s="30"/>
      <c r="F282" s="30"/>
      <c r="G282" s="30"/>
      <c r="H282" s="30"/>
    </row>
    <row r="283" ht="15.75" customHeight="1">
      <c r="A283" s="30"/>
      <c r="B283" s="30"/>
      <c r="C283" s="30"/>
      <c r="D283" s="82"/>
      <c r="E283" s="30"/>
      <c r="F283" s="30"/>
      <c r="G283" s="30"/>
      <c r="H283" s="30"/>
    </row>
    <row r="284" ht="15.75" customHeight="1">
      <c r="A284" s="30"/>
      <c r="B284" s="30"/>
      <c r="C284" s="30"/>
      <c r="D284" s="82"/>
      <c r="E284" s="30"/>
      <c r="F284" s="30"/>
      <c r="G284" s="30"/>
      <c r="H284" s="30"/>
    </row>
    <row r="285" ht="15.75" customHeight="1">
      <c r="A285" s="30"/>
      <c r="B285" s="30"/>
      <c r="C285" s="30"/>
      <c r="D285" s="82"/>
      <c r="E285" s="30"/>
      <c r="F285" s="30"/>
      <c r="G285" s="30"/>
      <c r="H285" s="30"/>
    </row>
    <row r="286" ht="15.75" customHeight="1">
      <c r="A286" s="30"/>
      <c r="B286" s="30"/>
      <c r="C286" s="30"/>
      <c r="D286" s="82"/>
      <c r="E286" s="30"/>
      <c r="F286" s="30"/>
      <c r="G286" s="30"/>
      <c r="H286" s="30"/>
    </row>
    <row r="287" ht="15.75" customHeight="1">
      <c r="A287" s="30"/>
      <c r="B287" s="30"/>
      <c r="C287" s="30"/>
      <c r="D287" s="82"/>
      <c r="E287" s="30"/>
      <c r="F287" s="30"/>
      <c r="G287" s="30"/>
      <c r="H287" s="30"/>
    </row>
    <row r="288" ht="15.75" customHeight="1">
      <c r="A288" s="30"/>
      <c r="B288" s="30"/>
      <c r="C288" s="30"/>
      <c r="D288" s="82"/>
      <c r="E288" s="30"/>
      <c r="F288" s="30"/>
      <c r="G288" s="30"/>
      <c r="H288" s="30"/>
    </row>
    <row r="289" ht="15.75" customHeight="1">
      <c r="A289" s="30"/>
      <c r="B289" s="30"/>
      <c r="C289" s="30"/>
      <c r="D289" s="82"/>
      <c r="E289" s="30"/>
      <c r="F289" s="30"/>
      <c r="G289" s="30"/>
      <c r="H289" s="30"/>
    </row>
    <row r="290" ht="15.75" customHeight="1">
      <c r="A290" s="30"/>
      <c r="B290" s="30"/>
      <c r="C290" s="30"/>
      <c r="D290" s="82"/>
      <c r="E290" s="30"/>
      <c r="F290" s="30"/>
      <c r="G290" s="30"/>
      <c r="H290" s="30"/>
    </row>
    <row r="291" ht="15.75" customHeight="1">
      <c r="A291" s="30"/>
      <c r="B291" s="30"/>
      <c r="C291" s="30"/>
      <c r="D291" s="82"/>
      <c r="E291" s="30"/>
      <c r="F291" s="30"/>
      <c r="G291" s="30"/>
      <c r="H291" s="30"/>
    </row>
    <row r="292" ht="15.75" customHeight="1">
      <c r="A292" s="30"/>
      <c r="B292" s="30"/>
      <c r="C292" s="30"/>
      <c r="D292" s="82"/>
      <c r="E292" s="30"/>
      <c r="F292" s="30"/>
      <c r="G292" s="30"/>
      <c r="H292" s="30"/>
    </row>
    <row r="293" ht="15.75" customHeight="1">
      <c r="A293" s="30"/>
      <c r="B293" s="30"/>
      <c r="C293" s="30"/>
      <c r="D293" s="82"/>
      <c r="E293" s="30"/>
      <c r="F293" s="30"/>
      <c r="G293" s="30"/>
      <c r="H293" s="30"/>
    </row>
    <row r="294" ht="15.75" customHeight="1">
      <c r="A294" s="30"/>
      <c r="B294" s="30"/>
      <c r="C294" s="30"/>
      <c r="D294" s="82"/>
      <c r="E294" s="30"/>
      <c r="F294" s="30"/>
      <c r="G294" s="30"/>
      <c r="H294" s="30"/>
    </row>
    <row r="295" ht="15.75" customHeight="1">
      <c r="A295" s="30"/>
      <c r="B295" s="30"/>
      <c r="C295" s="30"/>
      <c r="D295" s="82"/>
      <c r="E295" s="30"/>
      <c r="F295" s="30"/>
      <c r="G295" s="30"/>
      <c r="H295" s="30"/>
    </row>
    <row r="296" ht="15.75" customHeight="1">
      <c r="A296" s="30"/>
      <c r="B296" s="30"/>
      <c r="C296" s="30"/>
      <c r="D296" s="82"/>
      <c r="E296" s="30"/>
      <c r="F296" s="30"/>
      <c r="G296" s="30"/>
      <c r="H296" s="30"/>
    </row>
    <row r="297" ht="15.75" customHeight="1">
      <c r="A297" s="30"/>
      <c r="B297" s="30"/>
      <c r="C297" s="30"/>
      <c r="D297" s="82"/>
      <c r="E297" s="30"/>
      <c r="F297" s="30"/>
      <c r="G297" s="30"/>
      <c r="H297" s="30"/>
    </row>
    <row r="298" ht="15.75" customHeight="1">
      <c r="A298" s="30"/>
      <c r="B298" s="30"/>
      <c r="C298" s="30"/>
      <c r="D298" s="82"/>
      <c r="E298" s="30"/>
      <c r="F298" s="30"/>
      <c r="G298" s="30"/>
      <c r="H298" s="30"/>
    </row>
    <row r="299" ht="15.75" customHeight="1">
      <c r="A299" s="30"/>
      <c r="B299" s="30"/>
      <c r="C299" s="30"/>
      <c r="D299" s="82"/>
      <c r="E299" s="30"/>
      <c r="F299" s="30"/>
      <c r="G299" s="30"/>
      <c r="H299" s="30"/>
    </row>
    <row r="300" ht="15.75" customHeight="1">
      <c r="A300" s="30"/>
      <c r="B300" s="30"/>
      <c r="C300" s="30"/>
      <c r="D300" s="82"/>
      <c r="E300" s="30"/>
      <c r="F300" s="30"/>
      <c r="G300" s="30"/>
      <c r="H300" s="30"/>
    </row>
    <row r="301" ht="15.75" customHeight="1">
      <c r="A301" s="30"/>
      <c r="B301" s="30"/>
      <c r="C301" s="30"/>
      <c r="D301" s="82"/>
      <c r="E301" s="30"/>
      <c r="F301" s="30"/>
      <c r="G301" s="30"/>
      <c r="H301" s="30"/>
    </row>
    <row r="302" ht="15.75" customHeight="1">
      <c r="A302" s="30"/>
      <c r="B302" s="30"/>
      <c r="C302" s="30"/>
      <c r="D302" s="82"/>
      <c r="E302" s="30"/>
      <c r="F302" s="30"/>
      <c r="G302" s="30"/>
      <c r="H302" s="30"/>
    </row>
    <row r="303" ht="15.75" customHeight="1">
      <c r="A303" s="30"/>
      <c r="B303" s="30"/>
      <c r="C303" s="30"/>
      <c r="D303" s="82"/>
      <c r="E303" s="30"/>
      <c r="F303" s="30"/>
      <c r="G303" s="30"/>
      <c r="H303" s="30"/>
    </row>
    <row r="304" ht="15.75" customHeight="1">
      <c r="A304" s="30"/>
      <c r="B304" s="30"/>
      <c r="C304" s="30"/>
      <c r="D304" s="82"/>
      <c r="E304" s="30"/>
      <c r="F304" s="30"/>
      <c r="G304" s="30"/>
      <c r="H304" s="30"/>
    </row>
    <row r="305" ht="15.75" customHeight="1">
      <c r="A305" s="30"/>
      <c r="B305" s="30"/>
      <c r="C305" s="30"/>
      <c r="D305" s="82"/>
      <c r="E305" s="30"/>
      <c r="F305" s="30"/>
      <c r="G305" s="30"/>
      <c r="H305" s="30"/>
    </row>
    <row r="306" ht="15.75" customHeight="1">
      <c r="A306" s="30"/>
      <c r="B306" s="30"/>
      <c r="C306" s="30"/>
      <c r="D306" s="82"/>
      <c r="E306" s="30"/>
      <c r="F306" s="30"/>
      <c r="G306" s="30"/>
      <c r="H306" s="30"/>
    </row>
    <row r="307" ht="15.75" customHeight="1">
      <c r="A307" s="30"/>
      <c r="B307" s="30"/>
      <c r="C307" s="30"/>
      <c r="D307" s="82"/>
      <c r="E307" s="30"/>
      <c r="F307" s="30"/>
      <c r="G307" s="30"/>
      <c r="H307" s="30"/>
    </row>
    <row r="308" ht="15.75" customHeight="1">
      <c r="A308" s="30"/>
      <c r="B308" s="30"/>
      <c r="C308" s="30"/>
      <c r="D308" s="82"/>
      <c r="E308" s="30"/>
      <c r="F308" s="30"/>
      <c r="G308" s="30"/>
      <c r="H308" s="30"/>
    </row>
    <row r="309" ht="15.75" customHeight="1">
      <c r="A309" s="30"/>
      <c r="B309" s="30"/>
      <c r="C309" s="30"/>
      <c r="D309" s="82"/>
      <c r="E309" s="30"/>
      <c r="F309" s="30"/>
      <c r="G309" s="30"/>
      <c r="H309" s="30"/>
    </row>
    <row r="310" ht="15.75" customHeight="1">
      <c r="A310" s="30"/>
      <c r="B310" s="30"/>
      <c r="C310" s="30"/>
      <c r="D310" s="82"/>
      <c r="E310" s="30"/>
      <c r="F310" s="30"/>
      <c r="G310" s="30"/>
      <c r="H310" s="30"/>
    </row>
    <row r="311" ht="15.75" customHeight="1">
      <c r="A311" s="30"/>
      <c r="B311" s="30"/>
      <c r="C311" s="30"/>
      <c r="D311" s="82"/>
      <c r="E311" s="30"/>
      <c r="F311" s="30"/>
      <c r="G311" s="30"/>
      <c r="H311" s="30"/>
    </row>
    <row r="312" ht="15.75" customHeight="1">
      <c r="A312" s="30"/>
      <c r="B312" s="30"/>
      <c r="C312" s="30"/>
      <c r="D312" s="82"/>
      <c r="E312" s="30"/>
      <c r="F312" s="30"/>
      <c r="G312" s="30"/>
      <c r="H312" s="30"/>
    </row>
    <row r="313" ht="15.75" customHeight="1">
      <c r="A313" s="30"/>
      <c r="B313" s="30"/>
      <c r="C313" s="30"/>
      <c r="D313" s="82"/>
      <c r="E313" s="30"/>
      <c r="F313" s="30"/>
      <c r="G313" s="30"/>
      <c r="H313" s="30"/>
    </row>
    <row r="314" ht="15.75" customHeight="1">
      <c r="A314" s="30"/>
      <c r="B314" s="30"/>
      <c r="C314" s="30"/>
      <c r="D314" s="82"/>
      <c r="E314" s="30"/>
      <c r="F314" s="30"/>
      <c r="G314" s="30"/>
      <c r="H314" s="30"/>
    </row>
    <row r="315" ht="15.75" customHeight="1">
      <c r="A315" s="30"/>
      <c r="B315" s="30"/>
      <c r="C315" s="30"/>
      <c r="D315" s="82"/>
      <c r="E315" s="30"/>
      <c r="F315" s="30"/>
      <c r="G315" s="30"/>
      <c r="H315" s="30"/>
    </row>
    <row r="316" ht="15.75" customHeight="1">
      <c r="A316" s="30"/>
      <c r="B316" s="30"/>
      <c r="C316" s="30"/>
      <c r="D316" s="82"/>
      <c r="E316" s="30"/>
      <c r="F316" s="30"/>
      <c r="G316" s="30"/>
      <c r="H316" s="30"/>
    </row>
    <row r="317" ht="15.75" customHeight="1">
      <c r="A317" s="30"/>
      <c r="B317" s="30"/>
      <c r="C317" s="30"/>
      <c r="D317" s="82"/>
      <c r="E317" s="30"/>
      <c r="F317" s="30"/>
      <c r="G317" s="30"/>
      <c r="H317" s="30"/>
    </row>
    <row r="318" ht="15.75" customHeight="1">
      <c r="A318" s="30"/>
      <c r="B318" s="30"/>
      <c r="C318" s="30"/>
      <c r="D318" s="82"/>
      <c r="E318" s="30"/>
      <c r="F318" s="30"/>
      <c r="G318" s="30"/>
      <c r="H318" s="30"/>
    </row>
    <row r="319" ht="15.75" customHeight="1">
      <c r="A319" s="30"/>
      <c r="B319" s="30"/>
      <c r="C319" s="30"/>
      <c r="D319" s="82"/>
      <c r="E319" s="30"/>
      <c r="F319" s="30"/>
      <c r="G319" s="30"/>
      <c r="H319" s="30"/>
    </row>
    <row r="320" ht="15.75" customHeight="1">
      <c r="A320" s="30"/>
      <c r="B320" s="30"/>
      <c r="C320" s="30"/>
      <c r="D320" s="82"/>
      <c r="E320" s="30"/>
      <c r="F320" s="30"/>
      <c r="G320" s="30"/>
      <c r="H320" s="30"/>
    </row>
    <row r="321" ht="15.75" customHeight="1">
      <c r="A321" s="30"/>
      <c r="B321" s="30"/>
      <c r="C321" s="30"/>
      <c r="D321" s="82"/>
      <c r="E321" s="30"/>
      <c r="F321" s="30"/>
      <c r="G321" s="30"/>
      <c r="H321" s="30"/>
    </row>
    <row r="322" ht="15.75" customHeight="1">
      <c r="A322" s="30"/>
      <c r="B322" s="30"/>
      <c r="C322" s="30"/>
      <c r="D322" s="82"/>
      <c r="E322" s="30"/>
      <c r="F322" s="30"/>
      <c r="G322" s="30"/>
      <c r="H322" s="30"/>
    </row>
    <row r="323" ht="15.75" customHeight="1">
      <c r="A323" s="30"/>
      <c r="B323" s="30"/>
      <c r="C323" s="30"/>
      <c r="D323" s="82"/>
      <c r="E323" s="30"/>
      <c r="F323" s="30"/>
      <c r="G323" s="30"/>
      <c r="H323" s="30"/>
    </row>
    <row r="324" ht="15.75" customHeight="1">
      <c r="A324" s="30"/>
      <c r="B324" s="30"/>
      <c r="C324" s="30"/>
      <c r="D324" s="82"/>
      <c r="E324" s="30"/>
      <c r="F324" s="30"/>
      <c r="G324" s="30"/>
      <c r="H324" s="30"/>
    </row>
    <row r="325" ht="15.75" customHeight="1">
      <c r="A325" s="30"/>
      <c r="B325" s="30"/>
      <c r="C325" s="30"/>
      <c r="D325" s="82"/>
      <c r="E325" s="30"/>
      <c r="F325" s="30"/>
      <c r="G325" s="30"/>
      <c r="H325" s="30"/>
    </row>
    <row r="326" ht="15.75" customHeight="1">
      <c r="A326" s="30"/>
      <c r="B326" s="30"/>
      <c r="C326" s="30"/>
      <c r="D326" s="82"/>
      <c r="E326" s="30"/>
      <c r="F326" s="30"/>
      <c r="G326" s="30"/>
      <c r="H326" s="30"/>
    </row>
    <row r="327" ht="15.75" customHeight="1">
      <c r="A327" s="30"/>
      <c r="B327" s="30"/>
      <c r="C327" s="30"/>
      <c r="D327" s="82"/>
      <c r="E327" s="30"/>
      <c r="F327" s="30"/>
      <c r="G327" s="30"/>
      <c r="H327" s="30"/>
    </row>
    <row r="328" ht="15.75" customHeight="1">
      <c r="A328" s="30"/>
      <c r="B328" s="30"/>
      <c r="C328" s="30"/>
      <c r="D328" s="82"/>
      <c r="E328" s="30"/>
      <c r="F328" s="30"/>
      <c r="G328" s="30"/>
      <c r="H328" s="30"/>
    </row>
    <row r="329" ht="15.75" customHeight="1">
      <c r="A329" s="30"/>
      <c r="B329" s="30"/>
      <c r="C329" s="30"/>
      <c r="D329" s="82"/>
      <c r="E329" s="30"/>
      <c r="F329" s="30"/>
      <c r="G329" s="30"/>
      <c r="H329" s="30"/>
    </row>
    <row r="330" ht="15.75" customHeight="1">
      <c r="A330" s="30"/>
      <c r="B330" s="30"/>
      <c r="C330" s="30"/>
      <c r="D330" s="82"/>
      <c r="E330" s="30"/>
      <c r="F330" s="30"/>
      <c r="G330" s="30"/>
      <c r="H330" s="30"/>
    </row>
    <row r="331" ht="15.75" customHeight="1">
      <c r="A331" s="30"/>
      <c r="B331" s="30"/>
      <c r="C331" s="30"/>
      <c r="D331" s="82"/>
      <c r="E331" s="30"/>
      <c r="F331" s="30"/>
      <c r="G331" s="30"/>
      <c r="H331" s="30"/>
    </row>
    <row r="332" ht="15.75" customHeight="1">
      <c r="A332" s="30"/>
      <c r="B332" s="30"/>
      <c r="C332" s="30"/>
      <c r="D332" s="82"/>
      <c r="E332" s="30"/>
      <c r="F332" s="30"/>
      <c r="G332" s="30"/>
      <c r="H332" s="30"/>
    </row>
    <row r="333" ht="15.75" customHeight="1">
      <c r="A333" s="30"/>
      <c r="B333" s="30"/>
      <c r="C333" s="30"/>
      <c r="D333" s="82"/>
      <c r="E333" s="30"/>
      <c r="F333" s="30"/>
      <c r="G333" s="30"/>
      <c r="H333" s="30"/>
    </row>
    <row r="334" ht="15.75" customHeight="1">
      <c r="A334" s="30"/>
      <c r="B334" s="30"/>
      <c r="C334" s="30"/>
      <c r="D334" s="82"/>
      <c r="E334" s="30"/>
      <c r="F334" s="30"/>
      <c r="G334" s="30"/>
      <c r="H334" s="30"/>
    </row>
    <row r="335" ht="15.75" customHeight="1">
      <c r="A335" s="30"/>
      <c r="B335" s="30"/>
      <c r="C335" s="30"/>
      <c r="D335" s="82"/>
      <c r="E335" s="30"/>
      <c r="F335" s="30"/>
      <c r="G335" s="30"/>
      <c r="H335" s="30"/>
    </row>
    <row r="336" ht="15.75" customHeight="1">
      <c r="A336" s="30"/>
      <c r="B336" s="30"/>
      <c r="C336" s="30"/>
      <c r="D336" s="82"/>
      <c r="E336" s="30"/>
      <c r="F336" s="30"/>
      <c r="G336" s="30"/>
      <c r="H336" s="30"/>
    </row>
    <row r="337" ht="15.75" customHeight="1">
      <c r="A337" s="30"/>
      <c r="B337" s="30"/>
      <c r="C337" s="30"/>
      <c r="D337" s="82"/>
      <c r="E337" s="30"/>
      <c r="F337" s="30"/>
      <c r="G337" s="30"/>
      <c r="H337" s="30"/>
    </row>
    <row r="338" ht="15.75" customHeight="1">
      <c r="A338" s="30"/>
      <c r="B338" s="30"/>
      <c r="C338" s="30"/>
      <c r="D338" s="82"/>
      <c r="E338" s="30"/>
      <c r="F338" s="30"/>
      <c r="G338" s="30"/>
      <c r="H338" s="30"/>
    </row>
    <row r="339" ht="15.75" customHeight="1">
      <c r="A339" s="30"/>
      <c r="B339" s="30"/>
      <c r="C339" s="30"/>
      <c r="D339" s="82"/>
      <c r="E339" s="30"/>
      <c r="F339" s="30"/>
      <c r="G339" s="30"/>
      <c r="H339" s="30"/>
    </row>
    <row r="340" ht="15.75" customHeight="1">
      <c r="A340" s="30"/>
      <c r="B340" s="30"/>
      <c r="C340" s="30"/>
      <c r="D340" s="82"/>
      <c r="E340" s="30"/>
      <c r="F340" s="30"/>
      <c r="G340" s="30"/>
      <c r="H340" s="30"/>
    </row>
    <row r="341" ht="15.75" customHeight="1">
      <c r="A341" s="30"/>
      <c r="B341" s="30"/>
      <c r="C341" s="30"/>
      <c r="D341" s="82"/>
      <c r="E341" s="30"/>
      <c r="F341" s="30"/>
      <c r="G341" s="30"/>
      <c r="H341" s="30"/>
    </row>
    <row r="342" ht="15.75" customHeight="1">
      <c r="A342" s="30"/>
      <c r="B342" s="30"/>
      <c r="C342" s="30"/>
      <c r="D342" s="82"/>
      <c r="E342" s="30"/>
      <c r="F342" s="30"/>
      <c r="G342" s="30"/>
      <c r="H342" s="30"/>
    </row>
    <row r="343" ht="15.75" customHeight="1">
      <c r="A343" s="30"/>
      <c r="B343" s="30"/>
      <c r="C343" s="30"/>
      <c r="D343" s="82"/>
      <c r="E343" s="30"/>
      <c r="F343" s="30"/>
      <c r="G343" s="30"/>
      <c r="H343" s="30"/>
    </row>
    <row r="344" ht="15.75" customHeight="1">
      <c r="A344" s="30"/>
      <c r="B344" s="30"/>
      <c r="C344" s="30"/>
      <c r="D344" s="82"/>
      <c r="E344" s="30"/>
      <c r="F344" s="30"/>
      <c r="G344" s="30"/>
      <c r="H344" s="30"/>
    </row>
    <row r="345" ht="15.75" customHeight="1">
      <c r="A345" s="30"/>
      <c r="B345" s="30"/>
      <c r="C345" s="30"/>
      <c r="D345" s="82"/>
      <c r="E345" s="30"/>
      <c r="F345" s="30"/>
      <c r="G345" s="30"/>
      <c r="H345" s="30"/>
    </row>
    <row r="346" ht="15.75" customHeight="1">
      <c r="A346" s="30"/>
      <c r="B346" s="30"/>
      <c r="C346" s="30"/>
      <c r="D346" s="82"/>
      <c r="E346" s="30"/>
      <c r="F346" s="30"/>
      <c r="G346" s="30"/>
      <c r="H346" s="30"/>
    </row>
    <row r="347" ht="15.75" customHeight="1">
      <c r="A347" s="30"/>
      <c r="B347" s="30"/>
      <c r="C347" s="30"/>
      <c r="D347" s="82"/>
      <c r="E347" s="30"/>
      <c r="F347" s="30"/>
      <c r="G347" s="30"/>
      <c r="H347" s="30"/>
    </row>
    <row r="348" ht="15.75" customHeight="1">
      <c r="A348" s="30"/>
      <c r="B348" s="30"/>
      <c r="C348" s="30"/>
      <c r="D348" s="82"/>
      <c r="E348" s="30"/>
      <c r="F348" s="30"/>
      <c r="G348" s="30"/>
      <c r="H348" s="30"/>
    </row>
    <row r="349" ht="15.75" customHeight="1">
      <c r="A349" s="30"/>
      <c r="B349" s="30"/>
      <c r="C349" s="30"/>
      <c r="D349" s="82"/>
      <c r="E349" s="30"/>
      <c r="F349" s="30"/>
      <c r="G349" s="30"/>
      <c r="H349" s="30"/>
    </row>
    <row r="350" ht="15.75" customHeight="1">
      <c r="A350" s="30"/>
      <c r="B350" s="30"/>
      <c r="C350" s="30"/>
      <c r="D350" s="82"/>
      <c r="E350" s="30"/>
      <c r="F350" s="30"/>
      <c r="G350" s="30"/>
      <c r="H350" s="30"/>
    </row>
    <row r="351" ht="15.75" customHeight="1">
      <c r="A351" s="30"/>
      <c r="B351" s="30"/>
      <c r="C351" s="30"/>
      <c r="D351" s="82"/>
      <c r="E351" s="30"/>
      <c r="F351" s="30"/>
      <c r="G351" s="30"/>
      <c r="H351" s="30"/>
    </row>
    <row r="352" ht="15.75" customHeight="1">
      <c r="A352" s="30"/>
      <c r="B352" s="30"/>
      <c r="C352" s="30"/>
      <c r="D352" s="82"/>
      <c r="E352" s="30"/>
      <c r="F352" s="30"/>
      <c r="G352" s="30"/>
      <c r="H352" s="30"/>
    </row>
    <row r="353" ht="15.75" customHeight="1">
      <c r="A353" s="30"/>
      <c r="B353" s="30"/>
      <c r="C353" s="30"/>
      <c r="D353" s="82"/>
      <c r="E353" s="30"/>
      <c r="F353" s="30"/>
      <c r="G353" s="30"/>
      <c r="H353" s="30"/>
    </row>
    <row r="354" ht="15.75" customHeight="1">
      <c r="A354" s="30"/>
      <c r="B354" s="30"/>
      <c r="C354" s="30"/>
      <c r="D354" s="82"/>
      <c r="E354" s="30"/>
      <c r="F354" s="30"/>
      <c r="G354" s="30"/>
      <c r="H354" s="30"/>
    </row>
    <row r="355" ht="15.75" customHeight="1">
      <c r="A355" s="30"/>
      <c r="B355" s="30"/>
      <c r="C355" s="30"/>
      <c r="D355" s="82"/>
      <c r="E355" s="30"/>
      <c r="F355" s="30"/>
      <c r="G355" s="30"/>
      <c r="H355" s="30"/>
    </row>
    <row r="356" ht="15.75" customHeight="1">
      <c r="A356" s="30"/>
      <c r="B356" s="30"/>
      <c r="C356" s="30"/>
      <c r="D356" s="82"/>
      <c r="E356" s="30"/>
      <c r="F356" s="30"/>
      <c r="G356" s="30"/>
      <c r="H356" s="30"/>
    </row>
    <row r="357" ht="15.75" customHeight="1">
      <c r="A357" s="30"/>
      <c r="B357" s="30"/>
      <c r="C357" s="30"/>
      <c r="D357" s="82"/>
      <c r="E357" s="30"/>
      <c r="F357" s="30"/>
      <c r="G357" s="30"/>
      <c r="H357" s="30"/>
    </row>
    <row r="358" ht="15.75" customHeight="1">
      <c r="A358" s="30"/>
      <c r="B358" s="30"/>
      <c r="C358" s="30"/>
      <c r="D358" s="82"/>
      <c r="E358" s="30"/>
      <c r="F358" s="30"/>
      <c r="G358" s="30"/>
      <c r="H358" s="30"/>
    </row>
    <row r="359" ht="15.75" customHeight="1">
      <c r="A359" s="30"/>
      <c r="B359" s="30"/>
      <c r="C359" s="30"/>
      <c r="D359" s="82"/>
      <c r="E359" s="30"/>
      <c r="F359" s="30"/>
      <c r="G359" s="30"/>
      <c r="H359" s="30"/>
    </row>
    <row r="360" ht="15.75" customHeight="1">
      <c r="A360" s="30"/>
      <c r="B360" s="30"/>
      <c r="C360" s="30"/>
      <c r="D360" s="82"/>
      <c r="E360" s="30"/>
      <c r="F360" s="30"/>
      <c r="G360" s="30"/>
      <c r="H360" s="30"/>
    </row>
    <row r="361" ht="15.75" customHeight="1">
      <c r="A361" s="30"/>
      <c r="B361" s="30"/>
      <c r="C361" s="30"/>
      <c r="D361" s="82"/>
      <c r="E361" s="30"/>
      <c r="F361" s="30"/>
      <c r="G361" s="30"/>
      <c r="H361" s="30"/>
    </row>
    <row r="362" ht="15.75" customHeight="1">
      <c r="A362" s="30"/>
      <c r="B362" s="30"/>
      <c r="C362" s="30"/>
      <c r="D362" s="82"/>
      <c r="E362" s="30"/>
      <c r="F362" s="30"/>
      <c r="G362" s="30"/>
      <c r="H362" s="30"/>
    </row>
    <row r="363" ht="15.75" customHeight="1">
      <c r="A363" s="30"/>
      <c r="B363" s="30"/>
      <c r="C363" s="30"/>
      <c r="D363" s="82"/>
      <c r="E363" s="30"/>
      <c r="F363" s="30"/>
      <c r="G363" s="30"/>
      <c r="H363" s="30"/>
    </row>
    <row r="364" ht="15.75" customHeight="1">
      <c r="A364" s="30"/>
      <c r="B364" s="30"/>
      <c r="C364" s="30"/>
      <c r="D364" s="82"/>
      <c r="E364" s="30"/>
      <c r="F364" s="30"/>
      <c r="G364" s="30"/>
      <c r="H364" s="30"/>
    </row>
    <row r="365" ht="15.75" customHeight="1">
      <c r="A365" s="30"/>
      <c r="B365" s="30"/>
      <c r="C365" s="30"/>
      <c r="D365" s="82"/>
      <c r="E365" s="30"/>
      <c r="F365" s="30"/>
      <c r="G365" s="30"/>
      <c r="H365" s="30"/>
    </row>
    <row r="366" ht="15.75" customHeight="1">
      <c r="A366" s="30"/>
      <c r="B366" s="30"/>
      <c r="C366" s="30"/>
      <c r="D366" s="82"/>
      <c r="E366" s="30"/>
      <c r="F366" s="30"/>
      <c r="G366" s="30"/>
      <c r="H366" s="30"/>
    </row>
    <row r="367" ht="15.75" customHeight="1">
      <c r="A367" s="30"/>
      <c r="B367" s="30"/>
      <c r="C367" s="30"/>
      <c r="D367" s="82"/>
      <c r="E367" s="30"/>
      <c r="F367" s="30"/>
      <c r="G367" s="30"/>
      <c r="H367" s="30"/>
    </row>
    <row r="368" ht="15.75" customHeight="1">
      <c r="A368" s="30"/>
      <c r="B368" s="30"/>
      <c r="C368" s="30"/>
      <c r="D368" s="82"/>
      <c r="E368" s="30"/>
      <c r="F368" s="30"/>
      <c r="G368" s="30"/>
      <c r="H368" s="30"/>
    </row>
    <row r="369" ht="15.75" customHeight="1">
      <c r="A369" s="30"/>
      <c r="B369" s="30"/>
      <c r="C369" s="30"/>
      <c r="D369" s="82"/>
      <c r="E369" s="30"/>
      <c r="F369" s="30"/>
      <c r="G369" s="30"/>
      <c r="H369" s="30"/>
    </row>
    <row r="370" ht="15.75" customHeight="1">
      <c r="A370" s="30"/>
      <c r="B370" s="30"/>
      <c r="C370" s="30"/>
      <c r="D370" s="82"/>
      <c r="E370" s="30"/>
      <c r="F370" s="30"/>
      <c r="G370" s="30"/>
      <c r="H370" s="30"/>
    </row>
    <row r="371" ht="15.75" customHeight="1">
      <c r="A371" s="30"/>
      <c r="B371" s="30"/>
      <c r="C371" s="30"/>
      <c r="D371" s="82"/>
      <c r="E371" s="30"/>
      <c r="F371" s="30"/>
      <c r="G371" s="30"/>
      <c r="H371" s="30"/>
    </row>
    <row r="372" ht="15.75" customHeight="1">
      <c r="A372" s="30"/>
      <c r="B372" s="30"/>
      <c r="C372" s="30"/>
      <c r="D372" s="82"/>
      <c r="E372" s="30"/>
      <c r="F372" s="30"/>
      <c r="G372" s="30"/>
      <c r="H372" s="30"/>
    </row>
    <row r="373" ht="15.75" customHeight="1">
      <c r="A373" s="30"/>
      <c r="B373" s="30"/>
      <c r="C373" s="30"/>
      <c r="D373" s="82"/>
      <c r="E373" s="30"/>
      <c r="F373" s="30"/>
      <c r="G373" s="30"/>
      <c r="H373" s="30"/>
    </row>
    <row r="374" ht="15.75" customHeight="1">
      <c r="A374" s="30"/>
      <c r="B374" s="30"/>
      <c r="C374" s="30"/>
      <c r="D374" s="82"/>
      <c r="E374" s="30"/>
      <c r="F374" s="30"/>
      <c r="G374" s="30"/>
      <c r="H374" s="30"/>
    </row>
    <row r="375" ht="15.75" customHeight="1">
      <c r="A375" s="30"/>
      <c r="B375" s="30"/>
      <c r="C375" s="30"/>
      <c r="D375" s="82"/>
      <c r="E375" s="30"/>
      <c r="F375" s="30"/>
      <c r="G375" s="30"/>
      <c r="H375" s="30"/>
    </row>
    <row r="376" ht="15.75" customHeight="1">
      <c r="A376" s="30"/>
      <c r="B376" s="30"/>
      <c r="C376" s="30"/>
      <c r="D376" s="82"/>
      <c r="E376" s="30"/>
      <c r="F376" s="30"/>
      <c r="G376" s="30"/>
      <c r="H376" s="30"/>
    </row>
    <row r="377" ht="15.75" customHeight="1">
      <c r="A377" s="30"/>
      <c r="B377" s="30"/>
      <c r="C377" s="30"/>
      <c r="D377" s="82"/>
      <c r="E377" s="30"/>
      <c r="F377" s="30"/>
      <c r="G377" s="30"/>
      <c r="H377" s="30"/>
    </row>
    <row r="378" ht="15.75" customHeight="1">
      <c r="A378" s="30"/>
      <c r="B378" s="30"/>
      <c r="C378" s="30"/>
      <c r="D378" s="82"/>
      <c r="E378" s="30"/>
      <c r="F378" s="30"/>
      <c r="G378" s="30"/>
      <c r="H378" s="30"/>
    </row>
    <row r="379" ht="15.75" customHeight="1">
      <c r="A379" s="30"/>
      <c r="B379" s="30"/>
      <c r="C379" s="30"/>
      <c r="D379" s="82"/>
      <c r="E379" s="30"/>
      <c r="F379" s="30"/>
      <c r="G379" s="30"/>
      <c r="H379" s="30"/>
    </row>
    <row r="380" ht="15.75" customHeight="1">
      <c r="A380" s="30"/>
      <c r="B380" s="30"/>
      <c r="C380" s="30"/>
      <c r="D380" s="82"/>
      <c r="E380" s="30"/>
      <c r="F380" s="30"/>
      <c r="G380" s="30"/>
      <c r="H380" s="30"/>
    </row>
    <row r="381" ht="15.75" customHeight="1">
      <c r="A381" s="30"/>
      <c r="B381" s="30"/>
      <c r="C381" s="30"/>
      <c r="D381" s="82"/>
      <c r="E381" s="30"/>
      <c r="F381" s="30"/>
      <c r="G381" s="30"/>
      <c r="H381" s="30"/>
    </row>
    <row r="382" ht="15.75" customHeight="1">
      <c r="A382" s="30"/>
      <c r="B382" s="30"/>
      <c r="C382" s="30"/>
      <c r="D382" s="82"/>
      <c r="E382" s="30"/>
      <c r="F382" s="30"/>
      <c r="G382" s="30"/>
      <c r="H382" s="30"/>
    </row>
    <row r="383" ht="15.75" customHeight="1">
      <c r="A383" s="30"/>
      <c r="B383" s="30"/>
      <c r="C383" s="30"/>
      <c r="D383" s="82"/>
      <c r="E383" s="30"/>
      <c r="F383" s="30"/>
      <c r="G383" s="30"/>
      <c r="H383" s="30"/>
    </row>
    <row r="384" ht="15.75" customHeight="1">
      <c r="A384" s="30"/>
      <c r="B384" s="30"/>
      <c r="C384" s="30"/>
      <c r="D384" s="82"/>
      <c r="E384" s="30"/>
      <c r="F384" s="30"/>
      <c r="G384" s="30"/>
      <c r="H384" s="30"/>
    </row>
    <row r="385" ht="15.75" customHeight="1">
      <c r="A385" s="30"/>
      <c r="B385" s="30"/>
      <c r="C385" s="30"/>
      <c r="D385" s="82"/>
      <c r="E385" s="30"/>
      <c r="F385" s="30"/>
      <c r="G385" s="30"/>
      <c r="H385" s="30"/>
    </row>
    <row r="386" ht="15.75" customHeight="1">
      <c r="A386" s="30"/>
      <c r="B386" s="30"/>
      <c r="C386" s="30"/>
      <c r="D386" s="82"/>
      <c r="E386" s="30"/>
      <c r="F386" s="30"/>
      <c r="G386" s="30"/>
      <c r="H386" s="30"/>
    </row>
    <row r="387" ht="15.75" customHeight="1">
      <c r="A387" s="30"/>
      <c r="B387" s="30"/>
      <c r="C387" s="30"/>
      <c r="D387" s="82"/>
      <c r="E387" s="30"/>
      <c r="F387" s="30"/>
      <c r="G387" s="30"/>
      <c r="H387" s="30"/>
    </row>
    <row r="388" ht="15.75" customHeight="1">
      <c r="A388" s="30"/>
      <c r="B388" s="30"/>
      <c r="C388" s="30"/>
      <c r="D388" s="82"/>
      <c r="E388" s="30"/>
      <c r="F388" s="30"/>
      <c r="G388" s="30"/>
      <c r="H388" s="30"/>
    </row>
    <row r="389" ht="15.75" customHeight="1">
      <c r="A389" s="30"/>
      <c r="B389" s="30"/>
      <c r="C389" s="30"/>
      <c r="D389" s="82"/>
      <c r="E389" s="30"/>
      <c r="F389" s="30"/>
      <c r="G389" s="30"/>
      <c r="H389" s="30"/>
    </row>
    <row r="390" ht="15.75" customHeight="1">
      <c r="A390" s="30"/>
      <c r="B390" s="30"/>
      <c r="C390" s="30"/>
      <c r="D390" s="82"/>
      <c r="E390" s="30"/>
      <c r="F390" s="30"/>
      <c r="G390" s="30"/>
      <c r="H390" s="30"/>
    </row>
    <row r="391" ht="15.75" customHeight="1">
      <c r="A391" s="30"/>
      <c r="B391" s="30"/>
      <c r="C391" s="30"/>
      <c r="D391" s="82"/>
      <c r="E391" s="30"/>
      <c r="F391" s="30"/>
      <c r="G391" s="30"/>
      <c r="H391" s="30"/>
    </row>
    <row r="392" ht="15.75" customHeight="1">
      <c r="A392" s="30"/>
      <c r="B392" s="30"/>
      <c r="C392" s="30"/>
      <c r="D392" s="82"/>
      <c r="E392" s="30"/>
      <c r="F392" s="30"/>
      <c r="G392" s="30"/>
      <c r="H392" s="30"/>
    </row>
    <row r="393" ht="15.75" customHeight="1">
      <c r="A393" s="30"/>
      <c r="B393" s="30"/>
      <c r="C393" s="30"/>
      <c r="D393" s="82"/>
      <c r="E393" s="30"/>
      <c r="F393" s="30"/>
      <c r="G393" s="30"/>
      <c r="H393" s="30"/>
    </row>
    <row r="394" ht="15.75" customHeight="1">
      <c r="A394" s="30"/>
      <c r="B394" s="30"/>
      <c r="C394" s="30"/>
      <c r="D394" s="82"/>
      <c r="E394" s="30"/>
      <c r="F394" s="30"/>
      <c r="G394" s="30"/>
      <c r="H394" s="30"/>
    </row>
    <row r="395" ht="15.75" customHeight="1">
      <c r="A395" s="30"/>
      <c r="B395" s="30"/>
      <c r="C395" s="30"/>
      <c r="D395" s="82"/>
      <c r="E395" s="30"/>
      <c r="F395" s="30"/>
      <c r="G395" s="30"/>
      <c r="H395" s="30"/>
    </row>
    <row r="396" ht="15.75" customHeight="1">
      <c r="A396" s="30"/>
      <c r="B396" s="30"/>
      <c r="C396" s="30"/>
      <c r="D396" s="82"/>
      <c r="E396" s="30"/>
      <c r="F396" s="30"/>
      <c r="G396" s="30"/>
      <c r="H396" s="30"/>
    </row>
    <row r="397" ht="15.75" customHeight="1">
      <c r="A397" s="30"/>
      <c r="B397" s="30"/>
      <c r="C397" s="30"/>
      <c r="D397" s="82"/>
      <c r="E397" s="30"/>
      <c r="F397" s="30"/>
      <c r="G397" s="30"/>
      <c r="H397" s="30"/>
    </row>
    <row r="398" ht="15.75" customHeight="1">
      <c r="A398" s="30"/>
      <c r="B398" s="30"/>
      <c r="C398" s="30"/>
      <c r="D398" s="82"/>
      <c r="E398" s="30"/>
      <c r="F398" s="30"/>
      <c r="G398" s="30"/>
      <c r="H398" s="30"/>
    </row>
    <row r="399" ht="15.75" customHeight="1">
      <c r="A399" s="30"/>
      <c r="B399" s="30"/>
      <c r="C399" s="30"/>
      <c r="D399" s="82"/>
      <c r="E399" s="30"/>
      <c r="F399" s="30"/>
      <c r="G399" s="30"/>
      <c r="H399" s="30"/>
    </row>
    <row r="400" ht="15.75" customHeight="1">
      <c r="A400" s="30"/>
      <c r="B400" s="30"/>
      <c r="C400" s="30"/>
      <c r="D400" s="82"/>
      <c r="E400" s="30"/>
      <c r="F400" s="30"/>
      <c r="G400" s="30"/>
      <c r="H400" s="30"/>
    </row>
    <row r="401" ht="15.75" customHeight="1">
      <c r="A401" s="30"/>
      <c r="B401" s="30"/>
      <c r="C401" s="30"/>
      <c r="D401" s="82"/>
      <c r="E401" s="30"/>
      <c r="F401" s="30"/>
      <c r="G401" s="30"/>
      <c r="H401" s="30"/>
    </row>
    <row r="402" ht="15.75" customHeight="1">
      <c r="A402" s="30"/>
      <c r="B402" s="30"/>
      <c r="C402" s="30"/>
      <c r="D402" s="82"/>
      <c r="E402" s="30"/>
      <c r="F402" s="30"/>
      <c r="G402" s="30"/>
      <c r="H402" s="30"/>
    </row>
    <row r="403" ht="15.75" customHeight="1">
      <c r="A403" s="30"/>
      <c r="B403" s="30"/>
      <c r="C403" s="30"/>
      <c r="D403" s="82"/>
      <c r="E403" s="30"/>
      <c r="F403" s="30"/>
      <c r="G403" s="30"/>
      <c r="H403" s="30"/>
    </row>
    <row r="404" ht="15.75" customHeight="1">
      <c r="A404" s="30"/>
      <c r="B404" s="30"/>
      <c r="C404" s="30"/>
      <c r="D404" s="82"/>
      <c r="E404" s="30"/>
      <c r="F404" s="30"/>
      <c r="G404" s="30"/>
      <c r="H404" s="30"/>
    </row>
    <row r="405" ht="15.75" customHeight="1">
      <c r="A405" s="30"/>
      <c r="B405" s="30"/>
      <c r="C405" s="30"/>
      <c r="D405" s="82"/>
      <c r="E405" s="30"/>
      <c r="F405" s="30"/>
      <c r="G405" s="30"/>
      <c r="H405" s="30"/>
    </row>
    <row r="406" ht="15.75" customHeight="1">
      <c r="A406" s="30"/>
      <c r="B406" s="30"/>
      <c r="C406" s="30"/>
      <c r="D406" s="82"/>
      <c r="E406" s="30"/>
      <c r="F406" s="30"/>
      <c r="G406" s="30"/>
      <c r="H406" s="30"/>
    </row>
    <row r="407" ht="15.75" customHeight="1">
      <c r="A407" s="30"/>
      <c r="B407" s="30"/>
      <c r="C407" s="30"/>
      <c r="D407" s="82"/>
      <c r="E407" s="30"/>
      <c r="F407" s="30"/>
      <c r="G407" s="30"/>
      <c r="H407" s="30"/>
    </row>
    <row r="408" ht="15.75" customHeight="1">
      <c r="A408" s="30"/>
      <c r="B408" s="30"/>
      <c r="C408" s="30"/>
      <c r="D408" s="82"/>
      <c r="E408" s="30"/>
      <c r="F408" s="30"/>
      <c r="G408" s="30"/>
      <c r="H408" s="30"/>
    </row>
    <row r="409" ht="15.75" customHeight="1">
      <c r="A409" s="30"/>
      <c r="B409" s="30"/>
      <c r="C409" s="30"/>
      <c r="D409" s="82"/>
      <c r="E409" s="30"/>
      <c r="F409" s="30"/>
      <c r="G409" s="30"/>
      <c r="H409" s="30"/>
    </row>
    <row r="410" ht="15.75" customHeight="1">
      <c r="A410" s="30"/>
      <c r="B410" s="30"/>
      <c r="C410" s="30"/>
      <c r="D410" s="82"/>
      <c r="E410" s="30"/>
      <c r="F410" s="30"/>
      <c r="G410" s="30"/>
      <c r="H410" s="30"/>
    </row>
    <row r="411" ht="15.75" customHeight="1">
      <c r="A411" s="30"/>
      <c r="B411" s="30"/>
      <c r="C411" s="30"/>
      <c r="D411" s="82"/>
      <c r="E411" s="30"/>
      <c r="F411" s="30"/>
      <c r="G411" s="30"/>
      <c r="H411" s="30"/>
    </row>
    <row r="412" ht="15.75" customHeight="1">
      <c r="A412" s="30"/>
      <c r="B412" s="30"/>
      <c r="C412" s="30"/>
      <c r="D412" s="82"/>
      <c r="E412" s="30"/>
      <c r="F412" s="30"/>
      <c r="G412" s="30"/>
      <c r="H412" s="30"/>
    </row>
    <row r="413" ht="15.75" customHeight="1">
      <c r="A413" s="30"/>
      <c r="B413" s="30"/>
      <c r="C413" s="30"/>
      <c r="D413" s="82"/>
      <c r="E413" s="30"/>
      <c r="F413" s="30"/>
      <c r="G413" s="30"/>
      <c r="H413" s="30"/>
    </row>
    <row r="414" ht="15.75" customHeight="1">
      <c r="A414" s="30"/>
      <c r="B414" s="30"/>
      <c r="C414" s="30"/>
      <c r="D414" s="82"/>
      <c r="E414" s="30"/>
      <c r="F414" s="30"/>
      <c r="G414" s="30"/>
      <c r="H414" s="30"/>
    </row>
    <row r="415" ht="15.75" customHeight="1">
      <c r="A415" s="30"/>
      <c r="B415" s="30"/>
      <c r="C415" s="30"/>
      <c r="D415" s="82"/>
      <c r="E415" s="30"/>
      <c r="F415" s="30"/>
      <c r="G415" s="30"/>
      <c r="H415" s="30"/>
    </row>
    <row r="416" ht="15.75" customHeight="1">
      <c r="A416" s="30"/>
      <c r="B416" s="30"/>
      <c r="C416" s="30"/>
      <c r="D416" s="82"/>
      <c r="E416" s="30"/>
      <c r="F416" s="30"/>
      <c r="G416" s="30"/>
      <c r="H416" s="30"/>
    </row>
    <row r="417" ht="15.75" customHeight="1">
      <c r="A417" s="30"/>
      <c r="B417" s="30"/>
      <c r="C417" s="30"/>
      <c r="D417" s="82"/>
      <c r="E417" s="30"/>
      <c r="F417" s="30"/>
      <c r="G417" s="30"/>
      <c r="H417" s="30"/>
    </row>
    <row r="418" ht="15.75" customHeight="1">
      <c r="A418" s="30"/>
      <c r="B418" s="30"/>
      <c r="C418" s="30"/>
      <c r="D418" s="82"/>
      <c r="E418" s="30"/>
      <c r="F418" s="30"/>
      <c r="G418" s="30"/>
      <c r="H418" s="30"/>
    </row>
    <row r="419" ht="15.75" customHeight="1">
      <c r="A419" s="30"/>
      <c r="B419" s="30"/>
      <c r="C419" s="30"/>
      <c r="D419" s="82"/>
      <c r="E419" s="30"/>
      <c r="F419" s="30"/>
      <c r="G419" s="30"/>
      <c r="H419" s="30"/>
    </row>
    <row r="420" ht="15.75" customHeight="1">
      <c r="A420" s="30"/>
      <c r="B420" s="30"/>
      <c r="C420" s="30"/>
      <c r="D420" s="82"/>
      <c r="E420" s="30"/>
      <c r="F420" s="30"/>
      <c r="G420" s="30"/>
      <c r="H420" s="30"/>
    </row>
    <row r="421" ht="15.75" customHeight="1">
      <c r="A421" s="30"/>
      <c r="B421" s="30"/>
      <c r="C421" s="30"/>
      <c r="D421" s="82"/>
      <c r="E421" s="30"/>
      <c r="F421" s="30"/>
      <c r="G421" s="30"/>
      <c r="H421" s="30"/>
    </row>
    <row r="422" ht="15.75" customHeight="1">
      <c r="A422" s="30"/>
      <c r="B422" s="30"/>
      <c r="C422" s="30"/>
      <c r="D422" s="82"/>
      <c r="E422" s="30"/>
      <c r="F422" s="30"/>
      <c r="G422" s="30"/>
      <c r="H422" s="30"/>
    </row>
    <row r="423" ht="15.75" customHeight="1">
      <c r="A423" s="30"/>
      <c r="B423" s="30"/>
      <c r="C423" s="30"/>
      <c r="D423" s="82"/>
      <c r="E423" s="30"/>
      <c r="F423" s="30"/>
      <c r="G423" s="30"/>
      <c r="H423" s="30"/>
    </row>
    <row r="424" ht="15.75" customHeight="1">
      <c r="A424" s="30"/>
      <c r="B424" s="30"/>
      <c r="C424" s="30"/>
      <c r="D424" s="82"/>
      <c r="E424" s="30"/>
      <c r="F424" s="30"/>
      <c r="G424" s="30"/>
      <c r="H424" s="30"/>
    </row>
    <row r="425" ht="15.75" customHeight="1">
      <c r="A425" s="30"/>
      <c r="B425" s="30"/>
      <c r="C425" s="30"/>
      <c r="D425" s="82"/>
      <c r="E425" s="30"/>
      <c r="F425" s="30"/>
      <c r="G425" s="30"/>
      <c r="H425" s="30"/>
    </row>
    <row r="426" ht="15.75" customHeight="1">
      <c r="A426" s="30"/>
      <c r="B426" s="30"/>
      <c r="C426" s="30"/>
      <c r="D426" s="82"/>
      <c r="E426" s="30"/>
      <c r="F426" s="30"/>
      <c r="G426" s="30"/>
      <c r="H426" s="30"/>
    </row>
    <row r="427" ht="15.75" customHeight="1">
      <c r="A427" s="30"/>
      <c r="B427" s="30"/>
      <c r="C427" s="30"/>
      <c r="D427" s="82"/>
      <c r="E427" s="30"/>
      <c r="F427" s="30"/>
      <c r="G427" s="30"/>
      <c r="H427" s="30"/>
    </row>
    <row r="428" ht="15.75" customHeight="1">
      <c r="A428" s="30"/>
      <c r="B428" s="30"/>
      <c r="C428" s="30"/>
      <c r="D428" s="82"/>
      <c r="E428" s="30"/>
      <c r="F428" s="30"/>
      <c r="G428" s="30"/>
      <c r="H428" s="30"/>
    </row>
    <row r="429" ht="15.75" customHeight="1">
      <c r="A429" s="30"/>
      <c r="B429" s="30"/>
      <c r="C429" s="30"/>
      <c r="D429" s="82"/>
      <c r="E429" s="30"/>
      <c r="F429" s="30"/>
      <c r="G429" s="30"/>
      <c r="H429" s="30"/>
    </row>
    <row r="430" ht="15.75" customHeight="1">
      <c r="A430" s="30"/>
      <c r="B430" s="30"/>
      <c r="C430" s="30"/>
      <c r="D430" s="82"/>
      <c r="E430" s="30"/>
      <c r="F430" s="30"/>
      <c r="G430" s="30"/>
      <c r="H430" s="30"/>
    </row>
    <row r="431" ht="15.75" customHeight="1">
      <c r="A431" s="30"/>
      <c r="B431" s="30"/>
      <c r="C431" s="30"/>
      <c r="D431" s="82"/>
      <c r="E431" s="30"/>
      <c r="F431" s="30"/>
      <c r="G431" s="30"/>
      <c r="H431" s="30"/>
    </row>
    <row r="432" ht="15.75" customHeight="1">
      <c r="A432" s="30"/>
      <c r="B432" s="30"/>
      <c r="C432" s="30"/>
      <c r="D432" s="82"/>
      <c r="E432" s="30"/>
      <c r="F432" s="30"/>
      <c r="G432" s="30"/>
      <c r="H432" s="30"/>
    </row>
    <row r="433" ht="15.75" customHeight="1">
      <c r="A433" s="30"/>
      <c r="B433" s="30"/>
      <c r="C433" s="30"/>
      <c r="D433" s="82"/>
      <c r="E433" s="30"/>
      <c r="F433" s="30"/>
      <c r="G433" s="30"/>
      <c r="H433" s="30"/>
    </row>
    <row r="434" ht="15.75" customHeight="1">
      <c r="A434" s="30"/>
      <c r="B434" s="30"/>
      <c r="C434" s="30"/>
      <c r="D434" s="82"/>
      <c r="E434" s="30"/>
      <c r="F434" s="30"/>
      <c r="G434" s="30"/>
      <c r="H434" s="30"/>
    </row>
    <row r="435" ht="15.75" customHeight="1">
      <c r="A435" s="30"/>
      <c r="B435" s="30"/>
      <c r="C435" s="30"/>
      <c r="D435" s="82"/>
      <c r="E435" s="30"/>
      <c r="F435" s="30"/>
      <c r="G435" s="30"/>
      <c r="H435" s="30"/>
    </row>
    <row r="436" ht="15.75" customHeight="1">
      <c r="A436" s="30"/>
      <c r="B436" s="30"/>
      <c r="C436" s="30"/>
      <c r="D436" s="82"/>
      <c r="E436" s="30"/>
      <c r="F436" s="30"/>
      <c r="G436" s="30"/>
      <c r="H436" s="30"/>
    </row>
    <row r="437" ht="15.75" customHeight="1">
      <c r="A437" s="30"/>
      <c r="B437" s="30"/>
      <c r="C437" s="30"/>
      <c r="D437" s="82"/>
      <c r="E437" s="30"/>
      <c r="F437" s="30"/>
      <c r="G437" s="30"/>
      <c r="H437" s="30"/>
    </row>
    <row r="438" ht="15.75" customHeight="1">
      <c r="A438" s="30"/>
      <c r="B438" s="30"/>
      <c r="C438" s="30"/>
      <c r="D438" s="82"/>
      <c r="E438" s="30"/>
      <c r="F438" s="30"/>
      <c r="G438" s="30"/>
      <c r="H438" s="30"/>
    </row>
    <row r="439" ht="15.75" customHeight="1">
      <c r="A439" s="30"/>
      <c r="B439" s="30"/>
      <c r="C439" s="30"/>
      <c r="D439" s="82"/>
      <c r="E439" s="30"/>
      <c r="F439" s="30"/>
      <c r="G439" s="30"/>
      <c r="H439" s="30"/>
    </row>
    <row r="440" ht="15.75" customHeight="1">
      <c r="A440" s="30"/>
      <c r="B440" s="30"/>
      <c r="C440" s="30"/>
      <c r="D440" s="82"/>
      <c r="E440" s="30"/>
      <c r="F440" s="30"/>
      <c r="G440" s="30"/>
      <c r="H440" s="30"/>
    </row>
    <row r="441" ht="15.75" customHeight="1">
      <c r="A441" s="30"/>
      <c r="B441" s="30"/>
      <c r="C441" s="30"/>
      <c r="D441" s="82"/>
      <c r="E441" s="30"/>
      <c r="F441" s="30"/>
      <c r="G441" s="30"/>
      <c r="H441" s="30"/>
    </row>
    <row r="442" ht="15.75" customHeight="1">
      <c r="A442" s="30"/>
      <c r="B442" s="30"/>
      <c r="C442" s="30"/>
      <c r="D442" s="82"/>
      <c r="E442" s="30"/>
      <c r="F442" s="30"/>
      <c r="G442" s="30"/>
      <c r="H442" s="30"/>
    </row>
    <row r="443" ht="15.75" customHeight="1">
      <c r="A443" s="30"/>
      <c r="B443" s="30"/>
      <c r="C443" s="30"/>
      <c r="D443" s="82"/>
      <c r="E443" s="30"/>
      <c r="F443" s="30"/>
      <c r="G443" s="30"/>
      <c r="H443" s="30"/>
    </row>
    <row r="444" ht="15.75" customHeight="1">
      <c r="A444" s="30"/>
      <c r="B444" s="30"/>
      <c r="C444" s="30"/>
      <c r="D444" s="82"/>
      <c r="E444" s="30"/>
      <c r="F444" s="30"/>
      <c r="G444" s="30"/>
      <c r="H444" s="30"/>
    </row>
    <row r="445" ht="15.75" customHeight="1">
      <c r="A445" s="30"/>
      <c r="B445" s="30"/>
      <c r="C445" s="30"/>
      <c r="D445" s="82"/>
      <c r="E445" s="30"/>
      <c r="F445" s="30"/>
      <c r="G445" s="30"/>
      <c r="H445" s="30"/>
    </row>
    <row r="446" ht="15.75" customHeight="1">
      <c r="A446" s="30"/>
      <c r="B446" s="30"/>
      <c r="C446" s="30"/>
      <c r="D446" s="82"/>
      <c r="E446" s="30"/>
      <c r="F446" s="30"/>
      <c r="G446" s="30"/>
      <c r="H446" s="30"/>
    </row>
    <row r="447" ht="15.75" customHeight="1">
      <c r="A447" s="30"/>
      <c r="B447" s="30"/>
      <c r="C447" s="30"/>
      <c r="D447" s="82"/>
      <c r="E447" s="30"/>
      <c r="F447" s="30"/>
      <c r="G447" s="30"/>
      <c r="H447" s="30"/>
    </row>
    <row r="448" ht="15.75" customHeight="1">
      <c r="A448" s="30"/>
      <c r="B448" s="30"/>
      <c r="C448" s="30"/>
      <c r="D448" s="82"/>
      <c r="E448" s="30"/>
      <c r="F448" s="30"/>
      <c r="G448" s="30"/>
      <c r="H448" s="30"/>
    </row>
    <row r="449" ht="15.75" customHeight="1">
      <c r="A449" s="30"/>
      <c r="B449" s="30"/>
      <c r="C449" s="30"/>
      <c r="D449" s="82"/>
      <c r="E449" s="30"/>
      <c r="F449" s="30"/>
      <c r="G449" s="30"/>
      <c r="H449" s="30"/>
    </row>
    <row r="450" ht="15.75" customHeight="1">
      <c r="A450" s="30"/>
      <c r="B450" s="30"/>
      <c r="C450" s="30"/>
      <c r="D450" s="82"/>
      <c r="E450" s="30"/>
      <c r="F450" s="30"/>
      <c r="G450" s="30"/>
      <c r="H450" s="30"/>
    </row>
    <row r="451" ht="15.75" customHeight="1">
      <c r="A451" s="30"/>
      <c r="B451" s="30"/>
      <c r="C451" s="30"/>
      <c r="D451" s="82"/>
      <c r="E451" s="30"/>
      <c r="F451" s="30"/>
      <c r="G451" s="30"/>
      <c r="H451" s="30"/>
    </row>
    <row r="452" ht="15.75" customHeight="1">
      <c r="A452" s="30"/>
      <c r="B452" s="30"/>
      <c r="C452" s="30"/>
      <c r="D452" s="82"/>
      <c r="E452" s="30"/>
      <c r="F452" s="30"/>
      <c r="G452" s="30"/>
      <c r="H452" s="30"/>
    </row>
    <row r="453" ht="15.75" customHeight="1">
      <c r="A453" s="30"/>
      <c r="B453" s="30"/>
      <c r="C453" s="30"/>
      <c r="D453" s="82"/>
      <c r="E453" s="30"/>
      <c r="F453" s="30"/>
      <c r="G453" s="30"/>
      <c r="H453" s="30"/>
    </row>
    <row r="454" ht="15.75" customHeight="1">
      <c r="A454" s="30"/>
      <c r="B454" s="30"/>
      <c r="C454" s="30"/>
      <c r="D454" s="82"/>
      <c r="E454" s="30"/>
      <c r="F454" s="30"/>
      <c r="G454" s="30"/>
      <c r="H454" s="30"/>
    </row>
    <row r="455" ht="15.75" customHeight="1">
      <c r="A455" s="30"/>
      <c r="B455" s="30"/>
      <c r="C455" s="30"/>
      <c r="D455" s="82"/>
      <c r="E455" s="30"/>
      <c r="F455" s="30"/>
      <c r="G455" s="30"/>
      <c r="H455" s="30"/>
    </row>
    <row r="456" ht="15.75" customHeight="1">
      <c r="A456" s="30"/>
      <c r="B456" s="30"/>
      <c r="C456" s="30"/>
      <c r="D456" s="82"/>
      <c r="E456" s="30"/>
      <c r="F456" s="30"/>
      <c r="G456" s="30"/>
      <c r="H456" s="30"/>
    </row>
    <row r="457" ht="15.75" customHeight="1">
      <c r="A457" s="30"/>
      <c r="B457" s="30"/>
      <c r="C457" s="30"/>
      <c r="D457" s="82"/>
      <c r="E457" s="30"/>
      <c r="F457" s="30"/>
      <c r="G457" s="30"/>
      <c r="H457" s="30"/>
    </row>
    <row r="458" ht="15.75" customHeight="1">
      <c r="A458" s="30"/>
      <c r="B458" s="30"/>
      <c r="C458" s="30"/>
      <c r="D458" s="82"/>
      <c r="E458" s="30"/>
      <c r="F458" s="30"/>
      <c r="G458" s="30"/>
      <c r="H458" s="30"/>
    </row>
    <row r="459" ht="15.75" customHeight="1">
      <c r="A459" s="30"/>
      <c r="B459" s="30"/>
      <c r="C459" s="30"/>
      <c r="D459" s="82"/>
      <c r="E459" s="30"/>
      <c r="F459" s="30"/>
      <c r="G459" s="30"/>
      <c r="H459" s="30"/>
    </row>
    <row r="460" ht="15.75" customHeight="1">
      <c r="A460" s="30"/>
      <c r="B460" s="30"/>
      <c r="C460" s="30"/>
      <c r="D460" s="82"/>
      <c r="E460" s="30"/>
      <c r="F460" s="30"/>
      <c r="G460" s="30"/>
      <c r="H460" s="30"/>
    </row>
    <row r="461" ht="15.75" customHeight="1">
      <c r="A461" s="30"/>
      <c r="B461" s="30"/>
      <c r="C461" s="30"/>
      <c r="D461" s="82"/>
      <c r="E461" s="30"/>
      <c r="F461" s="30"/>
      <c r="G461" s="30"/>
      <c r="H461" s="30"/>
    </row>
    <row r="462" ht="15.75" customHeight="1">
      <c r="A462" s="30"/>
      <c r="B462" s="30"/>
      <c r="C462" s="30"/>
      <c r="D462" s="82"/>
      <c r="E462" s="30"/>
      <c r="F462" s="30"/>
      <c r="G462" s="30"/>
      <c r="H462" s="30"/>
    </row>
    <row r="463" ht="15.75" customHeight="1">
      <c r="A463" s="30"/>
      <c r="B463" s="30"/>
      <c r="C463" s="30"/>
      <c r="D463" s="82"/>
      <c r="E463" s="30"/>
      <c r="F463" s="30"/>
      <c r="G463" s="30"/>
      <c r="H463" s="30"/>
    </row>
    <row r="464" ht="15.75" customHeight="1">
      <c r="A464" s="30"/>
      <c r="B464" s="30"/>
      <c r="C464" s="30"/>
      <c r="D464" s="82"/>
      <c r="E464" s="30"/>
      <c r="F464" s="30"/>
      <c r="G464" s="30"/>
      <c r="H464" s="30"/>
    </row>
    <row r="465" ht="15.75" customHeight="1">
      <c r="A465" s="30"/>
      <c r="B465" s="30"/>
      <c r="C465" s="30"/>
      <c r="D465" s="82"/>
      <c r="E465" s="30"/>
      <c r="F465" s="30"/>
      <c r="G465" s="30"/>
      <c r="H465" s="30"/>
    </row>
    <row r="466" ht="15.75" customHeight="1">
      <c r="A466" s="30"/>
      <c r="B466" s="30"/>
      <c r="C466" s="30"/>
      <c r="D466" s="82"/>
      <c r="E466" s="30"/>
      <c r="F466" s="30"/>
      <c r="G466" s="30"/>
      <c r="H466" s="30"/>
    </row>
    <row r="467" ht="15.75" customHeight="1">
      <c r="A467" s="30"/>
      <c r="B467" s="30"/>
      <c r="C467" s="30"/>
      <c r="D467" s="82"/>
      <c r="E467" s="30"/>
      <c r="F467" s="30"/>
      <c r="G467" s="30"/>
      <c r="H467" s="30"/>
    </row>
    <row r="468" ht="15.75" customHeight="1">
      <c r="A468" s="30"/>
      <c r="B468" s="30"/>
      <c r="C468" s="30"/>
      <c r="D468" s="82"/>
      <c r="E468" s="30"/>
      <c r="F468" s="30"/>
      <c r="G468" s="30"/>
      <c r="H468" s="30"/>
    </row>
    <row r="469" ht="15.75" customHeight="1">
      <c r="A469" s="30"/>
      <c r="B469" s="30"/>
      <c r="C469" s="30"/>
      <c r="D469" s="82"/>
      <c r="E469" s="30"/>
      <c r="F469" s="30"/>
      <c r="G469" s="30"/>
      <c r="H469" s="30"/>
    </row>
    <row r="470" ht="15.75" customHeight="1">
      <c r="A470" s="30"/>
      <c r="B470" s="30"/>
      <c r="C470" s="30"/>
      <c r="D470" s="82"/>
      <c r="E470" s="30"/>
      <c r="F470" s="30"/>
      <c r="G470" s="30"/>
      <c r="H470" s="30"/>
    </row>
    <row r="471" ht="15.75" customHeight="1">
      <c r="A471" s="30"/>
      <c r="B471" s="30"/>
      <c r="C471" s="30"/>
      <c r="D471" s="82"/>
      <c r="E471" s="30"/>
      <c r="F471" s="30"/>
      <c r="G471" s="30"/>
      <c r="H471" s="30"/>
    </row>
    <row r="472" ht="15.75" customHeight="1">
      <c r="A472" s="30"/>
      <c r="B472" s="30"/>
      <c r="C472" s="30"/>
      <c r="D472" s="82"/>
      <c r="E472" s="30"/>
      <c r="F472" s="30"/>
      <c r="G472" s="30"/>
      <c r="H472" s="30"/>
    </row>
    <row r="473" ht="15.75" customHeight="1">
      <c r="A473" s="30"/>
      <c r="B473" s="30"/>
      <c r="C473" s="30"/>
      <c r="D473" s="82"/>
      <c r="E473" s="30"/>
      <c r="F473" s="30"/>
      <c r="G473" s="30"/>
      <c r="H473" s="30"/>
    </row>
    <row r="474" ht="15.75" customHeight="1">
      <c r="A474" s="30"/>
      <c r="B474" s="30"/>
      <c r="C474" s="30"/>
      <c r="D474" s="82"/>
      <c r="E474" s="30"/>
      <c r="F474" s="30"/>
      <c r="G474" s="30"/>
      <c r="H474" s="30"/>
    </row>
    <row r="475" ht="15.75" customHeight="1">
      <c r="A475" s="30"/>
      <c r="B475" s="30"/>
      <c r="C475" s="30"/>
      <c r="D475" s="82"/>
      <c r="E475" s="30"/>
      <c r="F475" s="30"/>
      <c r="G475" s="30"/>
      <c r="H475" s="30"/>
    </row>
    <row r="476" ht="15.75" customHeight="1">
      <c r="A476" s="30"/>
      <c r="B476" s="30"/>
      <c r="C476" s="30"/>
      <c r="D476" s="82"/>
      <c r="E476" s="30"/>
      <c r="F476" s="30"/>
      <c r="G476" s="30"/>
      <c r="H476" s="30"/>
    </row>
    <row r="477" ht="15.75" customHeight="1">
      <c r="A477" s="30"/>
      <c r="B477" s="30"/>
      <c r="C477" s="30"/>
      <c r="D477" s="82"/>
      <c r="E477" s="30"/>
      <c r="F477" s="30"/>
      <c r="G477" s="30"/>
      <c r="H477" s="30"/>
    </row>
    <row r="478" ht="15.75" customHeight="1">
      <c r="A478" s="30"/>
      <c r="B478" s="30"/>
      <c r="C478" s="30"/>
      <c r="D478" s="82"/>
      <c r="E478" s="30"/>
      <c r="F478" s="30"/>
      <c r="G478" s="30"/>
      <c r="H478" s="30"/>
    </row>
    <row r="479" ht="15.75" customHeight="1">
      <c r="A479" s="30"/>
      <c r="B479" s="30"/>
      <c r="C479" s="30"/>
      <c r="D479" s="82"/>
      <c r="E479" s="30"/>
      <c r="F479" s="30"/>
      <c r="G479" s="30"/>
      <c r="H479" s="30"/>
    </row>
    <row r="480" ht="15.75" customHeight="1">
      <c r="A480" s="30"/>
      <c r="B480" s="30"/>
      <c r="C480" s="30"/>
      <c r="D480" s="82"/>
      <c r="E480" s="30"/>
      <c r="F480" s="30"/>
      <c r="G480" s="30"/>
      <c r="H480" s="30"/>
    </row>
    <row r="481" ht="15.75" customHeight="1">
      <c r="A481" s="30"/>
      <c r="B481" s="30"/>
      <c r="C481" s="30"/>
      <c r="D481" s="82"/>
      <c r="E481" s="30"/>
      <c r="F481" s="30"/>
      <c r="G481" s="30"/>
      <c r="H481" s="30"/>
    </row>
    <row r="482" ht="15.75" customHeight="1">
      <c r="A482" s="30"/>
      <c r="B482" s="30"/>
      <c r="C482" s="30"/>
      <c r="D482" s="82"/>
      <c r="E482" s="30"/>
      <c r="F482" s="30"/>
      <c r="G482" s="30"/>
      <c r="H482" s="30"/>
    </row>
    <row r="483" ht="15.75" customHeight="1">
      <c r="A483" s="30"/>
      <c r="B483" s="30"/>
      <c r="C483" s="30"/>
      <c r="D483" s="82"/>
      <c r="E483" s="30"/>
      <c r="F483" s="30"/>
      <c r="G483" s="30"/>
      <c r="H483" s="30"/>
    </row>
    <row r="484" ht="15.75" customHeight="1">
      <c r="A484" s="30"/>
      <c r="B484" s="30"/>
      <c r="C484" s="30"/>
      <c r="D484" s="82"/>
      <c r="E484" s="30"/>
      <c r="F484" s="30"/>
      <c r="G484" s="30"/>
      <c r="H484" s="30"/>
    </row>
    <row r="485" ht="15.75" customHeight="1">
      <c r="A485" s="30"/>
      <c r="B485" s="30"/>
      <c r="C485" s="30"/>
      <c r="D485" s="82"/>
      <c r="E485" s="30"/>
      <c r="F485" s="30"/>
      <c r="G485" s="30"/>
      <c r="H485" s="30"/>
    </row>
    <row r="486" ht="15.75" customHeight="1">
      <c r="A486" s="30"/>
      <c r="B486" s="30"/>
      <c r="C486" s="30"/>
      <c r="D486" s="82"/>
      <c r="E486" s="30"/>
      <c r="F486" s="30"/>
      <c r="G486" s="30"/>
      <c r="H486" s="30"/>
    </row>
    <row r="487" ht="15.75" customHeight="1">
      <c r="A487" s="30"/>
      <c r="B487" s="30"/>
      <c r="C487" s="30"/>
      <c r="D487" s="82"/>
      <c r="E487" s="30"/>
      <c r="F487" s="30"/>
      <c r="G487" s="30"/>
      <c r="H487" s="30"/>
    </row>
    <row r="488" ht="15.75" customHeight="1">
      <c r="A488" s="30"/>
      <c r="B488" s="30"/>
      <c r="C488" s="30"/>
      <c r="D488" s="82"/>
      <c r="E488" s="30"/>
      <c r="F488" s="30"/>
      <c r="G488" s="30"/>
      <c r="H488" s="30"/>
    </row>
    <row r="489" ht="15.75" customHeight="1">
      <c r="A489" s="30"/>
      <c r="B489" s="30"/>
      <c r="C489" s="30"/>
      <c r="D489" s="82"/>
      <c r="E489" s="30"/>
      <c r="F489" s="30"/>
      <c r="G489" s="30"/>
      <c r="H489" s="30"/>
    </row>
    <row r="490" ht="15.75" customHeight="1">
      <c r="A490" s="30"/>
      <c r="B490" s="30"/>
      <c r="C490" s="30"/>
      <c r="D490" s="82"/>
      <c r="E490" s="30"/>
      <c r="F490" s="30"/>
      <c r="G490" s="30"/>
      <c r="H490" s="30"/>
    </row>
    <row r="491" ht="15.75" customHeight="1">
      <c r="A491" s="30"/>
      <c r="B491" s="30"/>
      <c r="C491" s="30"/>
      <c r="D491" s="82"/>
      <c r="E491" s="30"/>
      <c r="F491" s="30"/>
      <c r="G491" s="30"/>
      <c r="H491" s="30"/>
    </row>
    <row r="492" ht="15.75" customHeight="1">
      <c r="A492" s="30"/>
      <c r="B492" s="30"/>
      <c r="C492" s="30"/>
      <c r="D492" s="82"/>
      <c r="E492" s="30"/>
      <c r="F492" s="30"/>
      <c r="G492" s="30"/>
      <c r="H492" s="30"/>
    </row>
    <row r="493" ht="15.75" customHeight="1">
      <c r="A493" s="30"/>
      <c r="B493" s="30"/>
      <c r="C493" s="30"/>
      <c r="D493" s="82"/>
      <c r="E493" s="30"/>
      <c r="F493" s="30"/>
      <c r="G493" s="30"/>
      <c r="H493" s="30"/>
    </row>
    <row r="494" ht="15.75" customHeight="1">
      <c r="A494" s="30"/>
      <c r="B494" s="30"/>
      <c r="C494" s="30"/>
      <c r="D494" s="82"/>
      <c r="E494" s="30"/>
      <c r="F494" s="30"/>
      <c r="G494" s="30"/>
      <c r="H494" s="30"/>
    </row>
    <row r="495" ht="15.75" customHeight="1">
      <c r="A495" s="30"/>
      <c r="B495" s="30"/>
      <c r="C495" s="30"/>
      <c r="D495" s="82"/>
      <c r="E495" s="30"/>
      <c r="F495" s="30"/>
      <c r="G495" s="30"/>
      <c r="H495" s="30"/>
    </row>
    <row r="496" ht="15.75" customHeight="1">
      <c r="A496" s="30"/>
      <c r="B496" s="30"/>
      <c r="C496" s="30"/>
      <c r="D496" s="82"/>
      <c r="E496" s="30"/>
      <c r="F496" s="30"/>
      <c r="G496" s="30"/>
      <c r="H496" s="30"/>
    </row>
    <row r="497" ht="15.75" customHeight="1">
      <c r="A497" s="30"/>
      <c r="B497" s="30"/>
      <c r="C497" s="30"/>
      <c r="D497" s="82"/>
      <c r="E497" s="30"/>
      <c r="F497" s="30"/>
      <c r="G497" s="30"/>
      <c r="H497" s="30"/>
    </row>
    <row r="498" ht="15.75" customHeight="1">
      <c r="A498" s="30"/>
      <c r="B498" s="30"/>
      <c r="C498" s="30"/>
      <c r="D498" s="82"/>
      <c r="E498" s="30"/>
      <c r="F498" s="30"/>
      <c r="G498" s="30"/>
      <c r="H498" s="30"/>
    </row>
    <row r="499" ht="15.75" customHeight="1">
      <c r="A499" s="30"/>
      <c r="B499" s="30"/>
      <c r="C499" s="30"/>
      <c r="D499" s="82"/>
      <c r="E499" s="30"/>
      <c r="F499" s="30"/>
      <c r="G499" s="30"/>
      <c r="H499" s="30"/>
    </row>
    <row r="500" ht="15.75" customHeight="1">
      <c r="A500" s="30"/>
      <c r="B500" s="30"/>
      <c r="C500" s="30"/>
      <c r="D500" s="82"/>
      <c r="E500" s="30"/>
      <c r="F500" s="30"/>
      <c r="G500" s="30"/>
      <c r="H500" s="30"/>
    </row>
    <row r="501" ht="15.75" customHeight="1">
      <c r="A501" s="30"/>
      <c r="B501" s="30"/>
      <c r="C501" s="30"/>
      <c r="D501" s="82"/>
      <c r="E501" s="30"/>
      <c r="F501" s="30"/>
      <c r="G501" s="30"/>
      <c r="H501" s="30"/>
    </row>
    <row r="502" ht="15.75" customHeight="1">
      <c r="A502" s="30"/>
      <c r="B502" s="30"/>
      <c r="C502" s="30"/>
      <c r="D502" s="82"/>
      <c r="E502" s="30"/>
      <c r="F502" s="30"/>
      <c r="G502" s="30"/>
      <c r="H502" s="30"/>
    </row>
    <row r="503" ht="15.75" customHeight="1">
      <c r="A503" s="30"/>
      <c r="B503" s="30"/>
      <c r="C503" s="30"/>
      <c r="D503" s="82"/>
      <c r="E503" s="30"/>
      <c r="F503" s="30"/>
      <c r="G503" s="30"/>
      <c r="H503" s="30"/>
    </row>
    <row r="504" ht="15.75" customHeight="1">
      <c r="A504" s="30"/>
      <c r="B504" s="30"/>
      <c r="C504" s="30"/>
      <c r="D504" s="82"/>
      <c r="E504" s="30"/>
      <c r="F504" s="30"/>
      <c r="G504" s="30"/>
      <c r="H504" s="30"/>
    </row>
    <row r="505" ht="15.75" customHeight="1">
      <c r="A505" s="30"/>
      <c r="B505" s="30"/>
      <c r="C505" s="30"/>
      <c r="D505" s="82"/>
      <c r="E505" s="30"/>
      <c r="F505" s="30"/>
      <c r="G505" s="30"/>
      <c r="H505" s="30"/>
    </row>
    <row r="506" ht="15.75" customHeight="1">
      <c r="A506" s="30"/>
      <c r="B506" s="30"/>
      <c r="C506" s="30"/>
      <c r="D506" s="82"/>
      <c r="E506" s="30"/>
      <c r="F506" s="30"/>
      <c r="G506" s="30"/>
      <c r="H506" s="30"/>
    </row>
    <row r="507" ht="15.75" customHeight="1">
      <c r="A507" s="30"/>
      <c r="B507" s="30"/>
      <c r="C507" s="30"/>
      <c r="D507" s="82"/>
      <c r="E507" s="30"/>
      <c r="F507" s="30"/>
      <c r="G507" s="30"/>
      <c r="H507" s="30"/>
    </row>
    <row r="508" ht="15.75" customHeight="1">
      <c r="A508" s="30"/>
      <c r="B508" s="30"/>
      <c r="C508" s="30"/>
      <c r="D508" s="82"/>
      <c r="E508" s="30"/>
      <c r="F508" s="30"/>
      <c r="G508" s="30"/>
      <c r="H508" s="30"/>
    </row>
    <row r="509" ht="15.75" customHeight="1">
      <c r="A509" s="30"/>
      <c r="B509" s="30"/>
      <c r="C509" s="30"/>
      <c r="D509" s="82"/>
      <c r="E509" s="30"/>
      <c r="F509" s="30"/>
      <c r="G509" s="30"/>
      <c r="H509" s="30"/>
    </row>
    <row r="510" ht="15.75" customHeight="1">
      <c r="A510" s="30"/>
      <c r="B510" s="30"/>
      <c r="C510" s="30"/>
      <c r="D510" s="82"/>
      <c r="E510" s="30"/>
      <c r="F510" s="30"/>
      <c r="G510" s="30"/>
      <c r="H510" s="30"/>
    </row>
    <row r="511" ht="15.75" customHeight="1">
      <c r="A511" s="30"/>
      <c r="B511" s="30"/>
      <c r="C511" s="30"/>
      <c r="D511" s="82"/>
      <c r="E511" s="30"/>
      <c r="F511" s="30"/>
      <c r="G511" s="30"/>
      <c r="H511" s="30"/>
    </row>
    <row r="512" ht="15.75" customHeight="1">
      <c r="A512" s="30"/>
      <c r="B512" s="30"/>
      <c r="C512" s="30"/>
      <c r="D512" s="82"/>
      <c r="E512" s="30"/>
      <c r="F512" s="30"/>
      <c r="G512" s="30"/>
      <c r="H512" s="30"/>
    </row>
    <row r="513" ht="15.75" customHeight="1">
      <c r="A513" s="30"/>
      <c r="B513" s="30"/>
      <c r="C513" s="30"/>
      <c r="D513" s="82"/>
      <c r="E513" s="30"/>
      <c r="F513" s="30"/>
      <c r="G513" s="30"/>
      <c r="H513" s="30"/>
    </row>
    <row r="514" ht="15.75" customHeight="1">
      <c r="A514" s="30"/>
      <c r="B514" s="30"/>
      <c r="C514" s="30"/>
      <c r="D514" s="82"/>
      <c r="E514" s="30"/>
      <c r="F514" s="30"/>
      <c r="G514" s="30"/>
      <c r="H514" s="30"/>
    </row>
    <row r="515" ht="15.75" customHeight="1">
      <c r="A515" s="30"/>
      <c r="B515" s="30"/>
      <c r="C515" s="30"/>
      <c r="D515" s="82"/>
      <c r="E515" s="30"/>
      <c r="F515" s="30"/>
      <c r="G515" s="30"/>
      <c r="H515" s="30"/>
    </row>
    <row r="516" ht="15.75" customHeight="1">
      <c r="A516" s="30"/>
      <c r="B516" s="30"/>
      <c r="C516" s="30"/>
      <c r="D516" s="82"/>
      <c r="E516" s="30"/>
      <c r="F516" s="30"/>
      <c r="G516" s="30"/>
      <c r="H516" s="30"/>
    </row>
    <row r="517" ht="15.75" customHeight="1">
      <c r="A517" s="30"/>
      <c r="B517" s="30"/>
      <c r="C517" s="30"/>
      <c r="D517" s="82"/>
      <c r="E517" s="30"/>
      <c r="F517" s="30"/>
      <c r="G517" s="30"/>
      <c r="H517" s="30"/>
    </row>
    <row r="518" ht="15.75" customHeight="1">
      <c r="A518" s="30"/>
      <c r="B518" s="30"/>
      <c r="C518" s="30"/>
      <c r="D518" s="82"/>
      <c r="E518" s="30"/>
      <c r="F518" s="30"/>
      <c r="G518" s="30"/>
      <c r="H518" s="30"/>
    </row>
    <row r="519" ht="15.75" customHeight="1">
      <c r="A519" s="30"/>
      <c r="B519" s="30"/>
      <c r="C519" s="30"/>
      <c r="D519" s="82"/>
      <c r="E519" s="30"/>
      <c r="F519" s="30"/>
      <c r="G519" s="30"/>
      <c r="H519" s="30"/>
    </row>
    <row r="520" ht="15.75" customHeight="1">
      <c r="A520" s="30"/>
      <c r="B520" s="30"/>
      <c r="C520" s="30"/>
      <c r="D520" s="82"/>
      <c r="E520" s="30"/>
      <c r="F520" s="30"/>
      <c r="G520" s="30"/>
      <c r="H520" s="30"/>
    </row>
    <row r="521" ht="15.75" customHeight="1">
      <c r="A521" s="30"/>
      <c r="B521" s="30"/>
      <c r="C521" s="30"/>
      <c r="D521" s="82"/>
      <c r="E521" s="30"/>
      <c r="F521" s="30"/>
      <c r="G521" s="30"/>
      <c r="H521" s="30"/>
    </row>
    <row r="522" ht="15.75" customHeight="1">
      <c r="A522" s="30"/>
      <c r="B522" s="30"/>
      <c r="C522" s="30"/>
      <c r="D522" s="82"/>
      <c r="E522" s="30"/>
      <c r="F522" s="30"/>
      <c r="G522" s="30"/>
      <c r="H522" s="30"/>
    </row>
    <row r="523" ht="15.75" customHeight="1">
      <c r="A523" s="30"/>
      <c r="B523" s="30"/>
      <c r="C523" s="30"/>
      <c r="D523" s="82"/>
      <c r="E523" s="30"/>
      <c r="F523" s="30"/>
      <c r="G523" s="30"/>
      <c r="H523" s="30"/>
    </row>
    <row r="524" ht="15.75" customHeight="1">
      <c r="A524" s="30"/>
      <c r="B524" s="30"/>
      <c r="C524" s="30"/>
      <c r="D524" s="82"/>
      <c r="E524" s="30"/>
      <c r="F524" s="30"/>
      <c r="G524" s="30"/>
      <c r="H524" s="30"/>
    </row>
    <row r="525" ht="15.75" customHeight="1">
      <c r="A525" s="30"/>
      <c r="B525" s="30"/>
      <c r="C525" s="30"/>
      <c r="D525" s="82"/>
      <c r="E525" s="30"/>
      <c r="F525" s="30"/>
      <c r="G525" s="30"/>
      <c r="H525" s="30"/>
    </row>
    <row r="526" ht="15.75" customHeight="1">
      <c r="A526" s="30"/>
      <c r="B526" s="30"/>
      <c r="C526" s="30"/>
      <c r="D526" s="82"/>
      <c r="E526" s="30"/>
      <c r="F526" s="30"/>
      <c r="G526" s="30"/>
      <c r="H526" s="30"/>
    </row>
    <row r="527" ht="15.75" customHeight="1">
      <c r="A527" s="30"/>
      <c r="B527" s="30"/>
      <c r="C527" s="30"/>
      <c r="D527" s="82"/>
      <c r="E527" s="30"/>
      <c r="F527" s="30"/>
      <c r="G527" s="30"/>
      <c r="H527" s="30"/>
    </row>
    <row r="528" ht="15.75" customHeight="1">
      <c r="A528" s="30"/>
      <c r="B528" s="30"/>
      <c r="C528" s="30"/>
      <c r="D528" s="82"/>
      <c r="E528" s="30"/>
      <c r="F528" s="30"/>
      <c r="G528" s="30"/>
      <c r="H528" s="30"/>
    </row>
    <row r="529" ht="15.75" customHeight="1">
      <c r="A529" s="30"/>
      <c r="B529" s="30"/>
      <c r="C529" s="30"/>
      <c r="D529" s="82"/>
      <c r="E529" s="30"/>
      <c r="F529" s="30"/>
      <c r="G529" s="30"/>
      <c r="H529" s="30"/>
    </row>
    <row r="530" ht="15.75" customHeight="1">
      <c r="A530" s="30"/>
      <c r="B530" s="30"/>
      <c r="C530" s="30"/>
      <c r="D530" s="82"/>
      <c r="E530" s="30"/>
      <c r="F530" s="30"/>
      <c r="G530" s="30"/>
      <c r="H530" s="30"/>
    </row>
    <row r="531" ht="15.75" customHeight="1">
      <c r="A531" s="30"/>
      <c r="B531" s="30"/>
      <c r="C531" s="30"/>
      <c r="D531" s="82"/>
      <c r="E531" s="30"/>
      <c r="F531" s="30"/>
      <c r="G531" s="30"/>
      <c r="H531" s="30"/>
    </row>
    <row r="532" ht="15.75" customHeight="1">
      <c r="A532" s="30"/>
      <c r="B532" s="30"/>
      <c r="C532" s="30"/>
      <c r="D532" s="82"/>
      <c r="E532" s="30"/>
      <c r="F532" s="30"/>
      <c r="G532" s="30"/>
      <c r="H532" s="30"/>
    </row>
    <row r="533" ht="15.75" customHeight="1">
      <c r="A533" s="30"/>
      <c r="B533" s="30"/>
      <c r="C533" s="30"/>
      <c r="D533" s="82"/>
      <c r="E533" s="30"/>
      <c r="F533" s="30"/>
      <c r="G533" s="30"/>
      <c r="H533" s="30"/>
    </row>
    <row r="534" ht="15.75" customHeight="1">
      <c r="A534" s="30"/>
      <c r="B534" s="30"/>
      <c r="C534" s="30"/>
      <c r="D534" s="82"/>
      <c r="E534" s="30"/>
      <c r="F534" s="30"/>
      <c r="G534" s="30"/>
      <c r="H534" s="30"/>
    </row>
    <row r="535" ht="15.75" customHeight="1">
      <c r="A535" s="30"/>
      <c r="B535" s="30"/>
      <c r="C535" s="30"/>
      <c r="D535" s="82"/>
      <c r="E535" s="30"/>
      <c r="F535" s="30"/>
      <c r="G535" s="30"/>
      <c r="H535" s="30"/>
    </row>
    <row r="536" ht="15.75" customHeight="1">
      <c r="A536" s="30"/>
      <c r="B536" s="30"/>
      <c r="C536" s="30"/>
      <c r="D536" s="82"/>
      <c r="E536" s="30"/>
      <c r="F536" s="30"/>
      <c r="G536" s="30"/>
      <c r="H536" s="30"/>
    </row>
    <row r="537" ht="15.75" customHeight="1">
      <c r="A537" s="30"/>
      <c r="B537" s="30"/>
      <c r="C537" s="30"/>
      <c r="D537" s="82"/>
      <c r="E537" s="30"/>
      <c r="F537" s="30"/>
      <c r="G537" s="30"/>
      <c r="H537" s="30"/>
    </row>
    <row r="538" ht="15.75" customHeight="1">
      <c r="A538" s="30"/>
      <c r="B538" s="30"/>
      <c r="C538" s="30"/>
      <c r="D538" s="82"/>
      <c r="E538" s="30"/>
      <c r="F538" s="30"/>
      <c r="G538" s="30"/>
      <c r="H538" s="30"/>
    </row>
    <row r="539" ht="15.75" customHeight="1">
      <c r="A539" s="30"/>
      <c r="B539" s="30"/>
      <c r="C539" s="30"/>
      <c r="D539" s="82"/>
      <c r="E539" s="30"/>
      <c r="F539" s="30"/>
      <c r="G539" s="30"/>
      <c r="H539" s="30"/>
    </row>
    <row r="540" ht="15.75" customHeight="1">
      <c r="A540" s="30"/>
      <c r="B540" s="30"/>
      <c r="C540" s="30"/>
      <c r="D540" s="82"/>
      <c r="E540" s="30"/>
      <c r="F540" s="30"/>
      <c r="G540" s="30"/>
      <c r="H540" s="30"/>
    </row>
    <row r="541" ht="15.75" customHeight="1">
      <c r="A541" s="30"/>
      <c r="B541" s="30"/>
      <c r="C541" s="30"/>
      <c r="D541" s="82"/>
      <c r="E541" s="30"/>
      <c r="F541" s="30"/>
      <c r="G541" s="30"/>
      <c r="H541" s="30"/>
    </row>
    <row r="542" ht="15.75" customHeight="1">
      <c r="A542" s="30"/>
      <c r="B542" s="30"/>
      <c r="C542" s="30"/>
      <c r="D542" s="82"/>
      <c r="E542" s="30"/>
      <c r="F542" s="30"/>
      <c r="G542" s="30"/>
      <c r="H542" s="30"/>
    </row>
    <row r="543" ht="15.75" customHeight="1">
      <c r="A543" s="30"/>
      <c r="B543" s="30"/>
      <c r="C543" s="30"/>
      <c r="D543" s="82"/>
      <c r="E543" s="30"/>
      <c r="F543" s="30"/>
      <c r="G543" s="30"/>
      <c r="H543" s="30"/>
    </row>
    <row r="544" ht="15.75" customHeight="1">
      <c r="A544" s="30"/>
      <c r="B544" s="30"/>
      <c r="C544" s="30"/>
      <c r="D544" s="82"/>
      <c r="E544" s="30"/>
      <c r="F544" s="30"/>
      <c r="G544" s="30"/>
      <c r="H544" s="30"/>
    </row>
    <row r="545" ht="15.75" customHeight="1">
      <c r="A545" s="30"/>
      <c r="B545" s="30"/>
      <c r="C545" s="30"/>
      <c r="D545" s="82"/>
      <c r="E545" s="30"/>
      <c r="F545" s="30"/>
      <c r="G545" s="30"/>
      <c r="H545" s="30"/>
    </row>
    <row r="546" ht="15.75" customHeight="1">
      <c r="A546" s="30"/>
      <c r="B546" s="30"/>
      <c r="C546" s="30"/>
      <c r="D546" s="82"/>
      <c r="E546" s="30"/>
      <c r="F546" s="30"/>
      <c r="G546" s="30"/>
      <c r="H546" s="30"/>
    </row>
    <row r="547" ht="15.75" customHeight="1">
      <c r="A547" s="30"/>
      <c r="B547" s="30"/>
      <c r="C547" s="30"/>
      <c r="D547" s="82"/>
      <c r="E547" s="30"/>
      <c r="F547" s="30"/>
      <c r="G547" s="30"/>
      <c r="H547" s="30"/>
    </row>
    <row r="548" ht="15.75" customHeight="1">
      <c r="A548" s="30"/>
      <c r="B548" s="30"/>
      <c r="C548" s="30"/>
      <c r="D548" s="82"/>
      <c r="E548" s="30"/>
      <c r="F548" s="30"/>
      <c r="G548" s="30"/>
      <c r="H548" s="30"/>
    </row>
    <row r="549" ht="15.75" customHeight="1">
      <c r="A549" s="30"/>
      <c r="B549" s="30"/>
      <c r="C549" s="30"/>
      <c r="D549" s="82"/>
      <c r="E549" s="30"/>
      <c r="F549" s="30"/>
      <c r="G549" s="30"/>
      <c r="H549" s="30"/>
    </row>
    <row r="550" ht="15.75" customHeight="1">
      <c r="A550" s="30"/>
      <c r="B550" s="30"/>
      <c r="C550" s="30"/>
      <c r="D550" s="82"/>
      <c r="E550" s="30"/>
      <c r="F550" s="30"/>
      <c r="G550" s="30"/>
      <c r="H550" s="30"/>
    </row>
    <row r="551" ht="15.75" customHeight="1">
      <c r="A551" s="30"/>
      <c r="B551" s="30"/>
      <c r="C551" s="30"/>
      <c r="D551" s="82"/>
      <c r="E551" s="30"/>
      <c r="F551" s="30"/>
      <c r="G551" s="30"/>
      <c r="H551" s="30"/>
    </row>
    <row r="552" ht="15.75" customHeight="1">
      <c r="A552" s="30"/>
      <c r="B552" s="30"/>
      <c r="C552" s="30"/>
      <c r="D552" s="82"/>
      <c r="E552" s="30"/>
      <c r="F552" s="30"/>
      <c r="G552" s="30"/>
      <c r="H552" s="30"/>
    </row>
    <row r="553" ht="15.75" customHeight="1">
      <c r="A553" s="30"/>
      <c r="B553" s="30"/>
      <c r="C553" s="30"/>
      <c r="D553" s="82"/>
      <c r="E553" s="30"/>
      <c r="F553" s="30"/>
      <c r="G553" s="30"/>
      <c r="H553" s="30"/>
    </row>
    <row r="554" ht="15.75" customHeight="1">
      <c r="A554" s="30"/>
      <c r="B554" s="30"/>
      <c r="C554" s="30"/>
      <c r="D554" s="82"/>
      <c r="E554" s="30"/>
      <c r="F554" s="30"/>
      <c r="G554" s="30"/>
      <c r="H554" s="30"/>
    </row>
    <row r="555" ht="15.75" customHeight="1">
      <c r="A555" s="30"/>
      <c r="B555" s="30"/>
      <c r="C555" s="30"/>
      <c r="D555" s="82"/>
      <c r="E555" s="30"/>
      <c r="F555" s="30"/>
      <c r="G555" s="30"/>
      <c r="H555" s="30"/>
    </row>
    <row r="556" ht="15.75" customHeight="1">
      <c r="A556" s="30"/>
      <c r="B556" s="30"/>
      <c r="C556" s="30"/>
      <c r="D556" s="82"/>
      <c r="E556" s="30"/>
      <c r="F556" s="30"/>
      <c r="G556" s="30"/>
      <c r="H556" s="30"/>
    </row>
    <row r="557" ht="15.75" customHeight="1">
      <c r="A557" s="30"/>
      <c r="B557" s="30"/>
      <c r="C557" s="30"/>
      <c r="D557" s="82"/>
      <c r="E557" s="30"/>
      <c r="F557" s="30"/>
      <c r="G557" s="30"/>
      <c r="H557" s="30"/>
    </row>
    <row r="558" ht="15.75" customHeight="1">
      <c r="A558" s="30"/>
      <c r="B558" s="30"/>
      <c r="C558" s="30"/>
      <c r="D558" s="82"/>
      <c r="E558" s="30"/>
      <c r="F558" s="30"/>
      <c r="G558" s="30"/>
      <c r="H558" s="30"/>
    </row>
    <row r="559" ht="15.75" customHeight="1">
      <c r="A559" s="30"/>
      <c r="B559" s="30"/>
      <c r="C559" s="30"/>
      <c r="D559" s="82"/>
      <c r="E559" s="30"/>
      <c r="F559" s="30"/>
      <c r="G559" s="30"/>
      <c r="H559" s="30"/>
    </row>
    <row r="560" ht="15.75" customHeight="1">
      <c r="A560" s="30"/>
      <c r="B560" s="30"/>
      <c r="C560" s="30"/>
      <c r="D560" s="82"/>
      <c r="E560" s="30"/>
      <c r="F560" s="30"/>
      <c r="G560" s="30"/>
      <c r="H560" s="30"/>
    </row>
    <row r="561" ht="15.75" customHeight="1">
      <c r="A561" s="30"/>
      <c r="B561" s="30"/>
      <c r="C561" s="30"/>
      <c r="D561" s="82"/>
      <c r="E561" s="30"/>
      <c r="F561" s="30"/>
      <c r="G561" s="30"/>
      <c r="H561" s="30"/>
    </row>
    <row r="562" ht="15.75" customHeight="1">
      <c r="A562" s="30"/>
      <c r="B562" s="30"/>
      <c r="C562" s="30"/>
      <c r="D562" s="82"/>
      <c r="E562" s="30"/>
      <c r="F562" s="30"/>
      <c r="G562" s="30"/>
      <c r="H562" s="30"/>
    </row>
    <row r="563" ht="15.75" customHeight="1">
      <c r="A563" s="30"/>
      <c r="B563" s="30"/>
      <c r="C563" s="30"/>
      <c r="D563" s="82"/>
      <c r="E563" s="30"/>
      <c r="F563" s="30"/>
      <c r="G563" s="30"/>
      <c r="H563" s="30"/>
    </row>
    <row r="564" ht="15.75" customHeight="1">
      <c r="A564" s="30"/>
      <c r="B564" s="30"/>
      <c r="C564" s="30"/>
      <c r="D564" s="82"/>
      <c r="E564" s="30"/>
      <c r="F564" s="30"/>
      <c r="G564" s="30"/>
      <c r="H564" s="30"/>
    </row>
    <row r="565" ht="15.75" customHeight="1">
      <c r="A565" s="30"/>
      <c r="B565" s="30"/>
      <c r="C565" s="30"/>
      <c r="D565" s="82"/>
      <c r="E565" s="30"/>
      <c r="F565" s="30"/>
      <c r="G565" s="30"/>
      <c r="H565" s="30"/>
    </row>
    <row r="566" ht="15.75" customHeight="1">
      <c r="A566" s="30"/>
      <c r="B566" s="30"/>
      <c r="C566" s="30"/>
      <c r="D566" s="82"/>
      <c r="E566" s="30"/>
      <c r="F566" s="30"/>
      <c r="G566" s="30"/>
      <c r="H566" s="30"/>
    </row>
    <row r="567" ht="15.75" customHeight="1">
      <c r="A567" s="30"/>
      <c r="B567" s="30"/>
      <c r="C567" s="30"/>
      <c r="D567" s="82"/>
      <c r="E567" s="30"/>
      <c r="F567" s="30"/>
      <c r="G567" s="30"/>
      <c r="H567" s="30"/>
    </row>
    <row r="568" ht="15.75" customHeight="1">
      <c r="A568" s="30"/>
      <c r="B568" s="30"/>
      <c r="C568" s="30"/>
      <c r="D568" s="82"/>
      <c r="E568" s="30"/>
      <c r="F568" s="30"/>
      <c r="G568" s="30"/>
      <c r="H568" s="30"/>
    </row>
    <row r="569" ht="15.75" customHeight="1">
      <c r="A569" s="30"/>
      <c r="B569" s="30"/>
      <c r="C569" s="30"/>
      <c r="D569" s="82"/>
      <c r="E569" s="30"/>
      <c r="F569" s="30"/>
      <c r="G569" s="30"/>
      <c r="H569" s="30"/>
    </row>
    <row r="570" ht="15.75" customHeight="1">
      <c r="A570" s="30"/>
      <c r="B570" s="30"/>
      <c r="C570" s="30"/>
      <c r="D570" s="82"/>
      <c r="E570" s="30"/>
      <c r="F570" s="30"/>
      <c r="G570" s="30"/>
      <c r="H570" s="30"/>
    </row>
    <row r="571" ht="15.75" customHeight="1">
      <c r="A571" s="30"/>
      <c r="B571" s="30"/>
      <c r="C571" s="30"/>
      <c r="D571" s="82"/>
      <c r="E571" s="30"/>
      <c r="F571" s="30"/>
      <c r="G571" s="30"/>
      <c r="H571" s="30"/>
    </row>
    <row r="572" ht="15.75" customHeight="1">
      <c r="A572" s="30"/>
      <c r="B572" s="30"/>
      <c r="C572" s="30"/>
      <c r="D572" s="82"/>
      <c r="E572" s="30"/>
      <c r="F572" s="30"/>
      <c r="G572" s="30"/>
      <c r="H572" s="30"/>
    </row>
    <row r="573" ht="15.75" customHeight="1">
      <c r="A573" s="30"/>
      <c r="B573" s="30"/>
      <c r="C573" s="30"/>
      <c r="D573" s="82"/>
      <c r="E573" s="30"/>
      <c r="F573" s="30"/>
      <c r="G573" s="30"/>
      <c r="H573" s="30"/>
    </row>
    <row r="574" ht="15.75" customHeight="1">
      <c r="A574" s="30"/>
      <c r="B574" s="30"/>
      <c r="C574" s="30"/>
      <c r="D574" s="82"/>
      <c r="E574" s="30"/>
      <c r="F574" s="30"/>
      <c r="G574" s="30"/>
      <c r="H574" s="30"/>
    </row>
    <row r="575" ht="15.75" customHeight="1">
      <c r="A575" s="30"/>
      <c r="B575" s="30"/>
      <c r="C575" s="30"/>
      <c r="D575" s="82"/>
      <c r="E575" s="30"/>
      <c r="F575" s="30"/>
      <c r="G575" s="30"/>
      <c r="H575" s="30"/>
    </row>
    <row r="576" ht="15.75" customHeight="1">
      <c r="A576" s="30"/>
      <c r="B576" s="30"/>
      <c r="C576" s="30"/>
      <c r="D576" s="82"/>
      <c r="E576" s="30"/>
      <c r="F576" s="30"/>
      <c r="G576" s="30"/>
      <c r="H576" s="30"/>
    </row>
    <row r="577" ht="15.75" customHeight="1">
      <c r="A577" s="30"/>
      <c r="B577" s="30"/>
      <c r="C577" s="30"/>
      <c r="D577" s="82"/>
      <c r="E577" s="30"/>
      <c r="F577" s="30"/>
      <c r="G577" s="30"/>
      <c r="H577" s="30"/>
    </row>
    <row r="578" ht="15.75" customHeight="1">
      <c r="A578" s="30"/>
      <c r="B578" s="30"/>
      <c r="C578" s="30"/>
      <c r="D578" s="82"/>
      <c r="E578" s="30"/>
      <c r="F578" s="30"/>
      <c r="G578" s="30"/>
      <c r="H578" s="30"/>
    </row>
    <row r="579" ht="15.75" customHeight="1">
      <c r="A579" s="30"/>
      <c r="B579" s="30"/>
      <c r="C579" s="30"/>
      <c r="D579" s="82"/>
      <c r="E579" s="30"/>
      <c r="F579" s="30"/>
      <c r="G579" s="30"/>
      <c r="H579" s="30"/>
    </row>
    <row r="580" ht="15.75" customHeight="1">
      <c r="A580" s="30"/>
      <c r="B580" s="30"/>
      <c r="C580" s="30"/>
      <c r="D580" s="82"/>
      <c r="E580" s="30"/>
      <c r="F580" s="30"/>
      <c r="G580" s="30"/>
      <c r="H580" s="30"/>
    </row>
    <row r="581" ht="15.75" customHeight="1">
      <c r="A581" s="30"/>
      <c r="B581" s="30"/>
      <c r="C581" s="30"/>
      <c r="D581" s="82"/>
      <c r="E581" s="30"/>
      <c r="F581" s="30"/>
      <c r="G581" s="30"/>
      <c r="H581" s="30"/>
    </row>
    <row r="582" ht="15.75" customHeight="1">
      <c r="A582" s="30"/>
      <c r="B582" s="30"/>
      <c r="C582" s="30"/>
      <c r="D582" s="82"/>
      <c r="E582" s="30"/>
      <c r="F582" s="30"/>
      <c r="G582" s="30"/>
      <c r="H582" s="30"/>
    </row>
    <row r="583" ht="15.75" customHeight="1">
      <c r="A583" s="30"/>
      <c r="B583" s="30"/>
      <c r="C583" s="30"/>
      <c r="D583" s="82"/>
      <c r="E583" s="30"/>
      <c r="F583" s="30"/>
      <c r="G583" s="30"/>
      <c r="H583" s="30"/>
    </row>
    <row r="584" ht="15.75" customHeight="1">
      <c r="A584" s="30"/>
      <c r="B584" s="30"/>
      <c r="C584" s="30"/>
      <c r="D584" s="82"/>
      <c r="E584" s="30"/>
      <c r="F584" s="30"/>
      <c r="G584" s="30"/>
      <c r="H584" s="30"/>
    </row>
    <row r="585" ht="15.75" customHeight="1">
      <c r="A585" s="30"/>
      <c r="B585" s="30"/>
      <c r="C585" s="30"/>
      <c r="D585" s="82"/>
      <c r="E585" s="30"/>
      <c r="F585" s="30"/>
      <c r="G585" s="30"/>
      <c r="H585" s="30"/>
    </row>
    <row r="586" ht="15.75" customHeight="1">
      <c r="A586" s="30"/>
      <c r="B586" s="30"/>
      <c r="C586" s="30"/>
      <c r="D586" s="82"/>
      <c r="E586" s="30"/>
      <c r="F586" s="30"/>
      <c r="G586" s="30"/>
      <c r="H586" s="30"/>
    </row>
    <row r="587" ht="15.75" customHeight="1">
      <c r="A587" s="30"/>
      <c r="B587" s="30"/>
      <c r="C587" s="30"/>
      <c r="D587" s="82"/>
      <c r="E587" s="30"/>
      <c r="F587" s="30"/>
      <c r="G587" s="30"/>
      <c r="H587" s="30"/>
    </row>
    <row r="588" ht="15.75" customHeight="1">
      <c r="A588" s="30"/>
      <c r="B588" s="30"/>
      <c r="C588" s="30"/>
      <c r="D588" s="82"/>
      <c r="E588" s="30"/>
      <c r="F588" s="30"/>
      <c r="G588" s="30"/>
      <c r="H588" s="30"/>
    </row>
    <row r="589" ht="15.75" customHeight="1">
      <c r="A589" s="30"/>
      <c r="B589" s="30"/>
      <c r="C589" s="30"/>
      <c r="D589" s="82"/>
      <c r="E589" s="30"/>
      <c r="F589" s="30"/>
      <c r="G589" s="30"/>
      <c r="H589" s="30"/>
    </row>
    <row r="590" ht="15.75" customHeight="1">
      <c r="A590" s="30"/>
      <c r="B590" s="30"/>
      <c r="C590" s="30"/>
      <c r="D590" s="82"/>
      <c r="E590" s="30"/>
      <c r="F590" s="30"/>
      <c r="G590" s="30"/>
      <c r="H590" s="30"/>
    </row>
    <row r="591" ht="15.75" customHeight="1">
      <c r="A591" s="30"/>
      <c r="B591" s="30"/>
      <c r="C591" s="30"/>
      <c r="D591" s="82"/>
      <c r="E591" s="30"/>
      <c r="F591" s="30"/>
      <c r="G591" s="30"/>
      <c r="H591" s="30"/>
    </row>
    <row r="592" ht="15.75" customHeight="1">
      <c r="A592" s="30"/>
      <c r="B592" s="30"/>
      <c r="C592" s="30"/>
      <c r="D592" s="82"/>
      <c r="E592" s="30"/>
      <c r="F592" s="30"/>
      <c r="G592" s="30"/>
      <c r="H592" s="30"/>
    </row>
    <row r="593" ht="15.75" customHeight="1">
      <c r="A593" s="30"/>
      <c r="B593" s="30"/>
      <c r="C593" s="30"/>
      <c r="D593" s="82"/>
      <c r="E593" s="30"/>
      <c r="F593" s="30"/>
      <c r="G593" s="30"/>
      <c r="H593" s="30"/>
    </row>
    <row r="594" ht="15.75" customHeight="1">
      <c r="A594" s="30"/>
      <c r="B594" s="30"/>
      <c r="C594" s="30"/>
      <c r="D594" s="82"/>
      <c r="E594" s="30"/>
      <c r="F594" s="30"/>
      <c r="G594" s="30"/>
      <c r="H594" s="30"/>
    </row>
    <row r="595" ht="15.75" customHeight="1">
      <c r="A595" s="30"/>
      <c r="B595" s="30"/>
      <c r="C595" s="30"/>
      <c r="D595" s="82"/>
      <c r="E595" s="30"/>
      <c r="F595" s="30"/>
      <c r="G595" s="30"/>
      <c r="H595" s="30"/>
    </row>
    <row r="596" ht="15.75" customHeight="1">
      <c r="A596" s="30"/>
      <c r="B596" s="30"/>
      <c r="C596" s="30"/>
      <c r="D596" s="82"/>
      <c r="E596" s="30"/>
      <c r="F596" s="30"/>
      <c r="G596" s="30"/>
      <c r="H596" s="30"/>
    </row>
    <row r="597" ht="15.75" customHeight="1">
      <c r="A597" s="30"/>
      <c r="B597" s="30"/>
      <c r="C597" s="30"/>
      <c r="D597" s="82"/>
      <c r="E597" s="30"/>
      <c r="F597" s="30"/>
      <c r="G597" s="30"/>
      <c r="H597" s="30"/>
    </row>
    <row r="598" ht="15.75" customHeight="1">
      <c r="A598" s="30"/>
      <c r="B598" s="30"/>
      <c r="C598" s="30"/>
      <c r="D598" s="82"/>
      <c r="E598" s="30"/>
      <c r="F598" s="30"/>
      <c r="G598" s="30"/>
      <c r="H598" s="30"/>
    </row>
    <row r="599" ht="15.75" customHeight="1">
      <c r="A599" s="30"/>
      <c r="B599" s="30"/>
      <c r="C599" s="30"/>
      <c r="D599" s="82"/>
      <c r="E599" s="30"/>
      <c r="F599" s="30"/>
      <c r="G599" s="30"/>
      <c r="H599" s="30"/>
    </row>
    <row r="600" ht="15.75" customHeight="1">
      <c r="A600" s="30"/>
      <c r="B600" s="30"/>
      <c r="C600" s="30"/>
      <c r="D600" s="82"/>
      <c r="E600" s="30"/>
      <c r="F600" s="30"/>
      <c r="G600" s="30"/>
      <c r="H600" s="30"/>
    </row>
    <row r="601" ht="15.75" customHeight="1">
      <c r="A601" s="30"/>
      <c r="B601" s="30"/>
      <c r="C601" s="30"/>
      <c r="D601" s="82"/>
      <c r="E601" s="30"/>
      <c r="F601" s="30"/>
      <c r="G601" s="30"/>
      <c r="H601" s="30"/>
    </row>
    <row r="602" ht="15.75" customHeight="1">
      <c r="A602" s="30"/>
      <c r="B602" s="30"/>
      <c r="C602" s="30"/>
      <c r="D602" s="82"/>
      <c r="E602" s="30"/>
      <c r="F602" s="30"/>
      <c r="G602" s="30"/>
      <c r="H602" s="30"/>
    </row>
    <row r="603" ht="15.75" customHeight="1">
      <c r="A603" s="30"/>
      <c r="B603" s="30"/>
      <c r="C603" s="30"/>
      <c r="D603" s="82"/>
      <c r="E603" s="30"/>
      <c r="F603" s="30"/>
      <c r="G603" s="30"/>
      <c r="H603" s="30"/>
    </row>
    <row r="604" ht="15.75" customHeight="1">
      <c r="A604" s="30"/>
      <c r="B604" s="30"/>
      <c r="C604" s="30"/>
      <c r="D604" s="82"/>
      <c r="E604" s="30"/>
      <c r="F604" s="30"/>
      <c r="G604" s="30"/>
      <c r="H604" s="30"/>
    </row>
    <row r="605" ht="15.75" customHeight="1">
      <c r="A605" s="30"/>
      <c r="B605" s="30"/>
      <c r="C605" s="30"/>
      <c r="D605" s="82"/>
      <c r="E605" s="30"/>
      <c r="F605" s="30"/>
      <c r="G605" s="30"/>
      <c r="H605" s="30"/>
    </row>
    <row r="606" ht="15.75" customHeight="1">
      <c r="A606" s="30"/>
      <c r="B606" s="30"/>
      <c r="C606" s="30"/>
      <c r="D606" s="82"/>
      <c r="E606" s="30"/>
      <c r="F606" s="30"/>
      <c r="G606" s="30"/>
      <c r="H606" s="30"/>
    </row>
    <row r="607" ht="15.75" customHeight="1">
      <c r="A607" s="30"/>
      <c r="B607" s="30"/>
      <c r="C607" s="30"/>
      <c r="D607" s="82"/>
      <c r="E607" s="30"/>
      <c r="F607" s="30"/>
      <c r="G607" s="30"/>
      <c r="H607" s="30"/>
    </row>
    <row r="608" ht="15.75" customHeight="1">
      <c r="A608" s="30"/>
      <c r="B608" s="30"/>
      <c r="C608" s="30"/>
      <c r="D608" s="82"/>
      <c r="E608" s="30"/>
      <c r="F608" s="30"/>
      <c r="G608" s="30"/>
      <c r="H608" s="30"/>
    </row>
    <row r="609" ht="15.75" customHeight="1">
      <c r="A609" s="30"/>
      <c r="B609" s="30"/>
      <c r="C609" s="30"/>
      <c r="D609" s="82"/>
      <c r="E609" s="30"/>
      <c r="F609" s="30"/>
      <c r="G609" s="30"/>
      <c r="H609" s="30"/>
    </row>
    <row r="610" ht="15.75" customHeight="1">
      <c r="A610" s="30"/>
      <c r="B610" s="30"/>
      <c r="C610" s="30"/>
      <c r="D610" s="82"/>
      <c r="E610" s="30"/>
      <c r="F610" s="30"/>
      <c r="G610" s="30"/>
      <c r="H610" s="30"/>
    </row>
    <row r="611" ht="15.75" customHeight="1">
      <c r="A611" s="30"/>
      <c r="B611" s="30"/>
      <c r="C611" s="30"/>
      <c r="D611" s="82"/>
      <c r="E611" s="30"/>
      <c r="F611" s="30"/>
      <c r="G611" s="30"/>
      <c r="H611" s="30"/>
    </row>
    <row r="612" ht="15.75" customHeight="1">
      <c r="A612" s="30"/>
      <c r="B612" s="30"/>
      <c r="C612" s="30"/>
      <c r="D612" s="82"/>
      <c r="E612" s="30"/>
      <c r="F612" s="30"/>
      <c r="G612" s="30"/>
      <c r="H612" s="30"/>
    </row>
    <row r="613" ht="15.75" customHeight="1">
      <c r="A613" s="30"/>
      <c r="B613" s="30"/>
      <c r="C613" s="30"/>
      <c r="D613" s="82"/>
      <c r="E613" s="30"/>
      <c r="F613" s="30"/>
      <c r="G613" s="30"/>
      <c r="H613" s="30"/>
    </row>
    <row r="614" ht="15.75" customHeight="1">
      <c r="A614" s="30"/>
      <c r="B614" s="30"/>
      <c r="C614" s="30"/>
      <c r="D614" s="82"/>
      <c r="E614" s="30"/>
      <c r="F614" s="30"/>
      <c r="G614" s="30"/>
      <c r="H614" s="30"/>
    </row>
    <row r="615" ht="15.75" customHeight="1">
      <c r="A615" s="30"/>
      <c r="B615" s="30"/>
      <c r="C615" s="30"/>
      <c r="D615" s="82"/>
      <c r="E615" s="30"/>
      <c r="F615" s="30"/>
      <c r="G615" s="30"/>
      <c r="H615" s="30"/>
    </row>
    <row r="616" ht="15.75" customHeight="1">
      <c r="A616" s="30"/>
      <c r="B616" s="30"/>
      <c r="C616" s="30"/>
      <c r="D616" s="82"/>
      <c r="E616" s="30"/>
      <c r="F616" s="30"/>
      <c r="G616" s="30"/>
      <c r="H616" s="30"/>
    </row>
    <row r="617" ht="15.75" customHeight="1">
      <c r="A617" s="30"/>
      <c r="B617" s="30"/>
      <c r="C617" s="30"/>
      <c r="D617" s="82"/>
      <c r="E617" s="30"/>
      <c r="F617" s="30"/>
      <c r="G617" s="30"/>
      <c r="H617" s="30"/>
    </row>
    <row r="618" ht="15.75" customHeight="1">
      <c r="A618" s="30"/>
      <c r="B618" s="30"/>
      <c r="C618" s="30"/>
      <c r="D618" s="82"/>
      <c r="E618" s="30"/>
      <c r="F618" s="30"/>
      <c r="G618" s="30"/>
      <c r="H618" s="30"/>
    </row>
    <row r="619" ht="15.75" customHeight="1">
      <c r="A619" s="30"/>
      <c r="B619" s="30"/>
      <c r="C619" s="30"/>
      <c r="D619" s="82"/>
      <c r="E619" s="30"/>
      <c r="F619" s="30"/>
      <c r="G619" s="30"/>
      <c r="H619" s="30"/>
    </row>
    <row r="620" ht="15.75" customHeight="1">
      <c r="A620" s="30"/>
      <c r="B620" s="30"/>
      <c r="C620" s="30"/>
      <c r="D620" s="82"/>
      <c r="E620" s="30"/>
      <c r="F620" s="30"/>
      <c r="G620" s="30"/>
      <c r="H620" s="30"/>
    </row>
    <row r="621" ht="15.75" customHeight="1">
      <c r="A621" s="30"/>
      <c r="B621" s="30"/>
      <c r="C621" s="30"/>
      <c r="D621" s="82"/>
      <c r="E621" s="30"/>
      <c r="F621" s="30"/>
      <c r="G621" s="30"/>
      <c r="H621" s="30"/>
    </row>
    <row r="622" ht="15.75" customHeight="1">
      <c r="A622" s="30"/>
      <c r="B622" s="30"/>
      <c r="C622" s="30"/>
      <c r="D622" s="82"/>
      <c r="E622" s="30"/>
      <c r="F622" s="30"/>
      <c r="G622" s="30"/>
      <c r="H622" s="30"/>
    </row>
    <row r="623" ht="15.75" customHeight="1">
      <c r="A623" s="30"/>
      <c r="B623" s="30"/>
      <c r="C623" s="30"/>
      <c r="D623" s="82"/>
      <c r="E623" s="30"/>
      <c r="F623" s="30"/>
      <c r="G623" s="30"/>
      <c r="H623" s="30"/>
    </row>
    <row r="624" ht="15.75" customHeight="1">
      <c r="A624" s="30"/>
      <c r="B624" s="30"/>
      <c r="C624" s="30"/>
      <c r="D624" s="82"/>
      <c r="E624" s="30"/>
      <c r="F624" s="30"/>
      <c r="G624" s="30"/>
      <c r="H624" s="30"/>
    </row>
    <row r="625" ht="15.75" customHeight="1">
      <c r="A625" s="30"/>
      <c r="B625" s="30"/>
      <c r="C625" s="30"/>
      <c r="D625" s="82"/>
      <c r="E625" s="30"/>
      <c r="F625" s="30"/>
      <c r="G625" s="30"/>
      <c r="H625" s="30"/>
    </row>
    <row r="626" ht="15.75" customHeight="1">
      <c r="A626" s="30"/>
      <c r="B626" s="30"/>
      <c r="C626" s="30"/>
      <c r="D626" s="82"/>
      <c r="E626" s="30"/>
      <c r="F626" s="30"/>
      <c r="G626" s="30"/>
      <c r="H626" s="30"/>
    </row>
    <row r="627" ht="15.75" customHeight="1">
      <c r="A627" s="30"/>
      <c r="B627" s="30"/>
      <c r="C627" s="30"/>
      <c r="D627" s="82"/>
      <c r="E627" s="30"/>
      <c r="F627" s="30"/>
      <c r="G627" s="30"/>
      <c r="H627" s="30"/>
    </row>
    <row r="628" ht="15.75" customHeight="1">
      <c r="A628" s="30"/>
      <c r="B628" s="30"/>
      <c r="C628" s="30"/>
      <c r="D628" s="82"/>
      <c r="E628" s="30"/>
      <c r="F628" s="30"/>
      <c r="G628" s="30"/>
      <c r="H628" s="30"/>
    </row>
    <row r="629" ht="15.75" customHeight="1">
      <c r="A629" s="30"/>
      <c r="B629" s="30"/>
      <c r="C629" s="30"/>
      <c r="D629" s="82"/>
      <c r="E629" s="30"/>
      <c r="F629" s="30"/>
      <c r="G629" s="30"/>
      <c r="H629" s="30"/>
    </row>
    <row r="630" ht="15.75" customHeight="1">
      <c r="A630" s="30"/>
      <c r="B630" s="30"/>
      <c r="C630" s="30"/>
      <c r="D630" s="82"/>
      <c r="E630" s="30"/>
      <c r="F630" s="30"/>
      <c r="G630" s="30"/>
      <c r="H630" s="30"/>
    </row>
    <row r="631" ht="15.75" customHeight="1">
      <c r="A631" s="30"/>
      <c r="B631" s="30"/>
      <c r="C631" s="30"/>
      <c r="D631" s="82"/>
      <c r="E631" s="30"/>
      <c r="F631" s="30"/>
      <c r="G631" s="30"/>
      <c r="H631" s="30"/>
    </row>
    <row r="632" ht="15.75" customHeight="1">
      <c r="A632" s="30"/>
      <c r="B632" s="30"/>
      <c r="C632" s="30"/>
      <c r="D632" s="82"/>
      <c r="E632" s="30"/>
      <c r="F632" s="30"/>
      <c r="G632" s="30"/>
      <c r="H632" s="30"/>
    </row>
    <row r="633" ht="15.75" customHeight="1">
      <c r="A633" s="30"/>
      <c r="B633" s="30"/>
      <c r="C633" s="30"/>
      <c r="D633" s="82"/>
      <c r="E633" s="30"/>
      <c r="F633" s="30"/>
      <c r="G633" s="30"/>
      <c r="H633" s="30"/>
    </row>
    <row r="634" ht="15.75" customHeight="1">
      <c r="A634" s="30"/>
      <c r="B634" s="30"/>
      <c r="C634" s="30"/>
      <c r="D634" s="82"/>
      <c r="E634" s="30"/>
      <c r="F634" s="30"/>
      <c r="G634" s="30"/>
      <c r="H634" s="30"/>
    </row>
    <row r="635" ht="15.75" customHeight="1">
      <c r="A635" s="30"/>
      <c r="B635" s="30"/>
      <c r="C635" s="30"/>
      <c r="D635" s="82"/>
      <c r="E635" s="30"/>
      <c r="F635" s="30"/>
      <c r="G635" s="30"/>
      <c r="H635" s="30"/>
    </row>
    <row r="636" ht="15.75" customHeight="1">
      <c r="A636" s="30"/>
      <c r="B636" s="30"/>
      <c r="C636" s="30"/>
      <c r="D636" s="82"/>
      <c r="E636" s="30"/>
      <c r="F636" s="30"/>
      <c r="G636" s="30"/>
      <c r="H636" s="30"/>
    </row>
    <row r="637" ht="15.75" customHeight="1">
      <c r="A637" s="30"/>
      <c r="B637" s="30"/>
      <c r="C637" s="30"/>
      <c r="D637" s="82"/>
      <c r="E637" s="30"/>
      <c r="F637" s="30"/>
      <c r="G637" s="30"/>
      <c r="H637" s="30"/>
    </row>
    <row r="638" ht="15.75" customHeight="1">
      <c r="A638" s="30"/>
      <c r="B638" s="30"/>
      <c r="C638" s="30"/>
      <c r="D638" s="82"/>
      <c r="E638" s="30"/>
      <c r="F638" s="30"/>
      <c r="G638" s="30"/>
      <c r="H638" s="30"/>
    </row>
    <row r="639" ht="15.75" customHeight="1">
      <c r="A639" s="30"/>
      <c r="B639" s="30"/>
      <c r="C639" s="30"/>
      <c r="D639" s="82"/>
      <c r="E639" s="30"/>
      <c r="F639" s="30"/>
      <c r="G639" s="30"/>
      <c r="H639" s="30"/>
    </row>
    <row r="640" ht="15.75" customHeight="1">
      <c r="A640" s="30"/>
      <c r="B640" s="30"/>
      <c r="C640" s="30"/>
      <c r="D640" s="82"/>
      <c r="E640" s="30"/>
      <c r="F640" s="30"/>
      <c r="G640" s="30"/>
      <c r="H640" s="30"/>
    </row>
    <row r="641" ht="15.75" customHeight="1">
      <c r="A641" s="30"/>
      <c r="B641" s="30"/>
      <c r="C641" s="30"/>
      <c r="D641" s="82"/>
      <c r="E641" s="30"/>
      <c r="F641" s="30"/>
      <c r="G641" s="30"/>
      <c r="H641" s="30"/>
    </row>
    <row r="642" ht="15.75" customHeight="1">
      <c r="A642" s="30"/>
      <c r="B642" s="30"/>
      <c r="C642" s="30"/>
      <c r="D642" s="82"/>
      <c r="E642" s="30"/>
      <c r="F642" s="30"/>
      <c r="G642" s="30"/>
      <c r="H642" s="30"/>
    </row>
    <row r="643" ht="15.75" customHeight="1">
      <c r="A643" s="30"/>
      <c r="B643" s="30"/>
      <c r="C643" s="30"/>
      <c r="D643" s="82"/>
      <c r="E643" s="30"/>
      <c r="F643" s="30"/>
      <c r="G643" s="30"/>
      <c r="H643" s="30"/>
    </row>
    <row r="644" ht="15.75" customHeight="1">
      <c r="A644" s="30"/>
      <c r="B644" s="30"/>
      <c r="C644" s="30"/>
      <c r="D644" s="82"/>
      <c r="E644" s="30"/>
      <c r="F644" s="30"/>
      <c r="G644" s="30"/>
      <c r="H644" s="30"/>
    </row>
    <row r="645" ht="15.75" customHeight="1">
      <c r="A645" s="30"/>
      <c r="B645" s="30"/>
      <c r="C645" s="30"/>
      <c r="D645" s="82"/>
      <c r="E645" s="30"/>
      <c r="F645" s="30"/>
      <c r="G645" s="30"/>
      <c r="H645" s="30"/>
    </row>
    <row r="646" ht="15.75" customHeight="1">
      <c r="A646" s="30"/>
      <c r="B646" s="30"/>
      <c r="C646" s="30"/>
      <c r="D646" s="82"/>
      <c r="E646" s="30"/>
      <c r="F646" s="30"/>
      <c r="G646" s="30"/>
      <c r="H646" s="30"/>
    </row>
    <row r="647" ht="15.75" customHeight="1">
      <c r="A647" s="30"/>
      <c r="B647" s="30"/>
      <c r="C647" s="30"/>
      <c r="D647" s="82"/>
      <c r="E647" s="30"/>
      <c r="F647" s="30"/>
      <c r="G647" s="30"/>
      <c r="H647" s="30"/>
    </row>
    <row r="648" ht="15.75" customHeight="1">
      <c r="A648" s="30"/>
      <c r="B648" s="30"/>
      <c r="C648" s="30"/>
      <c r="D648" s="82"/>
      <c r="E648" s="30"/>
      <c r="F648" s="30"/>
      <c r="G648" s="30"/>
      <c r="H648" s="30"/>
    </row>
    <row r="649" ht="15.75" customHeight="1">
      <c r="A649" s="30"/>
      <c r="B649" s="30"/>
      <c r="C649" s="30"/>
      <c r="D649" s="82"/>
      <c r="E649" s="30"/>
      <c r="F649" s="30"/>
      <c r="G649" s="30"/>
      <c r="H649" s="30"/>
    </row>
    <row r="650" ht="15.75" customHeight="1">
      <c r="A650" s="30"/>
      <c r="B650" s="30"/>
      <c r="C650" s="30"/>
      <c r="D650" s="82"/>
      <c r="E650" s="30"/>
      <c r="F650" s="30"/>
      <c r="G650" s="30"/>
      <c r="H650" s="30"/>
    </row>
    <row r="651" ht="15.75" customHeight="1">
      <c r="A651" s="30"/>
      <c r="B651" s="30"/>
      <c r="C651" s="30"/>
      <c r="D651" s="82"/>
      <c r="E651" s="30"/>
      <c r="F651" s="30"/>
      <c r="G651" s="30"/>
      <c r="H651" s="30"/>
    </row>
    <row r="652" ht="15.75" customHeight="1">
      <c r="A652" s="30"/>
      <c r="B652" s="30"/>
      <c r="C652" s="30"/>
      <c r="D652" s="82"/>
      <c r="E652" s="30"/>
      <c r="F652" s="30"/>
      <c r="G652" s="30"/>
      <c r="H652" s="30"/>
    </row>
    <row r="653" ht="15.75" customHeight="1">
      <c r="A653" s="30"/>
      <c r="B653" s="30"/>
      <c r="C653" s="30"/>
      <c r="D653" s="82"/>
      <c r="E653" s="30"/>
      <c r="F653" s="30"/>
      <c r="G653" s="30"/>
      <c r="H653" s="30"/>
    </row>
    <row r="654" ht="15.75" customHeight="1">
      <c r="A654" s="30"/>
      <c r="B654" s="30"/>
      <c r="C654" s="30"/>
      <c r="D654" s="82"/>
      <c r="E654" s="30"/>
      <c r="F654" s="30"/>
      <c r="G654" s="30"/>
      <c r="H654" s="30"/>
    </row>
    <row r="655" ht="15.75" customHeight="1">
      <c r="A655" s="30"/>
      <c r="B655" s="30"/>
      <c r="C655" s="30"/>
      <c r="D655" s="82"/>
      <c r="E655" s="30"/>
      <c r="F655" s="30"/>
      <c r="G655" s="30"/>
      <c r="H655" s="30"/>
    </row>
    <row r="656" ht="15.75" customHeight="1">
      <c r="A656" s="30"/>
      <c r="B656" s="30"/>
      <c r="C656" s="30"/>
      <c r="D656" s="82"/>
      <c r="E656" s="30"/>
      <c r="F656" s="30"/>
      <c r="G656" s="30"/>
      <c r="H656" s="30"/>
    </row>
    <row r="657" ht="15.75" customHeight="1">
      <c r="A657" s="30"/>
      <c r="B657" s="30"/>
      <c r="C657" s="30"/>
      <c r="D657" s="82"/>
      <c r="E657" s="30"/>
      <c r="F657" s="30"/>
      <c r="G657" s="30"/>
      <c r="H657" s="30"/>
    </row>
    <row r="658" ht="15.75" customHeight="1">
      <c r="A658" s="30"/>
      <c r="B658" s="30"/>
      <c r="C658" s="30"/>
      <c r="D658" s="82"/>
      <c r="E658" s="30"/>
      <c r="F658" s="30"/>
      <c r="G658" s="30"/>
      <c r="H658" s="30"/>
    </row>
    <row r="659" ht="15.75" customHeight="1">
      <c r="A659" s="30"/>
      <c r="B659" s="30"/>
      <c r="C659" s="30"/>
      <c r="D659" s="82"/>
      <c r="E659" s="30"/>
      <c r="F659" s="30"/>
      <c r="G659" s="30"/>
      <c r="H659" s="30"/>
    </row>
    <row r="660" ht="15.75" customHeight="1">
      <c r="A660" s="30"/>
      <c r="B660" s="30"/>
      <c r="C660" s="30"/>
      <c r="D660" s="82"/>
      <c r="E660" s="30"/>
      <c r="F660" s="30"/>
      <c r="G660" s="30"/>
      <c r="H660" s="30"/>
    </row>
    <row r="661" ht="15.75" customHeight="1">
      <c r="A661" s="30"/>
      <c r="B661" s="30"/>
      <c r="C661" s="30"/>
      <c r="D661" s="82"/>
      <c r="E661" s="30"/>
      <c r="F661" s="30"/>
      <c r="G661" s="30"/>
      <c r="H661" s="30"/>
    </row>
    <row r="662" ht="15.75" customHeight="1">
      <c r="A662" s="30"/>
      <c r="B662" s="30"/>
      <c r="C662" s="30"/>
      <c r="D662" s="82"/>
      <c r="E662" s="30"/>
      <c r="F662" s="30"/>
      <c r="G662" s="30"/>
      <c r="H662" s="30"/>
    </row>
    <row r="663" ht="15.75" customHeight="1">
      <c r="A663" s="30"/>
      <c r="B663" s="30"/>
      <c r="C663" s="30"/>
      <c r="D663" s="82"/>
      <c r="E663" s="30"/>
      <c r="F663" s="30"/>
      <c r="G663" s="30"/>
      <c r="H663" s="30"/>
    </row>
    <row r="664" ht="15.75" customHeight="1">
      <c r="A664" s="30"/>
      <c r="B664" s="30"/>
      <c r="C664" s="30"/>
      <c r="D664" s="82"/>
      <c r="E664" s="30"/>
      <c r="F664" s="30"/>
      <c r="G664" s="30"/>
      <c r="H664" s="30"/>
    </row>
    <row r="665" ht="15.75" customHeight="1">
      <c r="A665" s="30"/>
      <c r="B665" s="30"/>
      <c r="C665" s="30"/>
      <c r="D665" s="82"/>
      <c r="E665" s="30"/>
      <c r="F665" s="30"/>
      <c r="G665" s="30"/>
      <c r="H665" s="30"/>
    </row>
    <row r="666" ht="15.75" customHeight="1">
      <c r="A666" s="30"/>
      <c r="B666" s="30"/>
      <c r="C666" s="30"/>
      <c r="D666" s="82"/>
      <c r="E666" s="30"/>
      <c r="F666" s="30"/>
      <c r="G666" s="30"/>
      <c r="H666" s="30"/>
    </row>
    <row r="667" ht="15.75" customHeight="1">
      <c r="A667" s="30"/>
      <c r="B667" s="30"/>
      <c r="C667" s="30"/>
      <c r="D667" s="82"/>
      <c r="E667" s="30"/>
      <c r="F667" s="30"/>
      <c r="G667" s="30"/>
      <c r="H667" s="30"/>
    </row>
    <row r="668" ht="15.75" customHeight="1">
      <c r="A668" s="30"/>
      <c r="B668" s="30"/>
      <c r="C668" s="30"/>
      <c r="D668" s="82"/>
      <c r="E668" s="30"/>
      <c r="F668" s="30"/>
      <c r="G668" s="30"/>
      <c r="H668" s="30"/>
    </row>
    <row r="669" ht="15.75" customHeight="1">
      <c r="A669" s="30"/>
      <c r="B669" s="30"/>
      <c r="C669" s="30"/>
      <c r="D669" s="82"/>
      <c r="E669" s="30"/>
      <c r="F669" s="30"/>
      <c r="G669" s="30"/>
      <c r="H669" s="30"/>
    </row>
    <row r="670" ht="15.75" customHeight="1">
      <c r="A670" s="30"/>
      <c r="B670" s="30"/>
      <c r="C670" s="30"/>
      <c r="D670" s="82"/>
      <c r="E670" s="30"/>
      <c r="F670" s="30"/>
      <c r="G670" s="30"/>
      <c r="H670" s="30"/>
    </row>
    <row r="671" ht="15.75" customHeight="1">
      <c r="A671" s="30"/>
      <c r="B671" s="30"/>
      <c r="C671" s="30"/>
      <c r="D671" s="82"/>
      <c r="E671" s="30"/>
      <c r="F671" s="30"/>
      <c r="G671" s="30"/>
      <c r="H671" s="30"/>
    </row>
    <row r="672" ht="15.75" customHeight="1">
      <c r="A672" s="30"/>
      <c r="B672" s="30"/>
      <c r="C672" s="30"/>
      <c r="D672" s="82"/>
      <c r="E672" s="30"/>
      <c r="F672" s="30"/>
      <c r="G672" s="30"/>
      <c r="H672" s="30"/>
    </row>
    <row r="673" ht="15.75" customHeight="1">
      <c r="A673" s="30"/>
      <c r="B673" s="30"/>
      <c r="C673" s="30"/>
      <c r="D673" s="82"/>
      <c r="E673" s="30"/>
      <c r="F673" s="30"/>
      <c r="G673" s="30"/>
      <c r="H673" s="30"/>
    </row>
    <row r="674" ht="15.75" customHeight="1">
      <c r="A674" s="30"/>
      <c r="B674" s="30"/>
      <c r="C674" s="30"/>
      <c r="D674" s="82"/>
      <c r="E674" s="30"/>
      <c r="F674" s="30"/>
      <c r="G674" s="30"/>
      <c r="H674" s="30"/>
    </row>
    <row r="675" ht="15.75" customHeight="1">
      <c r="A675" s="30"/>
      <c r="B675" s="30"/>
      <c r="C675" s="30"/>
      <c r="D675" s="82"/>
      <c r="E675" s="30"/>
      <c r="F675" s="30"/>
      <c r="G675" s="30"/>
      <c r="H675" s="30"/>
    </row>
    <row r="676" ht="15.75" customHeight="1">
      <c r="A676" s="30"/>
      <c r="B676" s="30"/>
      <c r="C676" s="30"/>
      <c r="D676" s="82"/>
      <c r="E676" s="30"/>
      <c r="F676" s="30"/>
      <c r="G676" s="30"/>
      <c r="H676" s="30"/>
    </row>
    <row r="677" ht="15.75" customHeight="1">
      <c r="A677" s="30"/>
      <c r="B677" s="30"/>
      <c r="C677" s="30"/>
      <c r="D677" s="82"/>
      <c r="E677" s="30"/>
      <c r="F677" s="30"/>
      <c r="G677" s="30"/>
      <c r="H677" s="30"/>
    </row>
    <row r="678" ht="15.75" customHeight="1">
      <c r="A678" s="30"/>
      <c r="B678" s="30"/>
      <c r="C678" s="30"/>
      <c r="D678" s="82"/>
      <c r="E678" s="30"/>
      <c r="F678" s="30"/>
      <c r="G678" s="30"/>
      <c r="H678" s="30"/>
    </row>
    <row r="679" ht="15.75" customHeight="1">
      <c r="A679" s="30"/>
      <c r="B679" s="30"/>
      <c r="C679" s="30"/>
      <c r="D679" s="82"/>
      <c r="E679" s="30"/>
      <c r="F679" s="30"/>
      <c r="G679" s="30"/>
      <c r="H679" s="30"/>
    </row>
    <row r="680" ht="15.75" customHeight="1">
      <c r="A680" s="30"/>
      <c r="B680" s="30"/>
      <c r="C680" s="30"/>
      <c r="D680" s="82"/>
      <c r="E680" s="30"/>
      <c r="F680" s="30"/>
      <c r="G680" s="30"/>
      <c r="H680" s="30"/>
    </row>
    <row r="681" ht="15.75" customHeight="1">
      <c r="A681" s="30"/>
      <c r="B681" s="30"/>
      <c r="C681" s="30"/>
      <c r="D681" s="82"/>
      <c r="E681" s="30"/>
      <c r="F681" s="30"/>
      <c r="G681" s="30"/>
      <c r="H681" s="30"/>
    </row>
    <row r="682" ht="15.75" customHeight="1">
      <c r="A682" s="30"/>
      <c r="B682" s="30"/>
      <c r="C682" s="30"/>
      <c r="D682" s="82"/>
      <c r="E682" s="30"/>
      <c r="F682" s="30"/>
      <c r="G682" s="30"/>
      <c r="H682" s="30"/>
    </row>
    <row r="683" ht="15.75" customHeight="1">
      <c r="A683" s="30"/>
      <c r="B683" s="30"/>
      <c r="C683" s="30"/>
      <c r="D683" s="82"/>
      <c r="E683" s="30"/>
      <c r="F683" s="30"/>
      <c r="G683" s="30"/>
      <c r="H683" s="30"/>
    </row>
    <row r="684" ht="15.75" customHeight="1">
      <c r="A684" s="30"/>
      <c r="B684" s="30"/>
      <c r="C684" s="30"/>
      <c r="D684" s="82"/>
      <c r="E684" s="30"/>
      <c r="F684" s="30"/>
      <c r="G684" s="30"/>
      <c r="H684" s="30"/>
    </row>
    <row r="685" ht="15.75" customHeight="1">
      <c r="A685" s="30"/>
      <c r="B685" s="30"/>
      <c r="C685" s="30"/>
      <c r="D685" s="82"/>
      <c r="E685" s="30"/>
      <c r="F685" s="30"/>
      <c r="G685" s="30"/>
      <c r="H685" s="30"/>
    </row>
    <row r="686" ht="15.75" customHeight="1">
      <c r="A686" s="30"/>
      <c r="B686" s="30"/>
      <c r="C686" s="30"/>
      <c r="D686" s="82"/>
      <c r="E686" s="30"/>
      <c r="F686" s="30"/>
      <c r="G686" s="30"/>
      <c r="H686" s="30"/>
    </row>
    <row r="687" ht="15.75" customHeight="1">
      <c r="A687" s="30"/>
      <c r="B687" s="30"/>
      <c r="C687" s="30"/>
      <c r="D687" s="82"/>
      <c r="E687" s="30"/>
      <c r="F687" s="30"/>
      <c r="G687" s="30"/>
      <c r="H687" s="30"/>
    </row>
    <row r="688" ht="15.75" customHeight="1">
      <c r="A688" s="30"/>
      <c r="B688" s="30"/>
      <c r="C688" s="30"/>
      <c r="D688" s="82"/>
      <c r="E688" s="30"/>
      <c r="F688" s="30"/>
      <c r="G688" s="30"/>
      <c r="H688" s="30"/>
    </row>
    <row r="689" ht="15.75" customHeight="1">
      <c r="A689" s="30"/>
      <c r="B689" s="30"/>
      <c r="C689" s="30"/>
      <c r="D689" s="82"/>
      <c r="E689" s="30"/>
      <c r="F689" s="30"/>
      <c r="G689" s="30"/>
      <c r="H689" s="30"/>
    </row>
    <row r="690" ht="15.75" customHeight="1">
      <c r="A690" s="30"/>
      <c r="B690" s="30"/>
      <c r="C690" s="30"/>
      <c r="D690" s="82"/>
      <c r="E690" s="30"/>
      <c r="F690" s="30"/>
      <c r="G690" s="30"/>
      <c r="H690" s="30"/>
    </row>
    <row r="691" ht="15.75" customHeight="1">
      <c r="A691" s="30"/>
      <c r="B691" s="30"/>
      <c r="C691" s="30"/>
      <c r="D691" s="82"/>
      <c r="E691" s="30"/>
      <c r="F691" s="30"/>
      <c r="G691" s="30"/>
      <c r="H691" s="30"/>
    </row>
    <row r="692" ht="15.75" customHeight="1">
      <c r="A692" s="30"/>
      <c r="B692" s="30"/>
      <c r="C692" s="30"/>
      <c r="D692" s="82"/>
      <c r="E692" s="30"/>
      <c r="F692" s="30"/>
      <c r="G692" s="30"/>
      <c r="H692" s="30"/>
    </row>
    <row r="693" ht="15.75" customHeight="1">
      <c r="A693" s="30"/>
      <c r="B693" s="30"/>
      <c r="C693" s="30"/>
      <c r="D693" s="82"/>
      <c r="E693" s="30"/>
      <c r="F693" s="30"/>
      <c r="G693" s="30"/>
      <c r="H693" s="30"/>
    </row>
    <row r="694" ht="15.75" customHeight="1">
      <c r="A694" s="30"/>
      <c r="B694" s="30"/>
      <c r="C694" s="30"/>
      <c r="D694" s="82"/>
      <c r="E694" s="30"/>
      <c r="F694" s="30"/>
      <c r="G694" s="30"/>
      <c r="H694" s="30"/>
    </row>
    <row r="695" ht="15.75" customHeight="1">
      <c r="A695" s="30"/>
      <c r="B695" s="30"/>
      <c r="C695" s="30"/>
      <c r="D695" s="82"/>
      <c r="E695" s="30"/>
      <c r="F695" s="30"/>
      <c r="G695" s="30"/>
      <c r="H695" s="30"/>
    </row>
    <row r="696" ht="15.75" customHeight="1">
      <c r="A696" s="30"/>
      <c r="B696" s="30"/>
      <c r="C696" s="30"/>
      <c r="D696" s="82"/>
      <c r="E696" s="30"/>
      <c r="F696" s="30"/>
      <c r="G696" s="30"/>
      <c r="H696" s="30"/>
    </row>
    <row r="697" ht="15.75" customHeight="1">
      <c r="A697" s="30"/>
      <c r="B697" s="30"/>
      <c r="C697" s="30"/>
      <c r="D697" s="82"/>
      <c r="E697" s="30"/>
      <c r="F697" s="30"/>
      <c r="G697" s="30"/>
      <c r="H697" s="30"/>
    </row>
    <row r="698" ht="15.75" customHeight="1">
      <c r="A698" s="30"/>
      <c r="B698" s="30"/>
      <c r="C698" s="30"/>
      <c r="D698" s="82"/>
      <c r="E698" s="30"/>
      <c r="F698" s="30"/>
      <c r="G698" s="30"/>
      <c r="H698" s="30"/>
    </row>
    <row r="699" ht="15.75" customHeight="1">
      <c r="A699" s="30"/>
      <c r="B699" s="30"/>
      <c r="C699" s="30"/>
      <c r="D699" s="82"/>
      <c r="E699" s="30"/>
      <c r="F699" s="30"/>
      <c r="G699" s="30"/>
      <c r="H699" s="30"/>
    </row>
    <row r="700" ht="15.75" customHeight="1">
      <c r="A700" s="30"/>
      <c r="B700" s="30"/>
      <c r="C700" s="30"/>
      <c r="D700" s="82"/>
      <c r="E700" s="30"/>
      <c r="F700" s="30"/>
      <c r="G700" s="30"/>
      <c r="H700" s="30"/>
    </row>
    <row r="701" ht="15.75" customHeight="1">
      <c r="A701" s="30"/>
      <c r="B701" s="30"/>
      <c r="C701" s="30"/>
      <c r="D701" s="82"/>
      <c r="E701" s="30"/>
      <c r="F701" s="30"/>
      <c r="G701" s="30"/>
      <c r="H701" s="30"/>
    </row>
    <row r="702" ht="15.75" customHeight="1">
      <c r="A702" s="30"/>
      <c r="B702" s="30"/>
      <c r="C702" s="30"/>
      <c r="D702" s="82"/>
      <c r="E702" s="30"/>
      <c r="F702" s="30"/>
      <c r="G702" s="30"/>
      <c r="H702" s="30"/>
    </row>
    <row r="703" ht="15.75" customHeight="1">
      <c r="A703" s="30"/>
      <c r="B703" s="30"/>
      <c r="C703" s="30"/>
      <c r="D703" s="82"/>
      <c r="E703" s="30"/>
      <c r="F703" s="30"/>
      <c r="G703" s="30"/>
      <c r="H703" s="30"/>
    </row>
    <row r="704" ht="15.75" customHeight="1">
      <c r="A704" s="30"/>
      <c r="B704" s="30"/>
      <c r="C704" s="30"/>
      <c r="D704" s="82"/>
      <c r="E704" s="30"/>
      <c r="F704" s="30"/>
      <c r="G704" s="30"/>
      <c r="H704" s="30"/>
    </row>
    <row r="705" ht="15.75" customHeight="1">
      <c r="A705" s="30"/>
      <c r="B705" s="30"/>
      <c r="C705" s="30"/>
      <c r="D705" s="82"/>
      <c r="E705" s="30"/>
      <c r="F705" s="30"/>
      <c r="G705" s="30"/>
      <c r="H705" s="30"/>
    </row>
    <row r="706" ht="15.75" customHeight="1">
      <c r="A706" s="30"/>
      <c r="B706" s="30"/>
      <c r="C706" s="30"/>
      <c r="D706" s="82"/>
      <c r="E706" s="30"/>
      <c r="F706" s="30"/>
      <c r="G706" s="30"/>
      <c r="H706" s="30"/>
    </row>
    <row r="707" ht="15.75" customHeight="1">
      <c r="A707" s="30"/>
      <c r="B707" s="30"/>
      <c r="C707" s="30"/>
      <c r="D707" s="82"/>
      <c r="E707" s="30"/>
      <c r="F707" s="30"/>
      <c r="G707" s="30"/>
      <c r="H707" s="30"/>
    </row>
    <row r="708" ht="15.75" customHeight="1">
      <c r="A708" s="30"/>
      <c r="B708" s="30"/>
      <c r="C708" s="30"/>
      <c r="D708" s="82"/>
      <c r="E708" s="30"/>
      <c r="F708" s="30"/>
      <c r="G708" s="30"/>
      <c r="H708" s="30"/>
    </row>
    <row r="709" ht="15.75" customHeight="1">
      <c r="A709" s="30"/>
      <c r="B709" s="30"/>
      <c r="C709" s="30"/>
      <c r="D709" s="82"/>
      <c r="E709" s="30"/>
      <c r="F709" s="30"/>
      <c r="G709" s="30"/>
      <c r="H709" s="30"/>
    </row>
    <row r="710" ht="15.75" customHeight="1">
      <c r="A710" s="30"/>
      <c r="B710" s="30"/>
      <c r="C710" s="30"/>
      <c r="D710" s="82"/>
      <c r="E710" s="30"/>
      <c r="F710" s="30"/>
      <c r="G710" s="30"/>
      <c r="H710" s="30"/>
    </row>
    <row r="711" ht="15.75" customHeight="1">
      <c r="A711" s="30"/>
      <c r="B711" s="30"/>
      <c r="C711" s="30"/>
      <c r="D711" s="82"/>
      <c r="E711" s="30"/>
      <c r="F711" s="30"/>
      <c r="G711" s="30"/>
      <c r="H711" s="30"/>
    </row>
    <row r="712" ht="15.75" customHeight="1">
      <c r="A712" s="30"/>
      <c r="B712" s="30"/>
      <c r="C712" s="30"/>
      <c r="D712" s="82"/>
      <c r="E712" s="30"/>
      <c r="F712" s="30"/>
      <c r="G712" s="30"/>
      <c r="H712" s="30"/>
    </row>
    <row r="713" ht="15.75" customHeight="1">
      <c r="A713" s="30"/>
      <c r="B713" s="30"/>
      <c r="C713" s="30"/>
      <c r="D713" s="82"/>
      <c r="E713" s="30"/>
      <c r="F713" s="30"/>
      <c r="G713" s="30"/>
      <c r="H713" s="30"/>
    </row>
    <row r="714" ht="15.75" customHeight="1">
      <c r="A714" s="30"/>
      <c r="B714" s="30"/>
      <c r="C714" s="30"/>
      <c r="D714" s="82"/>
      <c r="E714" s="30"/>
      <c r="F714" s="30"/>
      <c r="G714" s="30"/>
      <c r="H714" s="30"/>
    </row>
    <row r="715" ht="15.75" customHeight="1">
      <c r="A715" s="30"/>
      <c r="B715" s="30"/>
      <c r="C715" s="30"/>
      <c r="D715" s="82"/>
      <c r="E715" s="30"/>
      <c r="F715" s="30"/>
      <c r="G715" s="30"/>
      <c r="H715" s="30"/>
    </row>
    <row r="716" ht="15.75" customHeight="1">
      <c r="A716" s="30"/>
      <c r="B716" s="30"/>
      <c r="C716" s="30"/>
      <c r="D716" s="82"/>
      <c r="E716" s="30"/>
      <c r="F716" s="30"/>
      <c r="G716" s="30"/>
      <c r="H716" s="30"/>
    </row>
    <row r="717" ht="15.75" customHeight="1">
      <c r="A717" s="30"/>
      <c r="B717" s="30"/>
      <c r="C717" s="30"/>
      <c r="D717" s="82"/>
      <c r="E717" s="30"/>
      <c r="F717" s="30"/>
      <c r="G717" s="30"/>
      <c r="H717" s="30"/>
    </row>
    <row r="718" ht="15.75" customHeight="1">
      <c r="A718" s="30"/>
      <c r="B718" s="30"/>
      <c r="C718" s="30"/>
      <c r="D718" s="82"/>
      <c r="E718" s="30"/>
      <c r="F718" s="30"/>
      <c r="G718" s="30"/>
      <c r="H718" s="30"/>
    </row>
    <row r="719" ht="15.75" customHeight="1">
      <c r="A719" s="30"/>
      <c r="B719" s="30"/>
      <c r="C719" s="30"/>
      <c r="D719" s="82"/>
      <c r="E719" s="30"/>
      <c r="F719" s="30"/>
      <c r="G719" s="30"/>
      <c r="H719" s="30"/>
    </row>
    <row r="720" ht="15.75" customHeight="1">
      <c r="A720" s="30"/>
      <c r="B720" s="30"/>
      <c r="C720" s="30"/>
      <c r="D720" s="82"/>
      <c r="E720" s="30"/>
      <c r="F720" s="30"/>
      <c r="G720" s="30"/>
      <c r="H720" s="30"/>
    </row>
    <row r="721" ht="15.75" customHeight="1">
      <c r="A721" s="30"/>
      <c r="B721" s="30"/>
      <c r="C721" s="30"/>
      <c r="D721" s="82"/>
      <c r="E721" s="30"/>
      <c r="F721" s="30"/>
      <c r="G721" s="30"/>
      <c r="H721" s="30"/>
    </row>
    <row r="722" ht="15.75" customHeight="1">
      <c r="A722" s="30"/>
      <c r="B722" s="30"/>
      <c r="C722" s="30"/>
      <c r="D722" s="82"/>
      <c r="E722" s="30"/>
      <c r="F722" s="30"/>
      <c r="G722" s="30"/>
      <c r="H722" s="30"/>
    </row>
    <row r="723" ht="15.75" customHeight="1">
      <c r="A723" s="30"/>
      <c r="B723" s="30"/>
      <c r="C723" s="30"/>
      <c r="D723" s="82"/>
      <c r="E723" s="30"/>
      <c r="F723" s="30"/>
      <c r="G723" s="30"/>
      <c r="H723" s="30"/>
    </row>
    <row r="724" ht="15.75" customHeight="1">
      <c r="A724" s="30"/>
      <c r="B724" s="30"/>
      <c r="C724" s="30"/>
      <c r="D724" s="82"/>
      <c r="E724" s="30"/>
      <c r="F724" s="30"/>
      <c r="G724" s="30"/>
      <c r="H724" s="30"/>
    </row>
    <row r="725" ht="15.75" customHeight="1">
      <c r="A725" s="30"/>
      <c r="B725" s="30"/>
      <c r="C725" s="30"/>
      <c r="D725" s="82"/>
      <c r="E725" s="30"/>
      <c r="F725" s="30"/>
      <c r="G725" s="30"/>
      <c r="H725" s="30"/>
    </row>
    <row r="726" ht="15.75" customHeight="1">
      <c r="A726" s="30"/>
      <c r="B726" s="30"/>
      <c r="C726" s="30"/>
      <c r="D726" s="82"/>
      <c r="E726" s="30"/>
      <c r="F726" s="30"/>
      <c r="G726" s="30"/>
      <c r="H726" s="30"/>
    </row>
    <row r="727" ht="15.75" customHeight="1">
      <c r="A727" s="30"/>
      <c r="B727" s="30"/>
      <c r="C727" s="30"/>
      <c r="D727" s="82"/>
      <c r="E727" s="30"/>
      <c r="F727" s="30"/>
      <c r="G727" s="30"/>
      <c r="H727" s="30"/>
    </row>
    <row r="728" ht="15.75" customHeight="1">
      <c r="A728" s="30"/>
      <c r="B728" s="30"/>
      <c r="C728" s="30"/>
      <c r="D728" s="82"/>
      <c r="E728" s="30"/>
      <c r="F728" s="30"/>
      <c r="G728" s="30"/>
      <c r="H728" s="30"/>
    </row>
    <row r="729" ht="15.75" customHeight="1">
      <c r="A729" s="30"/>
      <c r="B729" s="30"/>
      <c r="C729" s="30"/>
      <c r="D729" s="82"/>
      <c r="E729" s="30"/>
      <c r="F729" s="30"/>
      <c r="G729" s="30"/>
      <c r="H729" s="30"/>
    </row>
    <row r="730" ht="15.75" customHeight="1">
      <c r="A730" s="30"/>
      <c r="B730" s="30"/>
      <c r="C730" s="30"/>
      <c r="D730" s="82"/>
      <c r="E730" s="30"/>
      <c r="F730" s="30"/>
      <c r="G730" s="30"/>
      <c r="H730" s="30"/>
    </row>
    <row r="731" ht="15.75" customHeight="1">
      <c r="A731" s="30"/>
      <c r="B731" s="30"/>
      <c r="C731" s="30"/>
      <c r="D731" s="82"/>
      <c r="E731" s="30"/>
      <c r="F731" s="30"/>
      <c r="G731" s="30"/>
      <c r="H731" s="30"/>
    </row>
    <row r="732" ht="15.75" customHeight="1">
      <c r="A732" s="30"/>
      <c r="B732" s="30"/>
      <c r="C732" s="30"/>
      <c r="D732" s="82"/>
      <c r="E732" s="30"/>
      <c r="F732" s="30"/>
      <c r="G732" s="30"/>
      <c r="H732" s="30"/>
    </row>
    <row r="733" ht="15.75" customHeight="1">
      <c r="A733" s="30"/>
      <c r="B733" s="30"/>
      <c r="C733" s="30"/>
      <c r="D733" s="82"/>
      <c r="E733" s="30"/>
      <c r="F733" s="30"/>
      <c r="G733" s="30"/>
      <c r="H733" s="30"/>
    </row>
    <row r="734" ht="15.75" customHeight="1">
      <c r="A734" s="30"/>
      <c r="B734" s="30"/>
      <c r="C734" s="30"/>
      <c r="D734" s="82"/>
      <c r="E734" s="30"/>
      <c r="F734" s="30"/>
      <c r="G734" s="30"/>
      <c r="H734" s="30"/>
    </row>
    <row r="735" ht="15.75" customHeight="1">
      <c r="A735" s="30"/>
      <c r="B735" s="30"/>
      <c r="C735" s="30"/>
      <c r="D735" s="82"/>
      <c r="E735" s="30"/>
      <c r="F735" s="30"/>
      <c r="G735" s="30"/>
      <c r="H735" s="30"/>
    </row>
    <row r="736" ht="15.75" customHeight="1">
      <c r="A736" s="30"/>
      <c r="B736" s="30"/>
      <c r="C736" s="30"/>
      <c r="D736" s="82"/>
      <c r="E736" s="30"/>
      <c r="F736" s="30"/>
      <c r="G736" s="30"/>
      <c r="H736" s="30"/>
    </row>
    <row r="737" ht="15.75" customHeight="1">
      <c r="A737" s="30"/>
      <c r="B737" s="30"/>
      <c r="C737" s="30"/>
      <c r="D737" s="82"/>
      <c r="E737" s="30"/>
      <c r="F737" s="30"/>
      <c r="G737" s="30"/>
      <c r="H737" s="30"/>
    </row>
    <row r="738" ht="15.75" customHeight="1">
      <c r="A738" s="30"/>
      <c r="B738" s="30"/>
      <c r="C738" s="30"/>
      <c r="D738" s="82"/>
      <c r="E738" s="30"/>
      <c r="F738" s="30"/>
      <c r="G738" s="30"/>
      <c r="H738" s="30"/>
    </row>
    <row r="739" ht="15.75" customHeight="1">
      <c r="A739" s="30"/>
      <c r="B739" s="30"/>
      <c r="C739" s="30"/>
      <c r="D739" s="82"/>
      <c r="E739" s="30"/>
      <c r="F739" s="30"/>
      <c r="G739" s="30"/>
      <c r="H739" s="30"/>
    </row>
    <row r="740" ht="15.75" customHeight="1">
      <c r="A740" s="30"/>
      <c r="B740" s="30"/>
      <c r="C740" s="30"/>
      <c r="D740" s="82"/>
      <c r="E740" s="30"/>
      <c r="F740" s="30"/>
      <c r="G740" s="30"/>
      <c r="H740" s="30"/>
    </row>
    <row r="741" ht="15.75" customHeight="1">
      <c r="A741" s="30"/>
      <c r="B741" s="30"/>
      <c r="C741" s="30"/>
      <c r="D741" s="82"/>
      <c r="E741" s="30"/>
      <c r="F741" s="30"/>
      <c r="G741" s="30"/>
      <c r="H741" s="30"/>
    </row>
    <row r="742" ht="15.75" customHeight="1">
      <c r="A742" s="30"/>
      <c r="B742" s="30"/>
      <c r="C742" s="30"/>
      <c r="D742" s="82"/>
      <c r="E742" s="30"/>
      <c r="F742" s="30"/>
      <c r="G742" s="30"/>
      <c r="H742" s="30"/>
    </row>
    <row r="743" ht="15.75" customHeight="1">
      <c r="A743" s="30"/>
      <c r="B743" s="30"/>
      <c r="C743" s="30"/>
      <c r="D743" s="82"/>
      <c r="E743" s="30"/>
      <c r="F743" s="30"/>
      <c r="G743" s="30"/>
      <c r="H743" s="30"/>
    </row>
    <row r="744" ht="15.75" customHeight="1">
      <c r="A744" s="30"/>
      <c r="B744" s="30"/>
      <c r="C744" s="30"/>
      <c r="D744" s="82"/>
      <c r="E744" s="30"/>
      <c r="F744" s="30"/>
      <c r="G744" s="30"/>
      <c r="H744" s="30"/>
    </row>
    <row r="745" ht="15.75" customHeight="1">
      <c r="A745" s="30"/>
      <c r="B745" s="30"/>
      <c r="C745" s="30"/>
      <c r="D745" s="82"/>
      <c r="E745" s="30"/>
      <c r="F745" s="30"/>
      <c r="G745" s="30"/>
      <c r="H745" s="30"/>
    </row>
    <row r="746" ht="15.75" customHeight="1">
      <c r="A746" s="30"/>
      <c r="B746" s="30"/>
      <c r="C746" s="30"/>
      <c r="D746" s="82"/>
      <c r="E746" s="30"/>
      <c r="F746" s="30"/>
      <c r="G746" s="30"/>
      <c r="H746" s="30"/>
    </row>
    <row r="747" ht="15.75" customHeight="1">
      <c r="A747" s="30"/>
      <c r="B747" s="30"/>
      <c r="C747" s="30"/>
      <c r="D747" s="82"/>
      <c r="E747" s="30"/>
      <c r="F747" s="30"/>
      <c r="G747" s="30"/>
      <c r="H747" s="30"/>
    </row>
    <row r="748" ht="15.75" customHeight="1">
      <c r="A748" s="30"/>
      <c r="B748" s="30"/>
      <c r="C748" s="30"/>
      <c r="D748" s="82"/>
      <c r="E748" s="30"/>
      <c r="F748" s="30"/>
      <c r="G748" s="30"/>
      <c r="H748" s="30"/>
    </row>
    <row r="749" ht="15.75" customHeight="1">
      <c r="A749" s="30"/>
      <c r="B749" s="30"/>
      <c r="C749" s="30"/>
      <c r="D749" s="82"/>
      <c r="E749" s="30"/>
      <c r="F749" s="30"/>
      <c r="G749" s="30"/>
      <c r="H749" s="30"/>
    </row>
    <row r="750" ht="15.75" customHeight="1">
      <c r="A750" s="30"/>
      <c r="B750" s="30"/>
      <c r="C750" s="30"/>
      <c r="D750" s="82"/>
      <c r="E750" s="30"/>
      <c r="F750" s="30"/>
      <c r="G750" s="30"/>
      <c r="H750" s="30"/>
    </row>
    <row r="751" ht="15.75" customHeight="1">
      <c r="A751" s="30"/>
      <c r="B751" s="30"/>
      <c r="C751" s="30"/>
      <c r="D751" s="82"/>
      <c r="E751" s="30"/>
      <c r="F751" s="30"/>
      <c r="G751" s="30"/>
      <c r="H751" s="30"/>
    </row>
    <row r="752" ht="15.75" customHeight="1">
      <c r="A752" s="30"/>
      <c r="B752" s="30"/>
      <c r="C752" s="30"/>
      <c r="D752" s="82"/>
      <c r="E752" s="30"/>
      <c r="F752" s="30"/>
      <c r="G752" s="30"/>
      <c r="H752" s="30"/>
    </row>
    <row r="753" ht="15.75" customHeight="1">
      <c r="A753" s="30"/>
      <c r="B753" s="30"/>
      <c r="C753" s="30"/>
      <c r="D753" s="82"/>
      <c r="E753" s="30"/>
      <c r="F753" s="30"/>
      <c r="G753" s="30"/>
      <c r="H753" s="30"/>
    </row>
    <row r="754" ht="15.75" customHeight="1">
      <c r="A754" s="30"/>
      <c r="B754" s="30"/>
      <c r="C754" s="30"/>
      <c r="D754" s="82"/>
      <c r="E754" s="30"/>
      <c r="F754" s="30"/>
      <c r="G754" s="30"/>
      <c r="H754" s="30"/>
    </row>
    <row r="755" ht="15.75" customHeight="1">
      <c r="A755" s="30"/>
      <c r="B755" s="30"/>
      <c r="C755" s="30"/>
      <c r="D755" s="82"/>
      <c r="E755" s="30"/>
      <c r="F755" s="30"/>
      <c r="G755" s="30"/>
      <c r="H755" s="30"/>
    </row>
    <row r="756" ht="15.75" customHeight="1">
      <c r="A756" s="30"/>
      <c r="B756" s="30"/>
      <c r="C756" s="30"/>
      <c r="D756" s="82"/>
      <c r="E756" s="30"/>
      <c r="F756" s="30"/>
      <c r="G756" s="30"/>
      <c r="H756" s="30"/>
    </row>
    <row r="757" ht="15.75" customHeight="1">
      <c r="A757" s="30"/>
      <c r="B757" s="30"/>
      <c r="C757" s="30"/>
      <c r="D757" s="82"/>
      <c r="E757" s="30"/>
      <c r="F757" s="30"/>
      <c r="G757" s="30"/>
      <c r="H757" s="30"/>
    </row>
    <row r="758" ht="15.75" customHeight="1">
      <c r="A758" s="30"/>
      <c r="B758" s="30"/>
      <c r="C758" s="30"/>
      <c r="D758" s="82"/>
      <c r="E758" s="30"/>
      <c r="F758" s="30"/>
      <c r="G758" s="30"/>
      <c r="H758" s="30"/>
    </row>
    <row r="759" ht="15.75" customHeight="1">
      <c r="A759" s="30"/>
      <c r="B759" s="30"/>
      <c r="C759" s="30"/>
      <c r="D759" s="82"/>
      <c r="E759" s="30"/>
      <c r="F759" s="30"/>
      <c r="G759" s="30"/>
      <c r="H759" s="30"/>
    </row>
    <row r="760" ht="15.75" customHeight="1">
      <c r="A760" s="30"/>
      <c r="B760" s="30"/>
      <c r="C760" s="30"/>
      <c r="D760" s="82"/>
      <c r="E760" s="30"/>
      <c r="F760" s="30"/>
      <c r="G760" s="30"/>
      <c r="H760" s="30"/>
    </row>
    <row r="761" ht="15.75" customHeight="1">
      <c r="A761" s="30"/>
      <c r="B761" s="30"/>
      <c r="C761" s="30"/>
      <c r="D761" s="82"/>
      <c r="E761" s="30"/>
      <c r="F761" s="30"/>
      <c r="G761" s="30"/>
      <c r="H761" s="30"/>
    </row>
    <row r="762" ht="15.75" customHeight="1">
      <c r="A762" s="30"/>
      <c r="B762" s="30"/>
      <c r="C762" s="30"/>
      <c r="D762" s="82"/>
      <c r="E762" s="30"/>
      <c r="F762" s="30"/>
      <c r="G762" s="30"/>
      <c r="H762" s="30"/>
    </row>
    <row r="763" ht="15.75" customHeight="1">
      <c r="A763" s="30"/>
      <c r="B763" s="30"/>
      <c r="C763" s="30"/>
      <c r="D763" s="82"/>
      <c r="E763" s="30"/>
      <c r="F763" s="30"/>
      <c r="G763" s="30"/>
      <c r="H763" s="30"/>
    </row>
    <row r="764" ht="15.75" customHeight="1">
      <c r="A764" s="30"/>
      <c r="B764" s="30"/>
      <c r="C764" s="30"/>
      <c r="D764" s="82"/>
      <c r="E764" s="30"/>
      <c r="F764" s="30"/>
      <c r="G764" s="30"/>
      <c r="H764" s="30"/>
    </row>
    <row r="765" ht="15.75" customHeight="1">
      <c r="A765" s="30"/>
      <c r="B765" s="30"/>
      <c r="C765" s="30"/>
      <c r="D765" s="82"/>
      <c r="E765" s="30"/>
      <c r="F765" s="30"/>
      <c r="G765" s="30"/>
      <c r="H765" s="30"/>
    </row>
    <row r="766" ht="15.75" customHeight="1">
      <c r="A766" s="30"/>
      <c r="B766" s="30"/>
      <c r="C766" s="30"/>
      <c r="D766" s="82"/>
      <c r="E766" s="30"/>
      <c r="F766" s="30"/>
      <c r="G766" s="30"/>
      <c r="H766" s="30"/>
    </row>
    <row r="767" ht="15.75" customHeight="1">
      <c r="A767" s="30"/>
      <c r="B767" s="30"/>
      <c r="C767" s="30"/>
      <c r="D767" s="82"/>
      <c r="E767" s="30"/>
      <c r="F767" s="30"/>
      <c r="G767" s="30"/>
      <c r="H767" s="30"/>
    </row>
    <row r="768" ht="15.75" customHeight="1">
      <c r="A768" s="30"/>
      <c r="B768" s="30"/>
      <c r="C768" s="30"/>
      <c r="D768" s="82"/>
      <c r="E768" s="30"/>
      <c r="F768" s="30"/>
      <c r="G768" s="30"/>
      <c r="H768" s="30"/>
    </row>
    <row r="769" ht="15.75" customHeight="1">
      <c r="A769" s="30"/>
      <c r="B769" s="30"/>
      <c r="C769" s="30"/>
      <c r="D769" s="82"/>
      <c r="E769" s="30"/>
      <c r="F769" s="30"/>
      <c r="G769" s="30"/>
      <c r="H769" s="30"/>
    </row>
    <row r="770" ht="15.75" customHeight="1">
      <c r="A770" s="30"/>
      <c r="B770" s="30"/>
      <c r="C770" s="30"/>
      <c r="D770" s="82"/>
      <c r="E770" s="30"/>
      <c r="F770" s="30"/>
      <c r="G770" s="30"/>
      <c r="H770" s="30"/>
    </row>
    <row r="771" ht="15.75" customHeight="1">
      <c r="A771" s="30"/>
      <c r="B771" s="30"/>
      <c r="C771" s="30"/>
      <c r="D771" s="82"/>
      <c r="E771" s="30"/>
      <c r="F771" s="30"/>
      <c r="G771" s="30"/>
      <c r="H771" s="30"/>
    </row>
    <row r="772" ht="15.75" customHeight="1">
      <c r="A772" s="30"/>
      <c r="B772" s="30"/>
      <c r="C772" s="30"/>
      <c r="D772" s="82"/>
      <c r="E772" s="30"/>
      <c r="F772" s="30"/>
      <c r="G772" s="30"/>
      <c r="H772" s="30"/>
    </row>
    <row r="773" ht="15.75" customHeight="1">
      <c r="A773" s="30"/>
      <c r="B773" s="30"/>
      <c r="C773" s="30"/>
      <c r="D773" s="82"/>
      <c r="E773" s="30"/>
      <c r="F773" s="30"/>
      <c r="G773" s="30"/>
      <c r="H773" s="30"/>
    </row>
    <row r="774" ht="15.75" customHeight="1">
      <c r="A774" s="30"/>
      <c r="B774" s="30"/>
      <c r="C774" s="30"/>
      <c r="D774" s="82"/>
      <c r="E774" s="30"/>
      <c r="F774" s="30"/>
      <c r="G774" s="30"/>
      <c r="H774" s="30"/>
    </row>
    <row r="775" ht="15.75" customHeight="1">
      <c r="A775" s="30"/>
      <c r="B775" s="30"/>
      <c r="C775" s="30"/>
      <c r="D775" s="82"/>
      <c r="E775" s="30"/>
      <c r="F775" s="30"/>
      <c r="G775" s="30"/>
      <c r="H775" s="30"/>
    </row>
    <row r="776" ht="15.75" customHeight="1">
      <c r="A776" s="30"/>
      <c r="B776" s="30"/>
      <c r="C776" s="30"/>
      <c r="D776" s="82"/>
      <c r="E776" s="30"/>
      <c r="F776" s="30"/>
      <c r="G776" s="30"/>
      <c r="H776" s="30"/>
    </row>
    <row r="777" ht="15.75" customHeight="1">
      <c r="A777" s="30"/>
      <c r="B777" s="30"/>
      <c r="C777" s="30"/>
      <c r="D777" s="82"/>
      <c r="E777" s="30"/>
      <c r="F777" s="30"/>
      <c r="G777" s="30"/>
      <c r="H777" s="30"/>
    </row>
    <row r="778" ht="15.75" customHeight="1">
      <c r="A778" s="30"/>
      <c r="B778" s="30"/>
      <c r="C778" s="30"/>
      <c r="D778" s="82"/>
      <c r="E778" s="30"/>
      <c r="F778" s="30"/>
      <c r="G778" s="30"/>
      <c r="H778" s="30"/>
    </row>
    <row r="779" ht="15.75" customHeight="1">
      <c r="A779" s="30"/>
      <c r="B779" s="30"/>
      <c r="C779" s="30"/>
      <c r="D779" s="82"/>
      <c r="E779" s="30"/>
      <c r="F779" s="30"/>
      <c r="G779" s="30"/>
      <c r="H779" s="30"/>
    </row>
    <row r="780" ht="15.75" customHeight="1">
      <c r="A780" s="30"/>
      <c r="B780" s="30"/>
      <c r="C780" s="30"/>
      <c r="D780" s="82"/>
      <c r="E780" s="30"/>
      <c r="F780" s="30"/>
      <c r="G780" s="30"/>
      <c r="H780" s="30"/>
    </row>
    <row r="781" ht="15.75" customHeight="1">
      <c r="A781" s="30"/>
      <c r="B781" s="30"/>
      <c r="C781" s="30"/>
      <c r="D781" s="82"/>
      <c r="E781" s="30"/>
      <c r="F781" s="30"/>
      <c r="G781" s="30"/>
      <c r="H781" s="30"/>
    </row>
    <row r="782" ht="15.75" customHeight="1">
      <c r="A782" s="30"/>
      <c r="B782" s="30"/>
      <c r="C782" s="30"/>
      <c r="D782" s="82"/>
      <c r="E782" s="30"/>
      <c r="F782" s="30"/>
      <c r="G782" s="30"/>
      <c r="H782" s="30"/>
    </row>
    <row r="783" ht="15.75" customHeight="1">
      <c r="A783" s="30"/>
      <c r="B783" s="30"/>
      <c r="C783" s="30"/>
      <c r="D783" s="82"/>
      <c r="E783" s="30"/>
      <c r="F783" s="30"/>
      <c r="G783" s="30"/>
      <c r="H783" s="30"/>
    </row>
    <row r="784" ht="15.75" customHeight="1">
      <c r="A784" s="30"/>
      <c r="B784" s="30"/>
      <c r="C784" s="30"/>
      <c r="D784" s="82"/>
      <c r="E784" s="30"/>
      <c r="F784" s="30"/>
      <c r="G784" s="30"/>
      <c r="H784" s="30"/>
    </row>
    <row r="785" ht="15.75" customHeight="1">
      <c r="A785" s="30"/>
      <c r="B785" s="30"/>
      <c r="C785" s="30"/>
      <c r="D785" s="82"/>
      <c r="E785" s="30"/>
      <c r="F785" s="30"/>
      <c r="G785" s="30"/>
      <c r="H785" s="30"/>
    </row>
    <row r="786" ht="15.75" customHeight="1">
      <c r="A786" s="30"/>
      <c r="B786" s="30"/>
      <c r="C786" s="30"/>
      <c r="D786" s="82"/>
      <c r="E786" s="30"/>
      <c r="F786" s="30"/>
      <c r="G786" s="30"/>
      <c r="H786" s="30"/>
    </row>
    <row r="787" ht="15.75" customHeight="1">
      <c r="A787" s="30"/>
      <c r="B787" s="30"/>
      <c r="C787" s="30"/>
      <c r="D787" s="82"/>
      <c r="E787" s="30"/>
      <c r="F787" s="30"/>
      <c r="G787" s="30"/>
      <c r="H787" s="30"/>
    </row>
    <row r="788" ht="15.75" customHeight="1">
      <c r="A788" s="30"/>
      <c r="B788" s="30"/>
      <c r="C788" s="30"/>
      <c r="D788" s="82"/>
      <c r="E788" s="30"/>
      <c r="F788" s="30"/>
      <c r="G788" s="30"/>
      <c r="H788" s="30"/>
    </row>
    <row r="789" ht="15.75" customHeight="1">
      <c r="A789" s="30"/>
      <c r="B789" s="30"/>
      <c r="C789" s="30"/>
      <c r="D789" s="82"/>
      <c r="E789" s="30"/>
      <c r="F789" s="30"/>
      <c r="G789" s="30"/>
      <c r="H789" s="30"/>
    </row>
    <row r="790" ht="15.75" customHeight="1">
      <c r="A790" s="30"/>
      <c r="B790" s="30"/>
      <c r="C790" s="30"/>
      <c r="D790" s="82"/>
      <c r="E790" s="30"/>
      <c r="F790" s="30"/>
      <c r="G790" s="30"/>
      <c r="H790" s="30"/>
    </row>
    <row r="791" ht="15.75" customHeight="1">
      <c r="A791" s="30"/>
      <c r="B791" s="30"/>
      <c r="C791" s="30"/>
      <c r="D791" s="82"/>
      <c r="E791" s="30"/>
      <c r="F791" s="30"/>
      <c r="G791" s="30"/>
      <c r="H791" s="30"/>
    </row>
    <row r="792" ht="15.75" customHeight="1">
      <c r="A792" s="30"/>
      <c r="B792" s="30"/>
      <c r="C792" s="30"/>
      <c r="D792" s="82"/>
      <c r="E792" s="30"/>
      <c r="F792" s="30"/>
      <c r="G792" s="30"/>
      <c r="H792" s="30"/>
    </row>
    <row r="793" ht="15.75" customHeight="1">
      <c r="A793" s="30"/>
      <c r="B793" s="30"/>
      <c r="C793" s="30"/>
      <c r="D793" s="82"/>
      <c r="E793" s="30"/>
      <c r="F793" s="30"/>
      <c r="G793" s="30"/>
      <c r="H793" s="30"/>
    </row>
    <row r="794" ht="15.75" customHeight="1">
      <c r="A794" s="30"/>
      <c r="B794" s="30"/>
      <c r="C794" s="30"/>
      <c r="D794" s="82"/>
      <c r="E794" s="30"/>
      <c r="F794" s="30"/>
      <c r="G794" s="30"/>
      <c r="H794" s="30"/>
    </row>
    <row r="795" ht="15.75" customHeight="1">
      <c r="A795" s="30"/>
      <c r="B795" s="30"/>
      <c r="C795" s="30"/>
      <c r="D795" s="82"/>
      <c r="E795" s="30"/>
      <c r="F795" s="30"/>
      <c r="G795" s="30"/>
      <c r="H795" s="30"/>
    </row>
    <row r="796" ht="15.75" customHeight="1">
      <c r="A796" s="30"/>
      <c r="B796" s="30"/>
      <c r="C796" s="30"/>
      <c r="D796" s="82"/>
      <c r="E796" s="30"/>
      <c r="F796" s="30"/>
      <c r="G796" s="30"/>
      <c r="H796" s="30"/>
    </row>
    <row r="797" ht="15.75" customHeight="1">
      <c r="A797" s="30"/>
      <c r="B797" s="30"/>
      <c r="C797" s="30"/>
      <c r="D797" s="82"/>
      <c r="E797" s="30"/>
      <c r="F797" s="30"/>
      <c r="G797" s="30"/>
      <c r="H797" s="30"/>
    </row>
    <row r="798" ht="15.75" customHeight="1">
      <c r="A798" s="30"/>
      <c r="B798" s="30"/>
      <c r="C798" s="30"/>
      <c r="D798" s="82"/>
      <c r="E798" s="30"/>
      <c r="F798" s="30"/>
      <c r="G798" s="30"/>
      <c r="H798" s="30"/>
    </row>
    <row r="799" ht="15.75" customHeight="1">
      <c r="A799" s="30"/>
      <c r="B799" s="30"/>
      <c r="C799" s="30"/>
      <c r="D799" s="82"/>
      <c r="E799" s="30"/>
      <c r="F799" s="30"/>
      <c r="G799" s="30"/>
      <c r="H799" s="30"/>
    </row>
    <row r="800" ht="15.75" customHeight="1">
      <c r="A800" s="30"/>
      <c r="B800" s="30"/>
      <c r="C800" s="30"/>
      <c r="D800" s="82"/>
      <c r="E800" s="30"/>
      <c r="F800" s="30"/>
      <c r="G800" s="30"/>
      <c r="H800" s="30"/>
    </row>
    <row r="801" ht="15.75" customHeight="1">
      <c r="A801" s="30"/>
      <c r="B801" s="30"/>
      <c r="C801" s="30"/>
      <c r="D801" s="82"/>
      <c r="E801" s="30"/>
      <c r="F801" s="30"/>
      <c r="G801" s="30"/>
      <c r="H801" s="30"/>
    </row>
    <row r="802" ht="15.75" customHeight="1">
      <c r="A802" s="30"/>
      <c r="B802" s="30"/>
      <c r="C802" s="30"/>
      <c r="D802" s="82"/>
      <c r="E802" s="30"/>
      <c r="F802" s="30"/>
      <c r="G802" s="30"/>
      <c r="H802" s="30"/>
    </row>
    <row r="803" ht="15.75" customHeight="1">
      <c r="A803" s="30"/>
      <c r="B803" s="30"/>
      <c r="C803" s="30"/>
      <c r="D803" s="82"/>
      <c r="E803" s="30"/>
      <c r="F803" s="30"/>
      <c r="G803" s="30"/>
      <c r="H803" s="30"/>
    </row>
    <row r="804" ht="15.75" customHeight="1">
      <c r="A804" s="30"/>
      <c r="B804" s="30"/>
      <c r="C804" s="30"/>
      <c r="D804" s="82"/>
      <c r="E804" s="30"/>
      <c r="F804" s="30"/>
      <c r="G804" s="30"/>
      <c r="H804" s="30"/>
    </row>
    <row r="805" ht="15.75" customHeight="1">
      <c r="A805" s="30"/>
      <c r="B805" s="30"/>
      <c r="C805" s="30"/>
      <c r="D805" s="82"/>
      <c r="E805" s="30"/>
      <c r="F805" s="30"/>
      <c r="G805" s="30"/>
      <c r="H805" s="30"/>
    </row>
    <row r="806" ht="15.75" customHeight="1">
      <c r="A806" s="30"/>
      <c r="B806" s="30"/>
      <c r="C806" s="30"/>
      <c r="D806" s="82"/>
      <c r="E806" s="30"/>
      <c r="F806" s="30"/>
      <c r="G806" s="30"/>
      <c r="H806" s="30"/>
    </row>
    <row r="807" ht="15.75" customHeight="1">
      <c r="A807" s="30"/>
      <c r="B807" s="30"/>
      <c r="C807" s="30"/>
      <c r="D807" s="82"/>
      <c r="E807" s="30"/>
      <c r="F807" s="30"/>
      <c r="G807" s="30"/>
      <c r="H807" s="30"/>
    </row>
    <row r="808" ht="15.75" customHeight="1">
      <c r="A808" s="30"/>
      <c r="B808" s="30"/>
      <c r="C808" s="30"/>
      <c r="D808" s="82"/>
      <c r="E808" s="30"/>
      <c r="F808" s="30"/>
      <c r="G808" s="30"/>
      <c r="H808" s="30"/>
    </row>
    <row r="809" ht="15.75" customHeight="1">
      <c r="A809" s="30"/>
      <c r="B809" s="30"/>
      <c r="C809" s="30"/>
      <c r="D809" s="82"/>
      <c r="E809" s="30"/>
      <c r="F809" s="30"/>
      <c r="G809" s="30"/>
      <c r="H809" s="30"/>
    </row>
    <row r="810" ht="15.75" customHeight="1">
      <c r="A810" s="30"/>
      <c r="B810" s="30"/>
      <c r="C810" s="30"/>
      <c r="D810" s="82"/>
      <c r="E810" s="30"/>
      <c r="F810" s="30"/>
      <c r="G810" s="30"/>
      <c r="H810" s="30"/>
    </row>
    <row r="811" ht="15.75" customHeight="1">
      <c r="A811" s="30"/>
      <c r="B811" s="30"/>
      <c r="C811" s="30"/>
      <c r="D811" s="82"/>
      <c r="E811" s="30"/>
      <c r="F811" s="30"/>
      <c r="G811" s="30"/>
      <c r="H811" s="30"/>
    </row>
    <row r="812" ht="15.75" customHeight="1">
      <c r="A812" s="30"/>
      <c r="B812" s="30"/>
      <c r="C812" s="30"/>
      <c r="D812" s="82"/>
      <c r="E812" s="30"/>
      <c r="F812" s="30"/>
      <c r="G812" s="30"/>
      <c r="H812" s="30"/>
    </row>
    <row r="813" ht="15.75" customHeight="1">
      <c r="A813" s="30"/>
      <c r="B813" s="30"/>
      <c r="C813" s="30"/>
      <c r="D813" s="82"/>
      <c r="E813" s="30"/>
      <c r="F813" s="30"/>
      <c r="G813" s="30"/>
      <c r="H813" s="30"/>
    </row>
    <row r="814" ht="15.75" customHeight="1">
      <c r="A814" s="30"/>
      <c r="B814" s="30"/>
      <c r="C814" s="30"/>
      <c r="D814" s="82"/>
      <c r="E814" s="30"/>
      <c r="F814" s="30"/>
      <c r="G814" s="30"/>
      <c r="H814" s="30"/>
    </row>
    <row r="815" ht="15.75" customHeight="1">
      <c r="A815" s="30"/>
      <c r="B815" s="30"/>
      <c r="C815" s="30"/>
      <c r="D815" s="82"/>
      <c r="E815" s="30"/>
      <c r="F815" s="30"/>
      <c r="G815" s="30"/>
      <c r="H815" s="30"/>
    </row>
    <row r="816" ht="15.75" customHeight="1">
      <c r="A816" s="30"/>
      <c r="B816" s="30"/>
      <c r="C816" s="30"/>
      <c r="D816" s="82"/>
      <c r="E816" s="30"/>
      <c r="F816" s="30"/>
      <c r="G816" s="30"/>
      <c r="H816" s="30"/>
    </row>
    <row r="817" ht="15.75" customHeight="1">
      <c r="A817" s="30"/>
      <c r="B817" s="30"/>
      <c r="C817" s="30"/>
      <c r="D817" s="82"/>
      <c r="E817" s="30"/>
      <c r="F817" s="30"/>
      <c r="G817" s="30"/>
      <c r="H817" s="30"/>
    </row>
    <row r="818" ht="15.75" customHeight="1">
      <c r="A818" s="30"/>
      <c r="B818" s="30"/>
      <c r="C818" s="30"/>
      <c r="D818" s="82"/>
      <c r="E818" s="30"/>
      <c r="F818" s="30"/>
      <c r="G818" s="30"/>
      <c r="H818" s="30"/>
    </row>
    <row r="819" ht="15.75" customHeight="1">
      <c r="A819" s="30"/>
      <c r="B819" s="30"/>
      <c r="C819" s="30"/>
      <c r="D819" s="82"/>
      <c r="E819" s="30"/>
      <c r="F819" s="30"/>
      <c r="G819" s="30"/>
      <c r="H819" s="30"/>
    </row>
    <row r="820" ht="15.75" customHeight="1">
      <c r="A820" s="30"/>
      <c r="B820" s="30"/>
      <c r="C820" s="30"/>
      <c r="D820" s="82"/>
      <c r="E820" s="30"/>
      <c r="F820" s="30"/>
      <c r="G820" s="30"/>
      <c r="H820" s="30"/>
    </row>
    <row r="821" ht="15.75" customHeight="1">
      <c r="A821" s="30"/>
      <c r="B821" s="30"/>
      <c r="C821" s="30"/>
      <c r="D821" s="82"/>
      <c r="E821" s="30"/>
      <c r="F821" s="30"/>
      <c r="G821" s="30"/>
      <c r="H821" s="30"/>
    </row>
    <row r="822" ht="15.75" customHeight="1">
      <c r="A822" s="30"/>
      <c r="B822" s="30"/>
      <c r="C822" s="30"/>
      <c r="D822" s="82"/>
      <c r="E822" s="30"/>
      <c r="F822" s="30"/>
      <c r="G822" s="30"/>
      <c r="H822" s="30"/>
    </row>
    <row r="823" ht="15.75" customHeight="1">
      <c r="A823" s="30"/>
      <c r="B823" s="30"/>
      <c r="C823" s="30"/>
      <c r="D823" s="82"/>
      <c r="E823" s="30"/>
      <c r="F823" s="30"/>
      <c r="G823" s="30"/>
      <c r="H823" s="30"/>
    </row>
    <row r="824" ht="15.75" customHeight="1">
      <c r="A824" s="30"/>
      <c r="B824" s="30"/>
      <c r="C824" s="30"/>
      <c r="D824" s="82"/>
      <c r="E824" s="30"/>
      <c r="F824" s="30"/>
      <c r="G824" s="30"/>
      <c r="H824" s="30"/>
    </row>
    <row r="825" ht="15.75" customHeight="1">
      <c r="A825" s="30"/>
      <c r="B825" s="30"/>
      <c r="C825" s="30"/>
      <c r="D825" s="82"/>
      <c r="E825" s="30"/>
      <c r="F825" s="30"/>
      <c r="G825" s="30"/>
      <c r="H825" s="30"/>
    </row>
    <row r="826" ht="15.75" customHeight="1">
      <c r="A826" s="30"/>
      <c r="B826" s="30"/>
      <c r="C826" s="30"/>
      <c r="D826" s="82"/>
      <c r="E826" s="30"/>
      <c r="F826" s="30"/>
      <c r="G826" s="30"/>
      <c r="H826" s="30"/>
    </row>
    <row r="827" ht="15.75" customHeight="1">
      <c r="A827" s="30"/>
      <c r="B827" s="30"/>
      <c r="C827" s="30"/>
      <c r="D827" s="82"/>
      <c r="E827" s="30"/>
      <c r="F827" s="30"/>
      <c r="G827" s="30"/>
      <c r="H827" s="30"/>
    </row>
    <row r="828" ht="15.75" customHeight="1">
      <c r="A828" s="30"/>
      <c r="B828" s="30"/>
      <c r="C828" s="30"/>
      <c r="D828" s="82"/>
      <c r="E828" s="30"/>
      <c r="F828" s="30"/>
      <c r="G828" s="30"/>
      <c r="H828" s="30"/>
    </row>
    <row r="829" ht="15.75" customHeight="1">
      <c r="A829" s="30"/>
      <c r="B829" s="30"/>
      <c r="C829" s="30"/>
      <c r="D829" s="82"/>
      <c r="E829" s="30"/>
      <c r="F829" s="30"/>
      <c r="G829" s="30"/>
      <c r="H829" s="30"/>
    </row>
    <row r="830" ht="15.75" customHeight="1">
      <c r="A830" s="30"/>
      <c r="B830" s="30"/>
      <c r="C830" s="30"/>
      <c r="D830" s="82"/>
      <c r="E830" s="30"/>
      <c r="F830" s="30"/>
      <c r="G830" s="30"/>
      <c r="H830" s="30"/>
    </row>
    <row r="831" ht="15.75" customHeight="1">
      <c r="A831" s="30"/>
      <c r="B831" s="30"/>
      <c r="C831" s="30"/>
      <c r="D831" s="82"/>
      <c r="E831" s="30"/>
      <c r="F831" s="30"/>
      <c r="G831" s="30"/>
      <c r="H831" s="30"/>
    </row>
    <row r="832" ht="15.75" customHeight="1">
      <c r="A832" s="30"/>
      <c r="B832" s="30"/>
      <c r="C832" s="30"/>
      <c r="D832" s="82"/>
      <c r="E832" s="30"/>
      <c r="F832" s="30"/>
      <c r="G832" s="30"/>
      <c r="H832" s="30"/>
    </row>
    <row r="833" ht="15.75" customHeight="1">
      <c r="A833" s="30"/>
      <c r="B833" s="30"/>
      <c r="C833" s="30"/>
      <c r="D833" s="82"/>
      <c r="E833" s="30"/>
      <c r="F833" s="30"/>
      <c r="G833" s="30"/>
      <c r="H833" s="30"/>
    </row>
    <row r="834" ht="15.75" customHeight="1">
      <c r="A834" s="30"/>
      <c r="B834" s="30"/>
      <c r="C834" s="30"/>
      <c r="D834" s="82"/>
      <c r="E834" s="30"/>
      <c r="F834" s="30"/>
      <c r="G834" s="30"/>
      <c r="H834" s="30"/>
    </row>
    <row r="835" ht="15.75" customHeight="1">
      <c r="A835" s="30"/>
      <c r="B835" s="30"/>
      <c r="C835" s="30"/>
      <c r="D835" s="82"/>
      <c r="E835" s="30"/>
      <c r="F835" s="30"/>
      <c r="G835" s="30"/>
      <c r="H835" s="30"/>
    </row>
    <row r="836" ht="15.75" customHeight="1">
      <c r="A836" s="30"/>
      <c r="B836" s="30"/>
      <c r="C836" s="30"/>
      <c r="D836" s="82"/>
      <c r="E836" s="30"/>
      <c r="F836" s="30"/>
      <c r="G836" s="30"/>
      <c r="H836" s="30"/>
    </row>
    <row r="837" ht="15.75" customHeight="1">
      <c r="A837" s="30"/>
      <c r="B837" s="30"/>
      <c r="C837" s="30"/>
      <c r="D837" s="82"/>
      <c r="E837" s="30"/>
      <c r="F837" s="30"/>
      <c r="G837" s="30"/>
      <c r="H837" s="30"/>
    </row>
    <row r="838" ht="15.75" customHeight="1">
      <c r="A838" s="30"/>
      <c r="B838" s="30"/>
      <c r="C838" s="30"/>
      <c r="D838" s="82"/>
      <c r="E838" s="30"/>
      <c r="F838" s="30"/>
      <c r="G838" s="30"/>
      <c r="H838" s="30"/>
    </row>
    <row r="839" ht="15.75" customHeight="1">
      <c r="A839" s="30"/>
      <c r="B839" s="30"/>
      <c r="C839" s="30"/>
      <c r="D839" s="82"/>
      <c r="E839" s="30"/>
      <c r="F839" s="30"/>
      <c r="G839" s="30"/>
      <c r="H839" s="30"/>
    </row>
    <row r="840" ht="15.75" customHeight="1">
      <c r="A840" s="30"/>
      <c r="B840" s="30"/>
      <c r="C840" s="30"/>
      <c r="D840" s="82"/>
      <c r="E840" s="30"/>
      <c r="F840" s="30"/>
      <c r="G840" s="30"/>
      <c r="H840" s="30"/>
    </row>
    <row r="841" ht="15.75" customHeight="1">
      <c r="A841" s="30"/>
      <c r="B841" s="30"/>
      <c r="C841" s="30"/>
      <c r="D841" s="82"/>
      <c r="E841" s="30"/>
      <c r="F841" s="30"/>
      <c r="G841" s="30"/>
      <c r="H841" s="30"/>
    </row>
    <row r="842" ht="15.75" customHeight="1">
      <c r="A842" s="30"/>
      <c r="B842" s="30"/>
      <c r="C842" s="30"/>
      <c r="D842" s="82"/>
      <c r="E842" s="30"/>
      <c r="F842" s="30"/>
      <c r="G842" s="30"/>
      <c r="H842" s="30"/>
    </row>
    <row r="843" ht="15.75" customHeight="1">
      <c r="A843" s="30"/>
      <c r="B843" s="30"/>
      <c r="C843" s="30"/>
      <c r="D843" s="82"/>
      <c r="E843" s="30"/>
      <c r="F843" s="30"/>
      <c r="G843" s="30"/>
      <c r="H843" s="30"/>
    </row>
    <row r="844" ht="15.75" customHeight="1">
      <c r="A844" s="30"/>
      <c r="B844" s="30"/>
      <c r="C844" s="30"/>
      <c r="D844" s="82"/>
      <c r="E844" s="30"/>
      <c r="F844" s="30"/>
      <c r="G844" s="30"/>
      <c r="H844" s="30"/>
    </row>
    <row r="845" ht="15.75" customHeight="1">
      <c r="A845" s="30"/>
      <c r="B845" s="30"/>
      <c r="C845" s="30"/>
      <c r="D845" s="82"/>
      <c r="E845" s="30"/>
      <c r="F845" s="30"/>
      <c r="G845" s="30"/>
      <c r="H845" s="30"/>
    </row>
    <row r="846" ht="15.75" customHeight="1">
      <c r="A846" s="30"/>
      <c r="B846" s="30"/>
      <c r="C846" s="30"/>
      <c r="D846" s="82"/>
      <c r="E846" s="30"/>
      <c r="F846" s="30"/>
      <c r="G846" s="30"/>
      <c r="H846" s="30"/>
    </row>
    <row r="847" ht="15.75" customHeight="1">
      <c r="A847" s="30"/>
      <c r="B847" s="30"/>
      <c r="C847" s="30"/>
      <c r="D847" s="82"/>
      <c r="E847" s="30"/>
      <c r="F847" s="30"/>
      <c r="G847" s="30"/>
      <c r="H847" s="30"/>
    </row>
    <row r="848" ht="15.75" customHeight="1">
      <c r="A848" s="30"/>
      <c r="B848" s="30"/>
      <c r="C848" s="30"/>
      <c r="D848" s="82"/>
      <c r="E848" s="30"/>
      <c r="F848" s="30"/>
      <c r="G848" s="30"/>
      <c r="H848" s="30"/>
    </row>
    <row r="849" ht="15.75" customHeight="1">
      <c r="A849" s="30"/>
      <c r="B849" s="30"/>
      <c r="C849" s="30"/>
      <c r="D849" s="82"/>
      <c r="E849" s="30"/>
      <c r="F849" s="30"/>
      <c r="G849" s="30"/>
      <c r="H849" s="30"/>
    </row>
    <row r="850" ht="15.75" customHeight="1">
      <c r="A850" s="30"/>
      <c r="B850" s="30"/>
      <c r="C850" s="30"/>
      <c r="D850" s="82"/>
      <c r="E850" s="30"/>
      <c r="F850" s="30"/>
      <c r="G850" s="30"/>
      <c r="H850" s="30"/>
    </row>
    <row r="851" ht="15.75" customHeight="1">
      <c r="A851" s="30"/>
      <c r="B851" s="30"/>
      <c r="C851" s="30"/>
      <c r="D851" s="82"/>
      <c r="E851" s="30"/>
      <c r="F851" s="30"/>
      <c r="G851" s="30"/>
      <c r="H851" s="30"/>
    </row>
    <row r="852" ht="15.75" customHeight="1">
      <c r="A852" s="30"/>
      <c r="B852" s="30"/>
      <c r="C852" s="30"/>
      <c r="D852" s="82"/>
      <c r="E852" s="30"/>
      <c r="F852" s="30"/>
      <c r="G852" s="30"/>
      <c r="H852" s="30"/>
    </row>
    <row r="853" ht="15.75" customHeight="1">
      <c r="A853" s="30"/>
      <c r="B853" s="30"/>
      <c r="C853" s="30"/>
      <c r="D853" s="82"/>
      <c r="E853" s="30"/>
      <c r="F853" s="30"/>
      <c r="G853" s="30"/>
      <c r="H853" s="30"/>
    </row>
    <row r="854" ht="15.75" customHeight="1">
      <c r="A854" s="30"/>
      <c r="B854" s="30"/>
      <c r="C854" s="30"/>
      <c r="D854" s="82"/>
      <c r="E854" s="30"/>
      <c r="F854" s="30"/>
      <c r="G854" s="30"/>
      <c r="H854" s="30"/>
    </row>
    <row r="855" ht="15.75" customHeight="1">
      <c r="A855" s="30"/>
      <c r="B855" s="30"/>
      <c r="C855" s="30"/>
      <c r="D855" s="82"/>
      <c r="E855" s="30"/>
      <c r="F855" s="30"/>
      <c r="G855" s="30"/>
      <c r="H855" s="30"/>
    </row>
    <row r="856" ht="15.75" customHeight="1">
      <c r="A856" s="30"/>
      <c r="B856" s="30"/>
      <c r="C856" s="30"/>
      <c r="D856" s="82"/>
      <c r="E856" s="30"/>
      <c r="F856" s="30"/>
      <c r="G856" s="30"/>
      <c r="H856" s="30"/>
    </row>
    <row r="857" ht="15.75" customHeight="1">
      <c r="A857" s="30"/>
      <c r="B857" s="30"/>
      <c r="C857" s="30"/>
      <c r="D857" s="82"/>
      <c r="E857" s="30"/>
      <c r="F857" s="30"/>
      <c r="G857" s="30"/>
      <c r="H857" s="30"/>
    </row>
    <row r="858" ht="15.75" customHeight="1">
      <c r="A858" s="30"/>
      <c r="B858" s="30"/>
      <c r="C858" s="30"/>
      <c r="D858" s="82"/>
      <c r="E858" s="30"/>
      <c r="F858" s="30"/>
      <c r="G858" s="30"/>
      <c r="H858" s="30"/>
    </row>
    <row r="859" ht="15.75" customHeight="1">
      <c r="A859" s="30"/>
      <c r="B859" s="30"/>
      <c r="C859" s="30"/>
      <c r="D859" s="82"/>
      <c r="E859" s="30"/>
      <c r="F859" s="30"/>
      <c r="G859" s="30"/>
      <c r="H859" s="30"/>
    </row>
    <row r="860" ht="15.75" customHeight="1">
      <c r="A860" s="30"/>
      <c r="B860" s="30"/>
      <c r="C860" s="30"/>
      <c r="D860" s="82"/>
      <c r="E860" s="30"/>
      <c r="F860" s="30"/>
      <c r="G860" s="30"/>
      <c r="H860" s="30"/>
    </row>
    <row r="861" ht="15.75" customHeight="1">
      <c r="A861" s="30"/>
      <c r="B861" s="30"/>
      <c r="C861" s="30"/>
      <c r="D861" s="82"/>
      <c r="E861" s="30"/>
      <c r="F861" s="30"/>
      <c r="G861" s="30"/>
      <c r="H861" s="30"/>
    </row>
    <row r="862" ht="15.75" customHeight="1">
      <c r="A862" s="30"/>
      <c r="B862" s="30"/>
      <c r="C862" s="30"/>
      <c r="D862" s="82"/>
      <c r="E862" s="30"/>
      <c r="F862" s="30"/>
      <c r="G862" s="30"/>
      <c r="H862" s="30"/>
    </row>
    <row r="863" ht="15.75" customHeight="1">
      <c r="A863" s="30"/>
      <c r="B863" s="30"/>
      <c r="C863" s="30"/>
      <c r="D863" s="82"/>
      <c r="E863" s="30"/>
      <c r="F863" s="30"/>
      <c r="G863" s="30"/>
      <c r="H863" s="30"/>
    </row>
    <row r="864" ht="15.75" customHeight="1">
      <c r="A864" s="30"/>
      <c r="B864" s="30"/>
      <c r="C864" s="30"/>
      <c r="D864" s="82"/>
      <c r="E864" s="30"/>
      <c r="F864" s="30"/>
      <c r="G864" s="30"/>
      <c r="H864" s="30"/>
    </row>
    <row r="865" ht="15.75" customHeight="1">
      <c r="A865" s="30"/>
      <c r="B865" s="30"/>
      <c r="C865" s="30"/>
      <c r="D865" s="82"/>
      <c r="E865" s="30"/>
      <c r="F865" s="30"/>
      <c r="G865" s="30"/>
      <c r="H865" s="30"/>
    </row>
    <row r="866" ht="15.75" customHeight="1">
      <c r="A866" s="30"/>
      <c r="B866" s="30"/>
      <c r="C866" s="30"/>
      <c r="D866" s="82"/>
      <c r="E866" s="30"/>
      <c r="F866" s="30"/>
      <c r="G866" s="30"/>
      <c r="H866" s="30"/>
    </row>
    <row r="867" ht="15.75" customHeight="1">
      <c r="A867" s="30"/>
      <c r="B867" s="30"/>
      <c r="C867" s="30"/>
      <c r="D867" s="82"/>
      <c r="E867" s="30"/>
      <c r="F867" s="30"/>
      <c r="G867" s="30"/>
      <c r="H867" s="30"/>
    </row>
    <row r="868" ht="15.75" customHeight="1">
      <c r="A868" s="30"/>
      <c r="B868" s="30"/>
      <c r="C868" s="30"/>
      <c r="D868" s="82"/>
      <c r="E868" s="30"/>
      <c r="F868" s="30"/>
      <c r="G868" s="30"/>
      <c r="H868" s="30"/>
    </row>
    <row r="869" ht="15.75" customHeight="1">
      <c r="A869" s="30"/>
      <c r="B869" s="30"/>
      <c r="C869" s="30"/>
      <c r="D869" s="82"/>
      <c r="E869" s="30"/>
      <c r="F869" s="30"/>
      <c r="G869" s="30"/>
      <c r="H869" s="30"/>
    </row>
    <row r="870" ht="15.75" customHeight="1">
      <c r="A870" s="30"/>
      <c r="B870" s="30"/>
      <c r="C870" s="30"/>
      <c r="D870" s="82"/>
      <c r="E870" s="30"/>
      <c r="F870" s="30"/>
      <c r="G870" s="30"/>
      <c r="H870" s="30"/>
    </row>
    <row r="871" ht="15.75" customHeight="1">
      <c r="A871" s="30"/>
      <c r="B871" s="30"/>
      <c r="C871" s="30"/>
      <c r="D871" s="82"/>
      <c r="E871" s="30"/>
      <c r="F871" s="30"/>
      <c r="G871" s="30"/>
      <c r="H871" s="30"/>
    </row>
    <row r="872" ht="15.75" customHeight="1">
      <c r="A872" s="30"/>
      <c r="B872" s="30"/>
      <c r="C872" s="30"/>
      <c r="D872" s="82"/>
      <c r="E872" s="30"/>
      <c r="F872" s="30"/>
      <c r="G872" s="30"/>
      <c r="H872" s="30"/>
    </row>
    <row r="873" ht="15.75" customHeight="1">
      <c r="A873" s="30"/>
      <c r="B873" s="30"/>
      <c r="C873" s="30"/>
      <c r="D873" s="82"/>
      <c r="E873" s="30"/>
      <c r="F873" s="30"/>
      <c r="G873" s="30"/>
      <c r="H873" s="30"/>
    </row>
    <row r="874" ht="15.75" customHeight="1">
      <c r="A874" s="30"/>
      <c r="B874" s="30"/>
      <c r="C874" s="30"/>
      <c r="D874" s="82"/>
      <c r="E874" s="30"/>
      <c r="F874" s="30"/>
      <c r="G874" s="30"/>
      <c r="H874" s="30"/>
    </row>
    <row r="875" ht="15.75" customHeight="1">
      <c r="A875" s="30"/>
      <c r="B875" s="30"/>
      <c r="C875" s="30"/>
      <c r="D875" s="82"/>
      <c r="E875" s="30"/>
      <c r="F875" s="30"/>
      <c r="G875" s="30"/>
      <c r="H875" s="30"/>
    </row>
    <row r="876" ht="15.75" customHeight="1">
      <c r="A876" s="30"/>
      <c r="B876" s="30"/>
      <c r="C876" s="30"/>
      <c r="D876" s="82"/>
      <c r="E876" s="30"/>
      <c r="F876" s="30"/>
      <c r="G876" s="30"/>
      <c r="H876" s="30"/>
    </row>
    <row r="877" ht="15.75" customHeight="1">
      <c r="A877" s="30"/>
      <c r="B877" s="30"/>
      <c r="C877" s="30"/>
      <c r="D877" s="82"/>
      <c r="E877" s="30"/>
      <c r="F877" s="30"/>
      <c r="G877" s="30"/>
      <c r="H877" s="30"/>
    </row>
    <row r="878" ht="15.75" customHeight="1">
      <c r="A878" s="30"/>
      <c r="B878" s="30"/>
      <c r="C878" s="30"/>
      <c r="D878" s="82"/>
      <c r="E878" s="30"/>
      <c r="F878" s="30"/>
      <c r="G878" s="30"/>
      <c r="H878" s="30"/>
    </row>
    <row r="879" ht="15.75" customHeight="1">
      <c r="A879" s="30"/>
      <c r="B879" s="30"/>
      <c r="C879" s="30"/>
      <c r="D879" s="82"/>
      <c r="E879" s="30"/>
      <c r="F879" s="30"/>
      <c r="G879" s="30"/>
      <c r="H879" s="30"/>
    </row>
    <row r="880" ht="15.75" customHeight="1">
      <c r="A880" s="30"/>
      <c r="B880" s="30"/>
      <c r="C880" s="30"/>
      <c r="D880" s="82"/>
      <c r="E880" s="30"/>
      <c r="F880" s="30"/>
      <c r="G880" s="30"/>
      <c r="H880" s="30"/>
    </row>
    <row r="881" ht="15.75" customHeight="1">
      <c r="A881" s="30"/>
      <c r="B881" s="30"/>
      <c r="C881" s="30"/>
      <c r="D881" s="82"/>
      <c r="E881" s="30"/>
      <c r="F881" s="30"/>
      <c r="G881" s="30"/>
      <c r="H881" s="30"/>
    </row>
    <row r="882" ht="15.75" customHeight="1">
      <c r="A882" s="30"/>
      <c r="B882" s="30"/>
      <c r="C882" s="30"/>
      <c r="D882" s="82"/>
      <c r="E882" s="30"/>
      <c r="F882" s="30"/>
      <c r="G882" s="30"/>
      <c r="H882" s="30"/>
    </row>
    <row r="883" ht="15.75" customHeight="1">
      <c r="A883" s="30"/>
      <c r="B883" s="30"/>
      <c r="C883" s="30"/>
      <c r="D883" s="82"/>
      <c r="E883" s="30"/>
      <c r="F883" s="30"/>
      <c r="G883" s="30"/>
      <c r="H883" s="30"/>
    </row>
    <row r="884" ht="15.75" customHeight="1">
      <c r="A884" s="30"/>
      <c r="B884" s="30"/>
      <c r="C884" s="30"/>
      <c r="D884" s="82"/>
      <c r="E884" s="30"/>
      <c r="F884" s="30"/>
      <c r="G884" s="30"/>
      <c r="H884" s="30"/>
    </row>
    <row r="885" ht="15.75" customHeight="1">
      <c r="A885" s="30"/>
      <c r="B885" s="30"/>
      <c r="C885" s="30"/>
      <c r="D885" s="82"/>
      <c r="E885" s="30"/>
      <c r="F885" s="30"/>
      <c r="G885" s="30"/>
      <c r="H885" s="30"/>
    </row>
    <row r="886" ht="15.75" customHeight="1">
      <c r="A886" s="30"/>
      <c r="B886" s="30"/>
      <c r="C886" s="30"/>
      <c r="D886" s="82"/>
      <c r="E886" s="30"/>
      <c r="F886" s="30"/>
      <c r="G886" s="30"/>
      <c r="H886" s="30"/>
    </row>
    <row r="887" ht="15.75" customHeight="1">
      <c r="A887" s="30"/>
      <c r="B887" s="30"/>
      <c r="C887" s="30"/>
      <c r="D887" s="82"/>
      <c r="E887" s="30"/>
      <c r="F887" s="30"/>
      <c r="G887" s="30"/>
      <c r="H887" s="30"/>
    </row>
    <row r="888" ht="15.75" customHeight="1">
      <c r="A888" s="30"/>
      <c r="B888" s="30"/>
      <c r="C888" s="30"/>
      <c r="D888" s="82"/>
      <c r="E888" s="30"/>
      <c r="F888" s="30"/>
      <c r="G888" s="30"/>
      <c r="H888" s="30"/>
    </row>
    <row r="889" ht="15.75" customHeight="1">
      <c r="A889" s="30"/>
      <c r="B889" s="30"/>
      <c r="C889" s="30"/>
      <c r="D889" s="82"/>
      <c r="E889" s="30"/>
      <c r="F889" s="30"/>
      <c r="G889" s="30"/>
      <c r="H889" s="30"/>
    </row>
    <row r="890" ht="15.75" customHeight="1">
      <c r="A890" s="30"/>
      <c r="B890" s="30"/>
      <c r="C890" s="30"/>
      <c r="D890" s="82"/>
      <c r="E890" s="30"/>
      <c r="F890" s="30"/>
      <c r="G890" s="30"/>
      <c r="H890" s="30"/>
    </row>
    <row r="891" ht="15.75" customHeight="1">
      <c r="A891" s="30"/>
      <c r="B891" s="30"/>
      <c r="C891" s="30"/>
      <c r="D891" s="82"/>
      <c r="E891" s="30"/>
      <c r="F891" s="30"/>
      <c r="G891" s="30"/>
      <c r="H891" s="30"/>
    </row>
    <row r="892" ht="15.75" customHeight="1">
      <c r="A892" s="30"/>
      <c r="B892" s="30"/>
      <c r="C892" s="30"/>
      <c r="D892" s="82"/>
      <c r="E892" s="30"/>
      <c r="F892" s="30"/>
      <c r="G892" s="30"/>
      <c r="H892" s="30"/>
    </row>
    <row r="893" ht="15.75" customHeight="1">
      <c r="A893" s="30"/>
      <c r="B893" s="30"/>
      <c r="C893" s="30"/>
      <c r="D893" s="82"/>
      <c r="E893" s="30"/>
      <c r="F893" s="30"/>
      <c r="G893" s="30"/>
      <c r="H893" s="30"/>
    </row>
    <row r="894" ht="15.75" customHeight="1">
      <c r="A894" s="30"/>
      <c r="B894" s="30"/>
      <c r="C894" s="30"/>
      <c r="D894" s="82"/>
      <c r="E894" s="30"/>
      <c r="F894" s="30"/>
      <c r="G894" s="30"/>
      <c r="H894" s="30"/>
    </row>
    <row r="895" ht="15.75" customHeight="1">
      <c r="A895" s="30"/>
      <c r="B895" s="30"/>
      <c r="C895" s="30"/>
      <c r="D895" s="82"/>
      <c r="E895" s="30"/>
      <c r="F895" s="30"/>
      <c r="G895" s="30"/>
      <c r="H895" s="30"/>
    </row>
    <row r="896" ht="15.75" customHeight="1">
      <c r="A896" s="30"/>
      <c r="B896" s="30"/>
      <c r="C896" s="30"/>
      <c r="D896" s="82"/>
      <c r="E896" s="30"/>
      <c r="F896" s="30"/>
      <c r="G896" s="30"/>
      <c r="H896" s="30"/>
    </row>
    <row r="897" ht="15.75" customHeight="1">
      <c r="A897" s="30"/>
      <c r="B897" s="30"/>
      <c r="C897" s="30"/>
      <c r="D897" s="82"/>
      <c r="E897" s="30"/>
      <c r="F897" s="30"/>
      <c r="G897" s="30"/>
      <c r="H897" s="30"/>
    </row>
    <row r="898" ht="15.75" customHeight="1">
      <c r="A898" s="30"/>
      <c r="B898" s="30"/>
      <c r="C898" s="30"/>
      <c r="D898" s="82"/>
      <c r="E898" s="30"/>
      <c r="F898" s="30"/>
      <c r="G898" s="30"/>
      <c r="H898" s="30"/>
    </row>
    <row r="899" ht="15.75" customHeight="1">
      <c r="A899" s="30"/>
      <c r="B899" s="30"/>
      <c r="C899" s="30"/>
      <c r="D899" s="82"/>
      <c r="E899" s="30"/>
      <c r="F899" s="30"/>
      <c r="G899" s="30"/>
      <c r="H899" s="30"/>
    </row>
    <row r="900" ht="15.75" customHeight="1">
      <c r="A900" s="30"/>
      <c r="B900" s="30"/>
      <c r="C900" s="30"/>
      <c r="D900" s="82"/>
      <c r="E900" s="30"/>
      <c r="F900" s="30"/>
      <c r="G900" s="30"/>
      <c r="H900" s="30"/>
    </row>
    <row r="901" ht="15.75" customHeight="1">
      <c r="A901" s="30"/>
      <c r="B901" s="30"/>
      <c r="C901" s="30"/>
      <c r="D901" s="82"/>
      <c r="E901" s="30"/>
      <c r="F901" s="30"/>
      <c r="G901" s="30"/>
      <c r="H901" s="30"/>
    </row>
    <row r="902" ht="15.75" customHeight="1">
      <c r="A902" s="30"/>
      <c r="B902" s="30"/>
      <c r="C902" s="30"/>
      <c r="D902" s="82"/>
      <c r="E902" s="30"/>
      <c r="F902" s="30"/>
      <c r="G902" s="30"/>
      <c r="H902" s="30"/>
    </row>
    <row r="903" ht="15.75" customHeight="1">
      <c r="A903" s="30"/>
      <c r="B903" s="30"/>
      <c r="C903" s="30"/>
      <c r="D903" s="82"/>
      <c r="E903" s="30"/>
      <c r="F903" s="30"/>
      <c r="G903" s="30"/>
      <c r="H903" s="30"/>
    </row>
    <row r="904" ht="15.75" customHeight="1">
      <c r="A904" s="30"/>
      <c r="B904" s="30"/>
      <c r="C904" s="30"/>
      <c r="D904" s="82"/>
      <c r="E904" s="30"/>
      <c r="F904" s="30"/>
      <c r="G904" s="30"/>
      <c r="H904" s="30"/>
    </row>
    <row r="905" ht="15.75" customHeight="1">
      <c r="A905" s="30"/>
      <c r="B905" s="30"/>
      <c r="C905" s="30"/>
      <c r="D905" s="82"/>
      <c r="E905" s="30"/>
      <c r="F905" s="30"/>
      <c r="G905" s="30"/>
      <c r="H905" s="30"/>
    </row>
    <row r="906" ht="15.75" customHeight="1">
      <c r="A906" s="30"/>
      <c r="B906" s="30"/>
      <c r="C906" s="30"/>
      <c r="D906" s="82"/>
      <c r="E906" s="30"/>
      <c r="F906" s="30"/>
      <c r="G906" s="30"/>
      <c r="H906" s="30"/>
    </row>
    <row r="907" ht="15.75" customHeight="1">
      <c r="A907" s="30"/>
      <c r="B907" s="30"/>
      <c r="C907" s="30"/>
      <c r="D907" s="82"/>
      <c r="E907" s="30"/>
      <c r="F907" s="30"/>
      <c r="G907" s="30"/>
      <c r="H907" s="30"/>
    </row>
    <row r="908" ht="15.75" customHeight="1">
      <c r="A908" s="30"/>
      <c r="B908" s="30"/>
      <c r="C908" s="30"/>
      <c r="D908" s="82"/>
      <c r="E908" s="30"/>
      <c r="F908" s="30"/>
      <c r="G908" s="30"/>
      <c r="H908" s="30"/>
    </row>
    <row r="909" ht="15.75" customHeight="1">
      <c r="A909" s="30"/>
      <c r="B909" s="30"/>
      <c r="C909" s="30"/>
      <c r="D909" s="82"/>
      <c r="E909" s="30"/>
      <c r="F909" s="30"/>
      <c r="G909" s="30"/>
      <c r="H909" s="30"/>
    </row>
    <row r="910" ht="15.75" customHeight="1">
      <c r="A910" s="30"/>
      <c r="B910" s="30"/>
      <c r="C910" s="30"/>
      <c r="D910" s="82"/>
      <c r="E910" s="30"/>
      <c r="F910" s="30"/>
      <c r="G910" s="30"/>
      <c r="H910" s="30"/>
    </row>
    <row r="911" ht="15.75" customHeight="1">
      <c r="A911" s="30"/>
      <c r="B911" s="30"/>
      <c r="C911" s="30"/>
      <c r="D911" s="82"/>
      <c r="E911" s="30"/>
      <c r="F911" s="30"/>
      <c r="G911" s="30"/>
      <c r="H911" s="30"/>
    </row>
    <row r="912" ht="15.75" customHeight="1">
      <c r="A912" s="30"/>
      <c r="B912" s="30"/>
      <c r="C912" s="30"/>
      <c r="D912" s="82"/>
      <c r="E912" s="30"/>
      <c r="F912" s="30"/>
      <c r="G912" s="30"/>
      <c r="H912" s="30"/>
    </row>
    <row r="913" ht="15.75" customHeight="1">
      <c r="A913" s="30"/>
      <c r="B913" s="30"/>
      <c r="C913" s="30"/>
      <c r="D913" s="82"/>
      <c r="E913" s="30"/>
      <c r="F913" s="30"/>
      <c r="G913" s="30"/>
      <c r="H913" s="30"/>
    </row>
    <row r="914" ht="15.75" customHeight="1">
      <c r="A914" s="30"/>
      <c r="B914" s="30"/>
      <c r="C914" s="30"/>
      <c r="D914" s="82"/>
      <c r="E914" s="30"/>
      <c r="F914" s="30"/>
      <c r="G914" s="30"/>
      <c r="H914" s="30"/>
    </row>
    <row r="915" ht="15.75" customHeight="1">
      <c r="A915" s="30"/>
      <c r="B915" s="30"/>
      <c r="C915" s="30"/>
      <c r="D915" s="82"/>
      <c r="E915" s="30"/>
      <c r="F915" s="30"/>
      <c r="G915" s="30"/>
      <c r="H915" s="30"/>
    </row>
    <row r="916" ht="15.75" customHeight="1">
      <c r="A916" s="30"/>
      <c r="B916" s="30"/>
      <c r="C916" s="30"/>
      <c r="D916" s="82"/>
      <c r="E916" s="30"/>
      <c r="F916" s="30"/>
      <c r="G916" s="30"/>
      <c r="H916" s="30"/>
    </row>
    <row r="917" ht="15.75" customHeight="1">
      <c r="A917" s="30"/>
      <c r="B917" s="30"/>
      <c r="C917" s="30"/>
      <c r="D917" s="82"/>
      <c r="E917" s="30"/>
      <c r="F917" s="30"/>
      <c r="G917" s="30"/>
      <c r="H917" s="30"/>
    </row>
    <row r="918" ht="15.75" customHeight="1">
      <c r="A918" s="30"/>
      <c r="B918" s="30"/>
      <c r="C918" s="30"/>
      <c r="D918" s="82"/>
      <c r="E918" s="30"/>
      <c r="F918" s="30"/>
      <c r="G918" s="30"/>
      <c r="H918" s="30"/>
    </row>
    <row r="919" ht="15.75" customHeight="1">
      <c r="A919" s="30"/>
      <c r="B919" s="30"/>
      <c r="C919" s="30"/>
      <c r="D919" s="82"/>
      <c r="E919" s="30"/>
      <c r="F919" s="30"/>
      <c r="G919" s="30"/>
      <c r="H919" s="30"/>
    </row>
    <row r="920" ht="15.75" customHeight="1">
      <c r="A920" s="30"/>
      <c r="B920" s="30"/>
      <c r="C920" s="30"/>
      <c r="D920" s="82"/>
      <c r="E920" s="30"/>
      <c r="F920" s="30"/>
      <c r="G920" s="30"/>
      <c r="H920" s="30"/>
    </row>
    <row r="921" ht="15.75" customHeight="1">
      <c r="A921" s="30"/>
      <c r="B921" s="30"/>
      <c r="C921" s="30"/>
      <c r="D921" s="82"/>
      <c r="E921" s="30"/>
      <c r="F921" s="30"/>
      <c r="G921" s="30"/>
      <c r="H921" s="30"/>
    </row>
    <row r="922" ht="15.75" customHeight="1">
      <c r="A922" s="30"/>
      <c r="B922" s="30"/>
      <c r="C922" s="30"/>
      <c r="D922" s="82"/>
      <c r="E922" s="30"/>
      <c r="F922" s="30"/>
      <c r="G922" s="30"/>
      <c r="H922" s="30"/>
    </row>
    <row r="923" ht="15.75" customHeight="1">
      <c r="A923" s="30"/>
      <c r="B923" s="30"/>
      <c r="C923" s="30"/>
      <c r="D923" s="82"/>
      <c r="E923" s="30"/>
      <c r="F923" s="30"/>
      <c r="G923" s="30"/>
      <c r="H923" s="30"/>
    </row>
    <row r="924" ht="15.75" customHeight="1">
      <c r="A924" s="30"/>
      <c r="B924" s="30"/>
      <c r="C924" s="30"/>
      <c r="D924" s="82"/>
      <c r="E924" s="30"/>
      <c r="F924" s="30"/>
      <c r="G924" s="30"/>
      <c r="H924" s="30"/>
    </row>
    <row r="925" ht="15.75" customHeight="1">
      <c r="A925" s="30"/>
      <c r="B925" s="30"/>
      <c r="C925" s="30"/>
      <c r="D925" s="82"/>
      <c r="E925" s="30"/>
      <c r="F925" s="30"/>
      <c r="G925" s="30"/>
      <c r="H925" s="30"/>
    </row>
    <row r="926" ht="15.75" customHeight="1">
      <c r="A926" s="30"/>
      <c r="B926" s="30"/>
      <c r="C926" s="30"/>
      <c r="D926" s="82"/>
      <c r="E926" s="30"/>
      <c r="F926" s="30"/>
      <c r="G926" s="30"/>
      <c r="H926" s="30"/>
    </row>
    <row r="927" ht="15.75" customHeight="1">
      <c r="A927" s="30"/>
      <c r="B927" s="30"/>
      <c r="C927" s="30"/>
      <c r="D927" s="82"/>
      <c r="E927" s="30"/>
      <c r="F927" s="30"/>
      <c r="G927" s="30"/>
      <c r="H927" s="30"/>
    </row>
    <row r="928" ht="15.75" customHeight="1">
      <c r="A928" s="30"/>
      <c r="B928" s="30"/>
      <c r="C928" s="30"/>
      <c r="D928" s="82"/>
      <c r="E928" s="30"/>
      <c r="F928" s="30"/>
      <c r="G928" s="30"/>
      <c r="H928" s="30"/>
    </row>
    <row r="929" ht="15.75" customHeight="1">
      <c r="A929" s="30"/>
      <c r="B929" s="30"/>
      <c r="C929" s="30"/>
      <c r="D929" s="82"/>
      <c r="E929" s="30"/>
      <c r="F929" s="30"/>
      <c r="G929" s="30"/>
      <c r="H929" s="30"/>
    </row>
    <row r="930" ht="15.75" customHeight="1">
      <c r="A930" s="30"/>
      <c r="B930" s="30"/>
      <c r="C930" s="30"/>
      <c r="D930" s="82"/>
      <c r="E930" s="30"/>
      <c r="F930" s="30"/>
      <c r="G930" s="30"/>
      <c r="H930" s="30"/>
    </row>
    <row r="931" ht="15.75" customHeight="1">
      <c r="A931" s="30"/>
      <c r="B931" s="30"/>
      <c r="C931" s="30"/>
      <c r="D931" s="82"/>
      <c r="E931" s="30"/>
      <c r="F931" s="30"/>
      <c r="G931" s="30"/>
      <c r="H931" s="30"/>
    </row>
    <row r="932" ht="15.75" customHeight="1">
      <c r="A932" s="30"/>
      <c r="B932" s="30"/>
      <c r="C932" s="30"/>
      <c r="D932" s="82"/>
      <c r="E932" s="30"/>
      <c r="F932" s="30"/>
      <c r="G932" s="30"/>
      <c r="H932" s="30"/>
    </row>
    <row r="933" ht="15.75" customHeight="1">
      <c r="A933" s="30"/>
      <c r="B933" s="30"/>
      <c r="C933" s="30"/>
      <c r="D933" s="82"/>
      <c r="E933" s="30"/>
      <c r="F933" s="30"/>
      <c r="G933" s="30"/>
      <c r="H933" s="30"/>
    </row>
    <row r="934" ht="15.75" customHeight="1">
      <c r="A934" s="30"/>
      <c r="B934" s="30"/>
      <c r="C934" s="30"/>
      <c r="D934" s="82"/>
      <c r="E934" s="30"/>
      <c r="F934" s="30"/>
      <c r="G934" s="30"/>
      <c r="H934" s="30"/>
    </row>
    <row r="935" ht="15.75" customHeight="1">
      <c r="A935" s="30"/>
      <c r="B935" s="30"/>
      <c r="C935" s="30"/>
      <c r="D935" s="82"/>
      <c r="E935" s="30"/>
      <c r="F935" s="30"/>
      <c r="G935" s="30"/>
      <c r="H935" s="30"/>
    </row>
    <row r="936" ht="15.75" customHeight="1">
      <c r="A936" s="30"/>
      <c r="B936" s="30"/>
      <c r="C936" s="30"/>
      <c r="D936" s="82"/>
      <c r="E936" s="30"/>
      <c r="F936" s="30"/>
      <c r="G936" s="30"/>
      <c r="H936" s="30"/>
    </row>
    <row r="937" ht="15.75" customHeight="1">
      <c r="A937" s="30"/>
      <c r="B937" s="30"/>
      <c r="C937" s="30"/>
      <c r="D937" s="82"/>
      <c r="E937" s="30"/>
      <c r="F937" s="30"/>
      <c r="G937" s="30"/>
      <c r="H937" s="30"/>
    </row>
    <row r="938" ht="15.75" customHeight="1">
      <c r="A938" s="30"/>
      <c r="B938" s="30"/>
      <c r="C938" s="30"/>
      <c r="D938" s="82"/>
      <c r="E938" s="30"/>
      <c r="F938" s="30"/>
      <c r="G938" s="30"/>
      <c r="H938" s="30"/>
    </row>
    <row r="939" ht="15.75" customHeight="1">
      <c r="A939" s="30"/>
      <c r="B939" s="30"/>
      <c r="C939" s="30"/>
      <c r="D939" s="82"/>
      <c r="E939" s="30"/>
      <c r="F939" s="30"/>
      <c r="G939" s="30"/>
      <c r="H939" s="30"/>
    </row>
    <row r="940" ht="15.75" customHeight="1">
      <c r="A940" s="30"/>
      <c r="B940" s="30"/>
      <c r="C940" s="30"/>
      <c r="D940" s="82"/>
      <c r="E940" s="30"/>
      <c r="F940" s="30"/>
      <c r="G940" s="30"/>
      <c r="H940" s="30"/>
    </row>
    <row r="941" ht="15.75" customHeight="1">
      <c r="A941" s="30"/>
      <c r="B941" s="30"/>
      <c r="C941" s="30"/>
      <c r="D941" s="82"/>
      <c r="E941" s="30"/>
      <c r="F941" s="30"/>
      <c r="G941" s="30"/>
      <c r="H941" s="30"/>
    </row>
    <row r="942" ht="15.75" customHeight="1">
      <c r="A942" s="30"/>
      <c r="B942" s="30"/>
      <c r="C942" s="30"/>
      <c r="D942" s="82"/>
      <c r="E942" s="30"/>
      <c r="F942" s="30"/>
      <c r="G942" s="30"/>
      <c r="H942" s="30"/>
    </row>
    <row r="943" ht="15.75" customHeight="1">
      <c r="A943" s="30"/>
      <c r="B943" s="30"/>
      <c r="C943" s="30"/>
      <c r="D943" s="82"/>
      <c r="E943" s="30"/>
      <c r="F943" s="30"/>
      <c r="G943" s="30"/>
      <c r="H943" s="30"/>
    </row>
    <row r="944" ht="15.75" customHeight="1">
      <c r="A944" s="30"/>
      <c r="B944" s="30"/>
      <c r="C944" s="30"/>
      <c r="D944" s="82"/>
      <c r="E944" s="30"/>
      <c r="F944" s="30"/>
      <c r="G944" s="30"/>
      <c r="H944" s="30"/>
    </row>
    <row r="945" ht="15.75" customHeight="1">
      <c r="A945" s="30"/>
      <c r="B945" s="30"/>
      <c r="C945" s="30"/>
      <c r="D945" s="82"/>
      <c r="E945" s="30"/>
      <c r="F945" s="30"/>
      <c r="G945" s="30"/>
      <c r="H945" s="30"/>
    </row>
    <row r="946" ht="15.75" customHeight="1">
      <c r="A946" s="30"/>
      <c r="B946" s="30"/>
      <c r="C946" s="30"/>
      <c r="D946" s="82"/>
      <c r="E946" s="30"/>
      <c r="F946" s="30"/>
      <c r="G946" s="30"/>
      <c r="H946" s="30"/>
    </row>
    <row r="947" ht="15.75" customHeight="1">
      <c r="A947" s="30"/>
      <c r="B947" s="30"/>
      <c r="C947" s="30"/>
      <c r="D947" s="82"/>
      <c r="E947" s="30"/>
      <c r="F947" s="30"/>
      <c r="G947" s="30"/>
      <c r="H947" s="30"/>
    </row>
    <row r="948" ht="15.75" customHeight="1">
      <c r="A948" s="30"/>
      <c r="B948" s="30"/>
      <c r="C948" s="30"/>
      <c r="D948" s="82"/>
      <c r="E948" s="30"/>
      <c r="F948" s="30"/>
      <c r="G948" s="30"/>
      <c r="H948" s="30"/>
    </row>
    <row r="949" ht="15.75" customHeight="1">
      <c r="A949" s="30"/>
      <c r="B949" s="30"/>
      <c r="C949" s="30"/>
      <c r="D949" s="82"/>
      <c r="E949" s="30"/>
      <c r="F949" s="30"/>
      <c r="G949" s="30"/>
      <c r="H949" s="30"/>
    </row>
    <row r="950" ht="15.75" customHeight="1">
      <c r="A950" s="30"/>
      <c r="B950" s="30"/>
      <c r="C950" s="30"/>
      <c r="D950" s="82"/>
      <c r="E950" s="30"/>
      <c r="F950" s="30"/>
      <c r="G950" s="30"/>
      <c r="H950" s="30"/>
    </row>
    <row r="951" ht="15.75" customHeight="1">
      <c r="A951" s="30"/>
      <c r="B951" s="30"/>
      <c r="C951" s="30"/>
      <c r="D951" s="82"/>
      <c r="E951" s="30"/>
      <c r="F951" s="30"/>
      <c r="G951" s="30"/>
      <c r="H951" s="30"/>
    </row>
    <row r="952" ht="15.75" customHeight="1">
      <c r="A952" s="30"/>
      <c r="B952" s="30"/>
      <c r="C952" s="30"/>
      <c r="D952" s="82"/>
      <c r="E952" s="30"/>
      <c r="F952" s="30"/>
      <c r="G952" s="30"/>
      <c r="H952" s="30"/>
    </row>
    <row r="953" ht="15.75" customHeight="1">
      <c r="A953" s="30"/>
      <c r="B953" s="30"/>
      <c r="C953" s="30"/>
      <c r="D953" s="82"/>
      <c r="E953" s="30"/>
      <c r="F953" s="30"/>
      <c r="G953" s="30"/>
      <c r="H953" s="30"/>
    </row>
    <row r="954" ht="15.75" customHeight="1">
      <c r="A954" s="30"/>
      <c r="B954" s="30"/>
      <c r="C954" s="30"/>
      <c r="D954" s="82"/>
      <c r="E954" s="30"/>
      <c r="F954" s="30"/>
      <c r="G954" s="30"/>
      <c r="H954" s="30"/>
    </row>
    <row r="955" ht="15.75" customHeight="1">
      <c r="A955" s="30"/>
      <c r="B955" s="30"/>
      <c r="C955" s="30"/>
      <c r="D955" s="82"/>
      <c r="E955" s="30"/>
      <c r="F955" s="30"/>
      <c r="G955" s="30"/>
      <c r="H955" s="30"/>
    </row>
    <row r="956" ht="15.75" customHeight="1">
      <c r="A956" s="30"/>
      <c r="B956" s="30"/>
      <c r="C956" s="30"/>
      <c r="D956" s="82"/>
      <c r="E956" s="30"/>
      <c r="F956" s="30"/>
      <c r="G956" s="30"/>
      <c r="H956" s="30"/>
    </row>
    <row r="957" ht="15.75" customHeight="1">
      <c r="A957" s="30"/>
      <c r="B957" s="30"/>
      <c r="C957" s="30"/>
      <c r="D957" s="82"/>
      <c r="E957" s="30"/>
      <c r="F957" s="30"/>
      <c r="G957" s="30"/>
      <c r="H957" s="30"/>
    </row>
    <row r="958" ht="15.75" customHeight="1">
      <c r="A958" s="30"/>
      <c r="B958" s="30"/>
      <c r="C958" s="30"/>
      <c r="D958" s="82"/>
      <c r="E958" s="30"/>
      <c r="F958" s="30"/>
      <c r="G958" s="30"/>
      <c r="H958" s="30"/>
    </row>
    <row r="959" ht="15.75" customHeight="1">
      <c r="A959" s="30"/>
      <c r="B959" s="30"/>
      <c r="C959" s="30"/>
      <c r="D959" s="82"/>
      <c r="E959" s="30"/>
      <c r="F959" s="30"/>
      <c r="G959" s="30"/>
      <c r="H959" s="30"/>
    </row>
    <row r="960" ht="15.75" customHeight="1">
      <c r="A960" s="30"/>
      <c r="B960" s="30"/>
      <c r="C960" s="30"/>
      <c r="D960" s="82"/>
      <c r="E960" s="30"/>
      <c r="F960" s="30"/>
      <c r="G960" s="30"/>
      <c r="H960" s="30"/>
    </row>
    <row r="961" ht="15.75" customHeight="1">
      <c r="A961" s="30"/>
      <c r="B961" s="30"/>
      <c r="C961" s="30"/>
      <c r="D961" s="82"/>
      <c r="E961" s="30"/>
      <c r="F961" s="30"/>
      <c r="G961" s="30"/>
      <c r="H961" s="30"/>
    </row>
    <row r="962" ht="15.75" customHeight="1">
      <c r="A962" s="30"/>
      <c r="B962" s="30"/>
      <c r="C962" s="30"/>
      <c r="D962" s="82"/>
      <c r="E962" s="30"/>
      <c r="F962" s="30"/>
      <c r="G962" s="30"/>
      <c r="H962" s="30"/>
    </row>
    <row r="963" ht="15.75" customHeight="1">
      <c r="A963" s="30"/>
      <c r="B963" s="30"/>
      <c r="C963" s="30"/>
      <c r="D963" s="82"/>
      <c r="E963" s="30"/>
      <c r="F963" s="30"/>
      <c r="G963" s="30"/>
      <c r="H963" s="30"/>
    </row>
    <row r="964" ht="15.75" customHeight="1">
      <c r="A964" s="30"/>
      <c r="B964" s="30"/>
      <c r="C964" s="30"/>
      <c r="D964" s="82"/>
      <c r="E964" s="30"/>
      <c r="F964" s="30"/>
      <c r="G964" s="30"/>
      <c r="H964" s="30"/>
    </row>
    <row r="965" ht="15.75" customHeight="1">
      <c r="A965" s="30"/>
      <c r="B965" s="30"/>
      <c r="C965" s="30"/>
      <c r="D965" s="82"/>
      <c r="E965" s="30"/>
      <c r="F965" s="30"/>
      <c r="G965" s="30"/>
      <c r="H965" s="30"/>
    </row>
    <row r="966" ht="15.75" customHeight="1">
      <c r="A966" s="30"/>
      <c r="B966" s="30"/>
      <c r="C966" s="30"/>
      <c r="D966" s="82"/>
      <c r="E966" s="30"/>
      <c r="F966" s="30"/>
      <c r="G966" s="30"/>
      <c r="H966" s="30"/>
    </row>
    <row r="967" ht="15.75" customHeight="1">
      <c r="A967" s="30"/>
      <c r="B967" s="30"/>
      <c r="C967" s="30"/>
      <c r="D967" s="82"/>
      <c r="E967" s="30"/>
      <c r="F967" s="30"/>
      <c r="G967" s="30"/>
      <c r="H967" s="30"/>
    </row>
    <row r="968" ht="15.75" customHeight="1">
      <c r="A968" s="30"/>
      <c r="B968" s="30"/>
      <c r="C968" s="30"/>
      <c r="D968" s="82"/>
      <c r="E968" s="30"/>
      <c r="F968" s="30"/>
      <c r="G968" s="30"/>
      <c r="H968" s="30"/>
    </row>
    <row r="969" ht="15.75" customHeight="1">
      <c r="A969" s="30"/>
      <c r="B969" s="30"/>
      <c r="C969" s="30"/>
      <c r="D969" s="82"/>
      <c r="E969" s="30"/>
      <c r="F969" s="30"/>
      <c r="G969" s="30"/>
      <c r="H969" s="30"/>
    </row>
    <row r="970" ht="15.75" customHeight="1">
      <c r="A970" s="30"/>
      <c r="B970" s="30"/>
      <c r="C970" s="30"/>
      <c r="D970" s="82"/>
      <c r="E970" s="30"/>
      <c r="F970" s="30"/>
      <c r="G970" s="30"/>
      <c r="H970" s="30"/>
    </row>
    <row r="971" ht="15.75" customHeight="1">
      <c r="A971" s="30"/>
      <c r="B971" s="30"/>
      <c r="C971" s="30"/>
      <c r="D971" s="82"/>
      <c r="E971" s="30"/>
      <c r="F971" s="30"/>
      <c r="G971" s="30"/>
      <c r="H971" s="30"/>
    </row>
    <row r="972" ht="15.75" customHeight="1">
      <c r="A972" s="30"/>
      <c r="B972" s="30"/>
      <c r="C972" s="30"/>
      <c r="D972" s="82"/>
      <c r="E972" s="30"/>
      <c r="F972" s="30"/>
      <c r="G972" s="30"/>
      <c r="H972" s="30"/>
    </row>
    <row r="973" ht="15.75" customHeight="1">
      <c r="A973" s="30"/>
      <c r="B973" s="30"/>
      <c r="C973" s="30"/>
      <c r="D973" s="82"/>
      <c r="E973" s="30"/>
      <c r="F973" s="30"/>
      <c r="G973" s="30"/>
      <c r="H973" s="30"/>
    </row>
    <row r="974" ht="15.75" customHeight="1">
      <c r="A974" s="30"/>
      <c r="B974" s="30"/>
      <c r="C974" s="30"/>
      <c r="D974" s="82"/>
      <c r="E974" s="30"/>
      <c r="F974" s="30"/>
      <c r="G974" s="30"/>
      <c r="H974" s="30"/>
    </row>
    <row r="975" ht="15.75" customHeight="1">
      <c r="A975" s="30"/>
      <c r="B975" s="30"/>
      <c r="C975" s="30"/>
      <c r="D975" s="82"/>
      <c r="E975" s="30"/>
      <c r="F975" s="30"/>
      <c r="G975" s="30"/>
      <c r="H975" s="30"/>
    </row>
    <row r="976" ht="15.75" customHeight="1">
      <c r="A976" s="30"/>
      <c r="B976" s="30"/>
      <c r="C976" s="30"/>
      <c r="D976" s="82"/>
      <c r="E976" s="30"/>
      <c r="F976" s="30"/>
      <c r="G976" s="30"/>
      <c r="H976" s="30"/>
    </row>
    <row r="977" ht="15.75" customHeight="1">
      <c r="A977" s="30"/>
      <c r="B977" s="30"/>
      <c r="C977" s="30"/>
      <c r="D977" s="82"/>
      <c r="E977" s="30"/>
      <c r="F977" s="30"/>
      <c r="G977" s="30"/>
      <c r="H977" s="30"/>
    </row>
    <row r="978" ht="15.75" customHeight="1">
      <c r="A978" s="30"/>
      <c r="B978" s="30"/>
      <c r="C978" s="30"/>
      <c r="D978" s="82"/>
      <c r="E978" s="30"/>
      <c r="F978" s="30"/>
      <c r="G978" s="30"/>
      <c r="H978" s="30"/>
    </row>
    <row r="979" ht="15.75" customHeight="1">
      <c r="A979" s="30"/>
      <c r="B979" s="30"/>
      <c r="C979" s="30"/>
      <c r="D979" s="82"/>
      <c r="E979" s="30"/>
      <c r="F979" s="30"/>
      <c r="G979" s="30"/>
      <c r="H979" s="30"/>
    </row>
    <row r="980" ht="15.75" customHeight="1">
      <c r="A980" s="30"/>
      <c r="B980" s="30"/>
      <c r="C980" s="30"/>
      <c r="D980" s="82"/>
      <c r="E980" s="30"/>
      <c r="F980" s="30"/>
      <c r="G980" s="30"/>
      <c r="H980" s="30"/>
    </row>
    <row r="981" ht="15.75" customHeight="1">
      <c r="A981" s="30"/>
      <c r="B981" s="30"/>
      <c r="C981" s="30"/>
      <c r="D981" s="82"/>
      <c r="E981" s="30"/>
      <c r="F981" s="30"/>
      <c r="G981" s="30"/>
      <c r="H981" s="30"/>
    </row>
    <row r="982" ht="15.75" customHeight="1">
      <c r="A982" s="30"/>
      <c r="B982" s="30"/>
      <c r="C982" s="30"/>
      <c r="D982" s="82"/>
      <c r="E982" s="30"/>
      <c r="F982" s="30"/>
      <c r="G982" s="30"/>
      <c r="H982" s="30"/>
    </row>
    <row r="983" ht="15.75" customHeight="1">
      <c r="A983" s="30"/>
      <c r="B983" s="30"/>
      <c r="C983" s="30"/>
      <c r="D983" s="82"/>
      <c r="E983" s="30"/>
      <c r="F983" s="30"/>
      <c r="G983" s="30"/>
      <c r="H983" s="30"/>
    </row>
    <row r="984" ht="15.75" customHeight="1">
      <c r="A984" s="30"/>
      <c r="B984" s="30"/>
      <c r="C984" s="30"/>
      <c r="D984" s="82"/>
      <c r="E984" s="30"/>
      <c r="F984" s="30"/>
      <c r="G984" s="30"/>
      <c r="H984" s="30"/>
    </row>
    <row r="985" ht="15.75" customHeight="1">
      <c r="A985" s="30"/>
      <c r="B985" s="30"/>
      <c r="C985" s="30"/>
      <c r="D985" s="82"/>
      <c r="E985" s="30"/>
      <c r="F985" s="30"/>
      <c r="G985" s="30"/>
      <c r="H985" s="30"/>
    </row>
    <row r="986" ht="15.75" customHeight="1">
      <c r="A986" s="30"/>
      <c r="B986" s="30"/>
      <c r="C986" s="30"/>
      <c r="D986" s="82"/>
      <c r="E986" s="30"/>
      <c r="F986" s="30"/>
      <c r="G986" s="30"/>
      <c r="H986" s="30"/>
    </row>
    <row r="987" ht="15.75" customHeight="1">
      <c r="A987" s="30"/>
      <c r="B987" s="30"/>
      <c r="C987" s="30"/>
      <c r="D987" s="82"/>
      <c r="E987" s="30"/>
      <c r="F987" s="30"/>
      <c r="G987" s="30"/>
      <c r="H987" s="30"/>
    </row>
    <row r="988" ht="15.75" customHeight="1">
      <c r="A988" s="30"/>
      <c r="B988" s="30"/>
      <c r="C988" s="30"/>
      <c r="D988" s="82"/>
      <c r="E988" s="30"/>
      <c r="F988" s="30"/>
      <c r="G988" s="30"/>
      <c r="H988" s="30"/>
    </row>
    <row r="989" ht="15.75" customHeight="1">
      <c r="A989" s="30"/>
      <c r="B989" s="30"/>
      <c r="C989" s="30"/>
      <c r="D989" s="82"/>
      <c r="E989" s="30"/>
      <c r="F989" s="30"/>
      <c r="G989" s="30"/>
      <c r="H989" s="30"/>
    </row>
    <row r="990" ht="15.75" customHeight="1">
      <c r="A990" s="30"/>
      <c r="B990" s="30"/>
      <c r="C990" s="30"/>
      <c r="D990" s="82"/>
      <c r="E990" s="30"/>
      <c r="F990" s="30"/>
      <c r="G990" s="30"/>
      <c r="H990" s="30"/>
    </row>
    <row r="991" ht="15.75" customHeight="1">
      <c r="A991" s="30"/>
      <c r="B991" s="30"/>
      <c r="C991" s="30"/>
      <c r="D991" s="82"/>
      <c r="E991" s="30"/>
      <c r="F991" s="30"/>
      <c r="G991" s="30"/>
      <c r="H991" s="30"/>
    </row>
    <row r="992" ht="15.75" customHeight="1">
      <c r="A992" s="30"/>
      <c r="B992" s="30"/>
      <c r="C992" s="30"/>
      <c r="D992" s="82"/>
      <c r="E992" s="30"/>
      <c r="F992" s="30"/>
      <c r="G992" s="30"/>
      <c r="H992" s="30"/>
    </row>
    <row r="993" ht="15.75" customHeight="1">
      <c r="A993" s="30"/>
      <c r="B993" s="30"/>
      <c r="C993" s="30"/>
      <c r="D993" s="82"/>
      <c r="E993" s="30"/>
      <c r="F993" s="30"/>
      <c r="G993" s="30"/>
      <c r="H993" s="30"/>
    </row>
    <row r="994" ht="15.75" customHeight="1">
      <c r="A994" s="30"/>
      <c r="B994" s="30"/>
      <c r="C994" s="30"/>
      <c r="D994" s="82"/>
      <c r="E994" s="30"/>
      <c r="F994" s="30"/>
      <c r="G994" s="30"/>
      <c r="H994" s="30"/>
    </row>
    <row r="995" ht="15.75" customHeight="1">
      <c r="A995" s="30"/>
      <c r="B995" s="30"/>
      <c r="C995" s="30"/>
      <c r="D995" s="82"/>
      <c r="E995" s="30"/>
      <c r="F995" s="30"/>
      <c r="G995" s="30"/>
      <c r="H995" s="30"/>
    </row>
    <row r="996" ht="15.75" customHeight="1">
      <c r="A996" s="30"/>
      <c r="B996" s="30"/>
      <c r="C996" s="30"/>
      <c r="D996" s="82"/>
      <c r="E996" s="30"/>
      <c r="F996" s="30"/>
      <c r="G996" s="30"/>
      <c r="H996" s="30"/>
    </row>
    <row r="997" ht="15.75" customHeight="1">
      <c r="A997" s="30"/>
      <c r="B997" s="30"/>
      <c r="C997" s="30"/>
      <c r="D997" s="82"/>
      <c r="E997" s="30"/>
      <c r="F997" s="30"/>
      <c r="G997" s="30"/>
      <c r="H997" s="30"/>
    </row>
    <row r="998" ht="15.75" customHeight="1">
      <c r="A998" s="30"/>
      <c r="B998" s="30"/>
      <c r="C998" s="30"/>
      <c r="D998" s="82"/>
      <c r="E998" s="30"/>
      <c r="F998" s="30"/>
      <c r="G998" s="30"/>
      <c r="H998" s="30"/>
    </row>
  </sheetData>
  <mergeCells count="2">
    <mergeCell ref="A1:H1"/>
    <mergeCell ref="A2:H2"/>
  </mergeCells>
  <conditionalFormatting sqref="G4:G52">
    <cfRule type="colorScale" priority="1">
      <colorScale>
        <cfvo type="formula" val="0"/>
        <cfvo type="formula" val="0.35"/>
        <cfvo type="formula" val="0.6"/>
        <color rgb="FFE74C3C"/>
        <color rgb="FFF39C12"/>
        <color rgb="FF27AE60"/>
      </colorScale>
    </cfRule>
  </conditionalFormatting>
  <dataValidations>
    <dataValidation type="decimal" allowBlank="1" showInputMessage="1" showErrorMessage="1" prompt="Nominal Tidak Valid - TARGET HPP harus antara Rp 1.000 - Rp 10.000.000" sqref="E4:E52">
      <formula1>1000.0</formula1>
      <formula2>1.0E7</formula2>
    </dataValidation>
    <dataValidation type="decimal" allowBlank="1" showInputMessage="1" showErrorMessage="1" prompt="Nominal Tidak Valid - Harga Jual harus antara Rp 1.000 - Rp 50.000.000" sqref="F4:F52">
      <formula1>1000.0</formula1>
      <formula2>5.0E7</formula2>
    </dataValidation>
    <dataValidation type="list" allowBlank="1" showInputMessage="1" showErrorMessage="1" prompt="Input Tidak Valid - Pilih kategori: Abaya, Gamis, Kaftan, Tunik, Dress, Hijab, Mukena, atau Others" sqref="C4:C52">
      <formula1>"Abaya,Gamis,Kaftan,Tunik,Dress,Hijab,Mukena,Others"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27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43"/>
    <col customWidth="1" min="2" max="2" width="22.0"/>
    <col customWidth="1" min="3" max="3" width="10.0"/>
    <col customWidth="1" min="4" max="4" width="18.43"/>
    <col customWidth="1" min="5" max="5" width="22.0"/>
    <col customWidth="1" min="6" max="7" width="12.0"/>
    <col customWidth="1" min="8" max="8" width="22.0"/>
    <col customWidth="1" min="9" max="18" width="8.71"/>
  </cols>
  <sheetData>
    <row r="1" ht="36.0" customHeight="1">
      <c r="A1" s="1" t="s">
        <v>236</v>
      </c>
      <c r="B1" s="2"/>
      <c r="C1" s="2"/>
      <c r="D1" s="2"/>
      <c r="E1" s="2"/>
      <c r="F1" s="2"/>
      <c r="G1" s="2"/>
      <c r="H1" s="3"/>
    </row>
    <row r="2" ht="19.5" customHeight="1">
      <c r="A2" s="5" t="s">
        <v>237</v>
      </c>
      <c r="B2" s="2"/>
      <c r="C2" s="2"/>
      <c r="D2" s="2"/>
      <c r="E2" s="2"/>
      <c r="F2" s="2"/>
      <c r="G2" s="2"/>
      <c r="H2" s="3"/>
    </row>
    <row r="3" ht="27.75" customHeight="1">
      <c r="A3" s="7" t="s">
        <v>238</v>
      </c>
      <c r="B3" s="7" t="s">
        <v>239</v>
      </c>
      <c r="C3" s="7" t="s">
        <v>240</v>
      </c>
      <c r="D3" s="7" t="s">
        <v>241</v>
      </c>
      <c r="E3" s="7" t="s">
        <v>242</v>
      </c>
      <c r="F3" s="7" t="s">
        <v>243</v>
      </c>
      <c r="G3" s="7" t="s">
        <v>152</v>
      </c>
      <c r="H3" s="7" t="s">
        <v>244</v>
      </c>
    </row>
    <row r="4" ht="19.5" customHeight="1">
      <c r="A4" s="83" t="s">
        <v>245</v>
      </c>
      <c r="B4" s="84" t="s">
        <v>246</v>
      </c>
      <c r="C4" s="85" t="s">
        <v>247</v>
      </c>
      <c r="D4" s="86">
        <v>45000.0</v>
      </c>
      <c r="E4" s="84" t="s">
        <v>248</v>
      </c>
      <c r="F4" s="85" t="s">
        <v>249</v>
      </c>
      <c r="G4" s="87" t="s">
        <v>250</v>
      </c>
      <c r="H4" s="88"/>
    </row>
    <row r="5" ht="19.5" customHeight="1">
      <c r="A5" s="89" t="s">
        <v>251</v>
      </c>
      <c r="B5" s="90" t="s">
        <v>252</v>
      </c>
      <c r="C5" s="91" t="s">
        <v>247</v>
      </c>
      <c r="D5" s="92">
        <v>85000.0</v>
      </c>
      <c r="E5" s="90" t="s">
        <v>253</v>
      </c>
      <c r="F5" s="91" t="s">
        <v>254</v>
      </c>
      <c r="G5" s="93" t="s">
        <v>250</v>
      </c>
      <c r="H5" s="94"/>
    </row>
    <row r="6" ht="19.5" customHeight="1">
      <c r="A6" s="83" t="s">
        <v>255</v>
      </c>
      <c r="B6" s="84" t="s">
        <v>256</v>
      </c>
      <c r="C6" s="85" t="s">
        <v>247</v>
      </c>
      <c r="D6" s="86">
        <v>120000.0</v>
      </c>
      <c r="E6" s="84" t="s">
        <v>257</v>
      </c>
      <c r="F6" s="85" t="s">
        <v>258</v>
      </c>
      <c r="G6" s="87" t="s">
        <v>250</v>
      </c>
      <c r="H6" s="88"/>
    </row>
    <row r="7" ht="19.5" customHeight="1">
      <c r="A7" s="89" t="s">
        <v>259</v>
      </c>
      <c r="B7" s="90" t="s">
        <v>260</v>
      </c>
      <c r="C7" s="91" t="s">
        <v>247</v>
      </c>
      <c r="D7" s="92">
        <v>95000.0</v>
      </c>
      <c r="E7" s="90" t="s">
        <v>261</v>
      </c>
      <c r="F7" s="91" t="s">
        <v>249</v>
      </c>
      <c r="G7" s="93" t="s">
        <v>250</v>
      </c>
      <c r="H7" s="94"/>
    </row>
    <row r="8" ht="19.5" customHeight="1">
      <c r="A8" s="83" t="s">
        <v>262</v>
      </c>
      <c r="B8" s="84" t="s">
        <v>263</v>
      </c>
      <c r="C8" s="85" t="s">
        <v>264</v>
      </c>
      <c r="D8" s="86">
        <v>12000.0</v>
      </c>
      <c r="E8" s="84" t="s">
        <v>265</v>
      </c>
      <c r="F8" s="85" t="s">
        <v>266</v>
      </c>
      <c r="G8" s="87" t="s">
        <v>250</v>
      </c>
      <c r="H8" s="88"/>
    </row>
    <row r="9" ht="19.5" customHeight="1">
      <c r="A9" s="89" t="s">
        <v>267</v>
      </c>
      <c r="B9" s="90" t="s">
        <v>268</v>
      </c>
      <c r="C9" s="91" t="s">
        <v>269</v>
      </c>
      <c r="D9" s="92">
        <v>8500.0</v>
      </c>
      <c r="E9" s="90" t="s">
        <v>270</v>
      </c>
      <c r="F9" s="91" t="s">
        <v>271</v>
      </c>
      <c r="G9" s="93" t="s">
        <v>250</v>
      </c>
      <c r="H9" s="94"/>
    </row>
    <row r="10" ht="19.5" customHeight="1">
      <c r="A10" s="83" t="s">
        <v>272</v>
      </c>
      <c r="B10" s="84" t="s">
        <v>273</v>
      </c>
      <c r="C10" s="85" t="s">
        <v>274</v>
      </c>
      <c r="D10" s="86">
        <v>4500.0</v>
      </c>
      <c r="E10" s="84" t="s">
        <v>275</v>
      </c>
      <c r="F10" s="85" t="s">
        <v>266</v>
      </c>
      <c r="G10" s="87" t="s">
        <v>250</v>
      </c>
      <c r="H10" s="88"/>
    </row>
    <row r="11" ht="19.5" customHeight="1">
      <c r="A11" s="89" t="s">
        <v>276</v>
      </c>
      <c r="B11" s="94"/>
      <c r="C11" s="95"/>
      <c r="D11" s="92"/>
      <c r="E11" s="94"/>
      <c r="F11" s="95"/>
      <c r="G11" s="95" t="s">
        <v>277</v>
      </c>
      <c r="H11" s="94"/>
    </row>
    <row r="12" ht="19.5" customHeight="1">
      <c r="A12" s="83" t="s">
        <v>278</v>
      </c>
      <c r="B12" s="88"/>
      <c r="C12" s="96"/>
      <c r="D12" s="86"/>
      <c r="E12" s="88"/>
      <c r="F12" s="96"/>
      <c r="G12" s="96" t="s">
        <v>277</v>
      </c>
      <c r="H12" s="88"/>
    </row>
    <row r="13" ht="19.5" customHeight="1">
      <c r="A13" s="89" t="s">
        <v>279</v>
      </c>
      <c r="B13" s="94"/>
      <c r="C13" s="95"/>
      <c r="D13" s="92"/>
      <c r="E13" s="94"/>
      <c r="F13" s="95"/>
      <c r="G13" s="95" t="s">
        <v>277</v>
      </c>
      <c r="H13" s="94"/>
    </row>
    <row r="14" ht="19.5" customHeight="1">
      <c r="A14" s="83" t="s">
        <v>280</v>
      </c>
      <c r="B14" s="88"/>
      <c r="C14" s="96"/>
      <c r="D14" s="86"/>
      <c r="E14" s="88"/>
      <c r="F14" s="96"/>
      <c r="G14" s="96" t="s">
        <v>277</v>
      </c>
      <c r="H14" s="88"/>
    </row>
    <row r="15" ht="19.5" customHeight="1">
      <c r="A15" s="89" t="s">
        <v>281</v>
      </c>
      <c r="B15" s="94"/>
      <c r="C15" s="95"/>
      <c r="D15" s="92"/>
      <c r="E15" s="94"/>
      <c r="F15" s="95"/>
      <c r="G15" s="95" t="s">
        <v>277</v>
      </c>
      <c r="H15" s="94"/>
    </row>
    <row r="16" ht="19.5" customHeight="1">
      <c r="A16" s="83" t="s">
        <v>282</v>
      </c>
      <c r="B16" s="88"/>
      <c r="C16" s="96"/>
      <c r="D16" s="86"/>
      <c r="E16" s="88"/>
      <c r="F16" s="96"/>
      <c r="G16" s="96" t="s">
        <v>277</v>
      </c>
      <c r="H16" s="88"/>
    </row>
    <row r="17" ht="19.5" customHeight="1">
      <c r="A17" s="89" t="s">
        <v>283</v>
      </c>
      <c r="B17" s="94"/>
      <c r="C17" s="95"/>
      <c r="D17" s="92"/>
      <c r="E17" s="94"/>
      <c r="F17" s="95"/>
      <c r="G17" s="95" t="s">
        <v>277</v>
      </c>
      <c r="H17" s="94"/>
    </row>
    <row r="18" ht="19.5" customHeight="1">
      <c r="A18" s="83" t="s">
        <v>284</v>
      </c>
      <c r="B18" s="88"/>
      <c r="C18" s="96"/>
      <c r="D18" s="86"/>
      <c r="E18" s="88"/>
      <c r="F18" s="96"/>
      <c r="G18" s="96" t="s">
        <v>277</v>
      </c>
      <c r="H18" s="88"/>
    </row>
    <row r="19" ht="19.5" customHeight="1">
      <c r="A19" s="89" t="s">
        <v>285</v>
      </c>
      <c r="B19" s="94"/>
      <c r="C19" s="95"/>
      <c r="D19" s="92"/>
      <c r="E19" s="94"/>
      <c r="F19" s="95"/>
      <c r="G19" s="95" t="s">
        <v>277</v>
      </c>
      <c r="H19" s="94"/>
    </row>
    <row r="20" ht="19.5" customHeight="1">
      <c r="A20" s="83" t="s">
        <v>286</v>
      </c>
      <c r="B20" s="88"/>
      <c r="C20" s="96"/>
      <c r="D20" s="86"/>
      <c r="E20" s="88"/>
      <c r="F20" s="96"/>
      <c r="G20" s="96" t="s">
        <v>277</v>
      </c>
      <c r="H20" s="88"/>
    </row>
    <row r="21" ht="19.5" customHeight="1">
      <c r="A21" s="89" t="s">
        <v>287</v>
      </c>
      <c r="B21" s="94"/>
      <c r="C21" s="95"/>
      <c r="D21" s="92"/>
      <c r="E21" s="94"/>
      <c r="F21" s="95"/>
      <c r="G21" s="95" t="s">
        <v>277</v>
      </c>
      <c r="H21" s="94"/>
    </row>
    <row r="22" ht="19.5" customHeight="1">
      <c r="A22" s="83" t="s">
        <v>288</v>
      </c>
      <c r="B22" s="88"/>
      <c r="C22" s="96"/>
      <c r="D22" s="86"/>
      <c r="E22" s="88"/>
      <c r="F22" s="96"/>
      <c r="G22" s="96" t="s">
        <v>277</v>
      </c>
      <c r="H22" s="88"/>
    </row>
    <row r="23" ht="19.5" customHeight="1">
      <c r="A23" s="89" t="s">
        <v>289</v>
      </c>
      <c r="B23" s="94"/>
      <c r="C23" s="95"/>
      <c r="D23" s="92"/>
      <c r="E23" s="94"/>
      <c r="F23" s="95"/>
      <c r="G23" s="95" t="s">
        <v>277</v>
      </c>
      <c r="H23" s="94"/>
    </row>
    <row r="24" ht="19.5" customHeight="1">
      <c r="A24" s="83" t="s">
        <v>290</v>
      </c>
      <c r="B24" s="88"/>
      <c r="C24" s="96"/>
      <c r="D24" s="86"/>
      <c r="E24" s="88"/>
      <c r="F24" s="96"/>
      <c r="G24" s="96" t="s">
        <v>277</v>
      </c>
      <c r="H24" s="88"/>
    </row>
    <row r="25" ht="19.5" customHeight="1">
      <c r="A25" s="89" t="s">
        <v>291</v>
      </c>
      <c r="B25" s="94"/>
      <c r="C25" s="95"/>
      <c r="D25" s="92"/>
      <c r="E25" s="94"/>
      <c r="F25" s="95"/>
      <c r="G25" s="95" t="s">
        <v>277</v>
      </c>
      <c r="H25" s="94"/>
    </row>
    <row r="26" ht="19.5" customHeight="1">
      <c r="A26" s="83" t="s">
        <v>292</v>
      </c>
      <c r="B26" s="88"/>
      <c r="C26" s="96"/>
      <c r="D26" s="86"/>
      <c r="E26" s="88"/>
      <c r="F26" s="96"/>
      <c r="G26" s="96" t="s">
        <v>277</v>
      </c>
      <c r="H26" s="88"/>
    </row>
    <row r="27" ht="19.5" customHeight="1">
      <c r="A27" s="89" t="s">
        <v>293</v>
      </c>
      <c r="B27" s="94"/>
      <c r="C27" s="95"/>
      <c r="D27" s="92"/>
      <c r="E27" s="94"/>
      <c r="F27" s="95"/>
      <c r="G27" s="95" t="s">
        <v>277</v>
      </c>
      <c r="H27" s="94"/>
    </row>
    <row r="28" ht="19.5" customHeight="1">
      <c r="A28" s="83" t="s">
        <v>294</v>
      </c>
      <c r="B28" s="88"/>
      <c r="C28" s="96"/>
      <c r="D28" s="86"/>
      <c r="E28" s="88"/>
      <c r="F28" s="96"/>
      <c r="G28" s="96" t="s">
        <v>277</v>
      </c>
      <c r="H28" s="88"/>
    </row>
    <row r="29" ht="19.5" customHeight="1">
      <c r="A29" s="89" t="s">
        <v>295</v>
      </c>
      <c r="B29" s="94"/>
      <c r="C29" s="95"/>
      <c r="D29" s="92"/>
      <c r="E29" s="94"/>
      <c r="F29" s="95"/>
      <c r="G29" s="95" t="s">
        <v>277</v>
      </c>
      <c r="H29" s="94"/>
    </row>
    <row r="30" ht="19.5" customHeight="1">
      <c r="A30" s="83" t="s">
        <v>296</v>
      </c>
      <c r="B30" s="88"/>
      <c r="C30" s="96"/>
      <c r="D30" s="86"/>
      <c r="E30" s="88"/>
      <c r="F30" s="96"/>
      <c r="G30" s="96" t="s">
        <v>277</v>
      </c>
      <c r="H30" s="88"/>
    </row>
    <row r="31" ht="19.5" customHeight="1">
      <c r="A31" s="89" t="s">
        <v>297</v>
      </c>
      <c r="B31" s="94"/>
      <c r="C31" s="95"/>
      <c r="D31" s="92"/>
      <c r="E31" s="94"/>
      <c r="F31" s="95"/>
      <c r="G31" s="95" t="s">
        <v>277</v>
      </c>
      <c r="H31" s="94"/>
    </row>
    <row r="32" ht="19.5" customHeight="1">
      <c r="A32" s="83" t="s">
        <v>298</v>
      </c>
      <c r="B32" s="88"/>
      <c r="C32" s="96"/>
      <c r="D32" s="86"/>
      <c r="E32" s="88"/>
      <c r="F32" s="96"/>
      <c r="G32" s="96" t="s">
        <v>277</v>
      </c>
      <c r="H32" s="88"/>
    </row>
    <row r="33" ht="19.5" customHeight="1">
      <c r="A33" s="89" t="s">
        <v>299</v>
      </c>
      <c r="B33" s="94"/>
      <c r="C33" s="95"/>
      <c r="D33" s="92"/>
      <c r="E33" s="94"/>
      <c r="F33" s="95"/>
      <c r="G33" s="95" t="s">
        <v>277</v>
      </c>
      <c r="H33" s="94"/>
    </row>
    <row r="34" ht="19.5" customHeight="1">
      <c r="A34" s="83" t="s">
        <v>300</v>
      </c>
      <c r="B34" s="88"/>
      <c r="C34" s="96"/>
      <c r="D34" s="86"/>
      <c r="E34" s="88"/>
      <c r="F34" s="96"/>
      <c r="G34" s="96" t="s">
        <v>277</v>
      </c>
      <c r="H34" s="88"/>
    </row>
    <row r="35" ht="19.5" customHeight="1">
      <c r="A35" s="89" t="s">
        <v>301</v>
      </c>
      <c r="B35" s="94"/>
      <c r="C35" s="95"/>
      <c r="D35" s="92"/>
      <c r="E35" s="94"/>
      <c r="F35" s="95"/>
      <c r="G35" s="95" t="s">
        <v>277</v>
      </c>
      <c r="H35" s="94"/>
    </row>
    <row r="36" ht="19.5" customHeight="1">
      <c r="A36" s="83" t="s">
        <v>302</v>
      </c>
      <c r="B36" s="88"/>
      <c r="C36" s="96"/>
      <c r="D36" s="86"/>
      <c r="E36" s="88"/>
      <c r="F36" s="96"/>
      <c r="G36" s="96" t="s">
        <v>277</v>
      </c>
      <c r="H36" s="88"/>
    </row>
    <row r="37" ht="19.5" customHeight="1">
      <c r="A37" s="89" t="s">
        <v>303</v>
      </c>
      <c r="B37" s="94"/>
      <c r="C37" s="95"/>
      <c r="D37" s="92"/>
      <c r="E37" s="94"/>
      <c r="F37" s="95"/>
      <c r="G37" s="95" t="s">
        <v>277</v>
      </c>
      <c r="H37" s="94"/>
    </row>
    <row r="38" ht="19.5" customHeight="1">
      <c r="A38" s="83" t="s">
        <v>304</v>
      </c>
      <c r="B38" s="88"/>
      <c r="C38" s="96"/>
      <c r="D38" s="86"/>
      <c r="E38" s="88"/>
      <c r="F38" s="96"/>
      <c r="G38" s="96" t="s">
        <v>277</v>
      </c>
      <c r="H38" s="88"/>
    </row>
    <row r="39" ht="19.5" customHeight="1">
      <c r="A39" s="89" t="s">
        <v>305</v>
      </c>
      <c r="B39" s="94"/>
      <c r="C39" s="95"/>
      <c r="D39" s="92"/>
      <c r="E39" s="94"/>
      <c r="F39" s="95"/>
      <c r="G39" s="95" t="s">
        <v>277</v>
      </c>
      <c r="H39" s="94"/>
    </row>
    <row r="40" ht="19.5" customHeight="1">
      <c r="A40" s="83" t="s">
        <v>306</v>
      </c>
      <c r="B40" s="88"/>
      <c r="C40" s="96"/>
      <c r="D40" s="86"/>
      <c r="E40" s="88"/>
      <c r="F40" s="96"/>
      <c r="G40" s="96" t="s">
        <v>277</v>
      </c>
      <c r="H40" s="88"/>
    </row>
    <row r="41" ht="19.5" customHeight="1">
      <c r="A41" s="89" t="s">
        <v>307</v>
      </c>
      <c r="B41" s="94"/>
      <c r="C41" s="95"/>
      <c r="D41" s="92"/>
      <c r="E41" s="94"/>
      <c r="F41" s="95"/>
      <c r="G41" s="95" t="s">
        <v>277</v>
      </c>
      <c r="H41" s="94"/>
    </row>
    <row r="42" ht="19.5" customHeight="1">
      <c r="A42" s="83" t="s">
        <v>308</v>
      </c>
      <c r="B42" s="88"/>
      <c r="C42" s="96"/>
      <c r="D42" s="86"/>
      <c r="E42" s="88"/>
      <c r="F42" s="96"/>
      <c r="G42" s="96" t="s">
        <v>277</v>
      </c>
      <c r="H42" s="88"/>
    </row>
    <row r="43" ht="19.5" customHeight="1">
      <c r="A43" s="89" t="s">
        <v>309</v>
      </c>
      <c r="B43" s="94"/>
      <c r="C43" s="95"/>
      <c r="D43" s="92"/>
      <c r="E43" s="94"/>
      <c r="F43" s="95"/>
      <c r="G43" s="95" t="s">
        <v>277</v>
      </c>
      <c r="H43" s="94"/>
    </row>
    <row r="44" ht="19.5" customHeight="1">
      <c r="A44" s="83" t="s">
        <v>310</v>
      </c>
      <c r="B44" s="88"/>
      <c r="C44" s="96"/>
      <c r="D44" s="86"/>
      <c r="E44" s="88"/>
      <c r="F44" s="96"/>
      <c r="G44" s="96" t="s">
        <v>277</v>
      </c>
      <c r="H44" s="88"/>
    </row>
    <row r="45" ht="19.5" customHeight="1">
      <c r="A45" s="89" t="s">
        <v>311</v>
      </c>
      <c r="B45" s="94"/>
      <c r="C45" s="95"/>
      <c r="D45" s="92"/>
      <c r="E45" s="94"/>
      <c r="F45" s="95"/>
      <c r="G45" s="95" t="s">
        <v>277</v>
      </c>
      <c r="H45" s="94"/>
    </row>
    <row r="46" ht="19.5" customHeight="1">
      <c r="A46" s="83" t="s">
        <v>312</v>
      </c>
      <c r="B46" s="88"/>
      <c r="C46" s="96"/>
      <c r="D46" s="86"/>
      <c r="E46" s="88"/>
      <c r="F46" s="96"/>
      <c r="G46" s="96" t="s">
        <v>277</v>
      </c>
      <c r="H46" s="88"/>
    </row>
    <row r="47" ht="19.5" customHeight="1">
      <c r="A47" s="89" t="s">
        <v>313</v>
      </c>
      <c r="B47" s="94"/>
      <c r="C47" s="95"/>
      <c r="D47" s="92"/>
      <c r="E47" s="94"/>
      <c r="F47" s="95"/>
      <c r="G47" s="95" t="s">
        <v>277</v>
      </c>
      <c r="H47" s="94"/>
    </row>
    <row r="48" ht="19.5" customHeight="1">
      <c r="A48" s="83" t="s">
        <v>314</v>
      </c>
      <c r="B48" s="88"/>
      <c r="C48" s="96"/>
      <c r="D48" s="86"/>
      <c r="E48" s="88"/>
      <c r="F48" s="96"/>
      <c r="G48" s="96" t="s">
        <v>277</v>
      </c>
      <c r="H48" s="88"/>
    </row>
    <row r="49" ht="19.5" customHeight="1">
      <c r="A49" s="89" t="s">
        <v>315</v>
      </c>
      <c r="B49" s="94"/>
      <c r="C49" s="95"/>
      <c r="D49" s="92"/>
      <c r="E49" s="94"/>
      <c r="F49" s="95"/>
      <c r="G49" s="95" t="s">
        <v>277</v>
      </c>
      <c r="H49" s="94"/>
    </row>
    <row r="50" ht="19.5" customHeight="1">
      <c r="A50" s="83" t="s">
        <v>316</v>
      </c>
      <c r="B50" s="88"/>
      <c r="C50" s="96"/>
      <c r="D50" s="86"/>
      <c r="E50" s="88"/>
      <c r="F50" s="96"/>
      <c r="G50" s="96" t="s">
        <v>277</v>
      </c>
      <c r="H50" s="88"/>
    </row>
    <row r="51" ht="19.5" customHeight="1">
      <c r="A51" s="89" t="s">
        <v>317</v>
      </c>
      <c r="B51" s="94"/>
      <c r="C51" s="95"/>
      <c r="D51" s="92"/>
      <c r="E51" s="94"/>
      <c r="F51" s="95"/>
      <c r="G51" s="95" t="s">
        <v>277</v>
      </c>
      <c r="H51" s="94"/>
    </row>
    <row r="52" ht="19.5" customHeight="1">
      <c r="A52" s="83" t="s">
        <v>318</v>
      </c>
      <c r="B52" s="88"/>
      <c r="C52" s="96"/>
      <c r="D52" s="86"/>
      <c r="E52" s="88"/>
      <c r="F52" s="96"/>
      <c r="G52" s="96" t="s">
        <v>277</v>
      </c>
      <c r="H52" s="88"/>
    </row>
    <row r="53" ht="15.75" customHeight="1">
      <c r="A53" s="30"/>
      <c r="B53" s="30"/>
      <c r="C53" s="30"/>
      <c r="D53" s="97"/>
      <c r="E53" s="30"/>
      <c r="F53" s="30"/>
      <c r="G53" s="30"/>
      <c r="H53" s="30"/>
    </row>
    <row r="54" ht="15.75" customHeight="1">
      <c r="A54" s="30"/>
      <c r="B54" s="30"/>
      <c r="C54" s="30"/>
      <c r="D54" s="97"/>
      <c r="E54" s="30"/>
      <c r="F54" s="30"/>
      <c r="G54" s="30"/>
      <c r="H54" s="30"/>
    </row>
    <row r="55" ht="15.75" customHeight="1">
      <c r="A55" s="30"/>
      <c r="B55" s="30"/>
      <c r="C55" s="30"/>
      <c r="D55" s="97"/>
      <c r="E55" s="30"/>
      <c r="F55" s="30"/>
      <c r="G55" s="30"/>
      <c r="H55" s="30"/>
    </row>
    <row r="56" ht="15.75" customHeight="1">
      <c r="A56" s="30"/>
      <c r="B56" s="30"/>
      <c r="C56" s="30"/>
      <c r="D56" s="97"/>
      <c r="E56" s="30"/>
      <c r="F56" s="30"/>
      <c r="G56" s="30"/>
      <c r="H56" s="30"/>
    </row>
    <row r="57" ht="15.75" customHeight="1">
      <c r="A57" s="30"/>
      <c r="B57" s="30"/>
      <c r="C57" s="30"/>
      <c r="D57" s="97"/>
      <c r="E57" s="30"/>
      <c r="F57" s="30"/>
      <c r="G57" s="30"/>
      <c r="H57" s="30"/>
    </row>
    <row r="58" ht="15.75" customHeight="1">
      <c r="A58" s="30"/>
      <c r="B58" s="30"/>
      <c r="C58" s="30"/>
      <c r="D58" s="97"/>
      <c r="E58" s="30"/>
      <c r="F58" s="30"/>
      <c r="G58" s="30"/>
      <c r="H58" s="30"/>
    </row>
    <row r="59" ht="15.75" customHeight="1">
      <c r="A59" s="30"/>
      <c r="B59" s="30"/>
      <c r="C59" s="30"/>
      <c r="D59" s="97"/>
      <c r="E59" s="30"/>
      <c r="F59" s="30"/>
      <c r="G59" s="30"/>
      <c r="H59" s="30"/>
    </row>
    <row r="60" ht="15.75" customHeight="1">
      <c r="A60" s="30"/>
      <c r="B60" s="30"/>
      <c r="C60" s="30"/>
      <c r="D60" s="97"/>
      <c r="E60" s="30"/>
      <c r="F60" s="30"/>
      <c r="G60" s="30"/>
      <c r="H60" s="30"/>
    </row>
    <row r="61" ht="15.75" customHeight="1">
      <c r="A61" s="30"/>
      <c r="B61" s="30"/>
      <c r="C61" s="30"/>
      <c r="D61" s="97"/>
      <c r="E61" s="30"/>
      <c r="F61" s="30"/>
      <c r="G61" s="30"/>
      <c r="H61" s="30"/>
    </row>
    <row r="62" ht="15.75" customHeight="1">
      <c r="A62" s="30"/>
      <c r="B62" s="30"/>
      <c r="C62" s="30"/>
      <c r="D62" s="97"/>
      <c r="E62" s="30"/>
      <c r="F62" s="30"/>
      <c r="G62" s="30"/>
      <c r="H62" s="30"/>
    </row>
    <row r="63" ht="15.75" customHeight="1">
      <c r="A63" s="30"/>
      <c r="B63" s="30"/>
      <c r="C63" s="30"/>
      <c r="D63" s="97"/>
      <c r="E63" s="30"/>
      <c r="F63" s="30"/>
      <c r="G63" s="30"/>
      <c r="H63" s="30"/>
    </row>
    <row r="64" ht="15.75" customHeight="1">
      <c r="A64" s="30"/>
      <c r="B64" s="30"/>
      <c r="C64" s="30"/>
      <c r="D64" s="97"/>
      <c r="E64" s="30"/>
      <c r="F64" s="30"/>
      <c r="G64" s="30"/>
      <c r="H64" s="30"/>
    </row>
    <row r="65" ht="15.75" customHeight="1">
      <c r="A65" s="30"/>
      <c r="B65" s="30"/>
      <c r="C65" s="30"/>
      <c r="D65" s="97"/>
      <c r="E65" s="30"/>
      <c r="F65" s="30"/>
      <c r="G65" s="30"/>
      <c r="H65" s="30"/>
    </row>
    <row r="66" ht="15.75" customHeight="1">
      <c r="A66" s="30"/>
      <c r="B66" s="30"/>
      <c r="C66" s="30"/>
      <c r="D66" s="97"/>
      <c r="E66" s="30"/>
      <c r="F66" s="30"/>
      <c r="G66" s="30"/>
      <c r="H66" s="30"/>
    </row>
    <row r="67" ht="15.75" customHeight="1">
      <c r="A67" s="30"/>
      <c r="B67" s="30"/>
      <c r="C67" s="30"/>
      <c r="D67" s="97"/>
      <c r="E67" s="30"/>
      <c r="F67" s="30"/>
      <c r="G67" s="30"/>
      <c r="H67" s="30"/>
    </row>
    <row r="68" ht="15.75" customHeight="1">
      <c r="A68" s="30"/>
      <c r="B68" s="30"/>
      <c r="C68" s="30"/>
      <c r="D68" s="97"/>
      <c r="E68" s="30"/>
      <c r="F68" s="30"/>
      <c r="G68" s="30"/>
      <c r="H68" s="30"/>
    </row>
    <row r="69" ht="15.75" customHeight="1">
      <c r="A69" s="30"/>
      <c r="B69" s="30"/>
      <c r="C69" s="30"/>
      <c r="D69" s="97"/>
      <c r="E69" s="30"/>
      <c r="F69" s="30"/>
      <c r="G69" s="30"/>
      <c r="H69" s="30"/>
    </row>
    <row r="70" ht="15.75" customHeight="1">
      <c r="A70" s="30"/>
      <c r="B70" s="30"/>
      <c r="C70" s="30"/>
      <c r="D70" s="97"/>
      <c r="E70" s="30"/>
      <c r="F70" s="30"/>
      <c r="G70" s="30"/>
      <c r="H70" s="30"/>
    </row>
    <row r="71" ht="15.75" customHeight="1">
      <c r="A71" s="30"/>
      <c r="B71" s="30"/>
      <c r="C71" s="30"/>
      <c r="D71" s="97"/>
      <c r="E71" s="30"/>
      <c r="F71" s="30"/>
      <c r="G71" s="30"/>
      <c r="H71" s="30"/>
    </row>
    <row r="72" ht="15.75" customHeight="1">
      <c r="A72" s="30"/>
      <c r="B72" s="30"/>
      <c r="C72" s="30"/>
      <c r="D72" s="97"/>
      <c r="E72" s="30"/>
      <c r="F72" s="30"/>
      <c r="G72" s="30"/>
      <c r="H72" s="30"/>
    </row>
    <row r="73" ht="15.75" customHeight="1">
      <c r="A73" s="30"/>
      <c r="B73" s="30"/>
      <c r="C73" s="30"/>
      <c r="D73" s="97"/>
      <c r="E73" s="30"/>
      <c r="F73" s="30"/>
      <c r="G73" s="30"/>
      <c r="H73" s="30"/>
    </row>
    <row r="74" ht="15.75" customHeight="1">
      <c r="A74" s="30"/>
      <c r="B74" s="30"/>
      <c r="C74" s="30"/>
      <c r="D74" s="97"/>
      <c r="E74" s="30"/>
      <c r="F74" s="30"/>
      <c r="G74" s="30"/>
      <c r="H74" s="30"/>
    </row>
    <row r="75" ht="15.75" customHeight="1">
      <c r="A75" s="30"/>
      <c r="B75" s="30"/>
      <c r="C75" s="30"/>
      <c r="D75" s="97"/>
      <c r="E75" s="30"/>
      <c r="F75" s="30"/>
      <c r="G75" s="30"/>
      <c r="H75" s="30"/>
    </row>
    <row r="76" ht="15.75" customHeight="1">
      <c r="A76" s="30"/>
      <c r="B76" s="30"/>
      <c r="C76" s="30"/>
      <c r="D76" s="97"/>
      <c r="E76" s="30"/>
      <c r="F76" s="30"/>
      <c r="G76" s="30"/>
      <c r="H76" s="30"/>
    </row>
    <row r="77" ht="15.75" customHeight="1">
      <c r="A77" s="30"/>
      <c r="B77" s="30"/>
      <c r="C77" s="30"/>
      <c r="D77" s="97"/>
      <c r="E77" s="30"/>
      <c r="F77" s="30"/>
      <c r="G77" s="30"/>
      <c r="H77" s="30"/>
    </row>
    <row r="78" ht="15.75" customHeight="1">
      <c r="A78" s="30"/>
      <c r="B78" s="30"/>
      <c r="C78" s="30"/>
      <c r="D78" s="97"/>
      <c r="E78" s="30"/>
      <c r="F78" s="30"/>
      <c r="G78" s="30"/>
      <c r="H78" s="30"/>
    </row>
    <row r="79" ht="15.75" customHeight="1">
      <c r="A79" s="30"/>
      <c r="B79" s="30"/>
      <c r="C79" s="30"/>
      <c r="D79" s="97"/>
      <c r="E79" s="30"/>
      <c r="F79" s="30"/>
      <c r="G79" s="30"/>
      <c r="H79" s="30"/>
    </row>
    <row r="80" ht="15.75" customHeight="1">
      <c r="A80" s="30"/>
      <c r="B80" s="30"/>
      <c r="C80" s="30"/>
      <c r="D80" s="97"/>
      <c r="E80" s="30"/>
      <c r="F80" s="30"/>
      <c r="G80" s="30"/>
      <c r="H80" s="30"/>
    </row>
    <row r="81" ht="15.75" customHeight="1">
      <c r="A81" s="30"/>
      <c r="B81" s="30"/>
      <c r="C81" s="30"/>
      <c r="D81" s="97"/>
      <c r="E81" s="30"/>
      <c r="F81" s="30"/>
      <c r="G81" s="30"/>
      <c r="H81" s="30"/>
    </row>
    <row r="82" ht="15.75" customHeight="1">
      <c r="A82" s="30"/>
      <c r="B82" s="30"/>
      <c r="C82" s="30"/>
      <c r="D82" s="97"/>
      <c r="E82" s="30"/>
      <c r="F82" s="30"/>
      <c r="G82" s="30"/>
      <c r="H82" s="30"/>
    </row>
    <row r="83" ht="15.75" customHeight="1">
      <c r="A83" s="30"/>
      <c r="B83" s="30"/>
      <c r="C83" s="30"/>
      <c r="D83" s="97"/>
      <c r="E83" s="30"/>
      <c r="F83" s="30"/>
      <c r="G83" s="30"/>
      <c r="H83" s="30"/>
    </row>
    <row r="84" ht="15.75" customHeight="1">
      <c r="A84" s="30"/>
      <c r="B84" s="30"/>
      <c r="C84" s="30"/>
      <c r="D84" s="97"/>
      <c r="E84" s="30"/>
      <c r="F84" s="30"/>
      <c r="G84" s="30"/>
      <c r="H84" s="30"/>
    </row>
    <row r="85" ht="15.75" customHeight="1">
      <c r="A85" s="30"/>
      <c r="B85" s="30"/>
      <c r="C85" s="30"/>
      <c r="D85" s="97"/>
      <c r="E85" s="30"/>
      <c r="F85" s="30"/>
      <c r="G85" s="30"/>
      <c r="H85" s="30"/>
    </row>
    <row r="86" ht="15.75" customHeight="1">
      <c r="A86" s="30"/>
      <c r="B86" s="30"/>
      <c r="C86" s="30"/>
      <c r="D86" s="97"/>
      <c r="E86" s="30"/>
      <c r="F86" s="30"/>
      <c r="G86" s="30"/>
      <c r="H86" s="30"/>
    </row>
    <row r="87" ht="15.75" customHeight="1">
      <c r="A87" s="30"/>
      <c r="B87" s="30"/>
      <c r="C87" s="30"/>
      <c r="D87" s="97"/>
      <c r="E87" s="30"/>
      <c r="F87" s="30"/>
      <c r="G87" s="30"/>
      <c r="H87" s="30"/>
    </row>
    <row r="88" ht="15.75" customHeight="1">
      <c r="A88" s="30"/>
      <c r="B88" s="30"/>
      <c r="C88" s="30"/>
      <c r="D88" s="97"/>
      <c r="E88" s="30"/>
      <c r="F88" s="30"/>
      <c r="G88" s="30"/>
      <c r="H88" s="30"/>
    </row>
    <row r="89" ht="15.75" customHeight="1">
      <c r="A89" s="30"/>
      <c r="B89" s="30"/>
      <c r="C89" s="30"/>
      <c r="D89" s="97"/>
      <c r="E89" s="30"/>
      <c r="F89" s="30"/>
      <c r="G89" s="30"/>
      <c r="H89" s="30"/>
    </row>
    <row r="90" ht="15.75" customHeight="1">
      <c r="A90" s="30"/>
      <c r="B90" s="30"/>
      <c r="C90" s="30"/>
      <c r="D90" s="97"/>
      <c r="E90" s="30"/>
      <c r="F90" s="30"/>
      <c r="G90" s="30"/>
      <c r="H90" s="30"/>
    </row>
    <row r="91" ht="15.75" customHeight="1">
      <c r="A91" s="30"/>
      <c r="B91" s="30"/>
      <c r="C91" s="30"/>
      <c r="D91" s="97"/>
      <c r="E91" s="30"/>
      <c r="F91" s="30"/>
      <c r="G91" s="30"/>
      <c r="H91" s="30"/>
    </row>
    <row r="92" ht="15.75" customHeight="1">
      <c r="A92" s="30"/>
      <c r="B92" s="30"/>
      <c r="C92" s="30"/>
      <c r="D92" s="97"/>
      <c r="E92" s="30"/>
      <c r="F92" s="30"/>
      <c r="G92" s="30"/>
      <c r="H92" s="30"/>
    </row>
    <row r="93" ht="15.75" customHeight="1">
      <c r="A93" s="30"/>
      <c r="B93" s="30"/>
      <c r="C93" s="30"/>
      <c r="D93" s="97"/>
      <c r="E93" s="30"/>
      <c r="F93" s="30"/>
      <c r="G93" s="30"/>
      <c r="H93" s="30"/>
    </row>
    <row r="94" ht="15.75" customHeight="1">
      <c r="A94" s="30"/>
      <c r="B94" s="30"/>
      <c r="C94" s="30"/>
      <c r="D94" s="97"/>
      <c r="E94" s="30"/>
      <c r="F94" s="30"/>
      <c r="G94" s="30"/>
      <c r="H94" s="30"/>
    </row>
    <row r="95" ht="15.75" customHeight="1">
      <c r="A95" s="30"/>
      <c r="B95" s="30"/>
      <c r="C95" s="30"/>
      <c r="D95" s="97"/>
      <c r="E95" s="30"/>
      <c r="F95" s="30"/>
      <c r="G95" s="30"/>
      <c r="H95" s="30"/>
    </row>
    <row r="96" ht="15.75" customHeight="1">
      <c r="A96" s="30"/>
      <c r="B96" s="30"/>
      <c r="C96" s="30"/>
      <c r="D96" s="97"/>
      <c r="E96" s="30"/>
      <c r="F96" s="30"/>
      <c r="G96" s="30"/>
      <c r="H96" s="30"/>
    </row>
    <row r="97" ht="15.75" customHeight="1">
      <c r="A97" s="30"/>
      <c r="B97" s="30"/>
      <c r="C97" s="30"/>
      <c r="D97" s="97"/>
      <c r="E97" s="30"/>
      <c r="F97" s="30"/>
      <c r="G97" s="30"/>
      <c r="H97" s="30"/>
    </row>
    <row r="98" ht="15.75" customHeight="1">
      <c r="A98" s="30"/>
      <c r="B98" s="30"/>
      <c r="C98" s="30"/>
      <c r="D98" s="97"/>
      <c r="E98" s="30"/>
      <c r="F98" s="30"/>
      <c r="G98" s="30"/>
      <c r="H98" s="30"/>
    </row>
    <row r="99" ht="15.75" customHeight="1">
      <c r="A99" s="30"/>
      <c r="B99" s="30"/>
      <c r="C99" s="30"/>
      <c r="D99" s="97"/>
      <c r="E99" s="30"/>
      <c r="F99" s="30"/>
      <c r="G99" s="30"/>
      <c r="H99" s="30"/>
    </row>
    <row r="100" ht="15.75" customHeight="1">
      <c r="A100" s="30"/>
      <c r="B100" s="30"/>
      <c r="C100" s="30"/>
      <c r="D100" s="97"/>
      <c r="E100" s="30"/>
      <c r="F100" s="30"/>
      <c r="G100" s="30"/>
      <c r="H100" s="30"/>
    </row>
    <row r="101" ht="15.75" customHeight="1">
      <c r="A101" s="30"/>
      <c r="B101" s="30"/>
      <c r="C101" s="30"/>
      <c r="D101" s="97"/>
      <c r="E101" s="30"/>
      <c r="F101" s="30"/>
      <c r="G101" s="30"/>
      <c r="H101" s="30"/>
    </row>
    <row r="102" ht="15.75" customHeight="1">
      <c r="A102" s="30"/>
      <c r="B102" s="30"/>
      <c r="C102" s="30"/>
      <c r="D102" s="97"/>
      <c r="E102" s="30"/>
      <c r="F102" s="30"/>
      <c r="G102" s="30"/>
      <c r="H102" s="30"/>
    </row>
    <row r="103" ht="15.75" customHeight="1">
      <c r="A103" s="30"/>
      <c r="B103" s="30"/>
      <c r="C103" s="30"/>
      <c r="D103" s="97"/>
      <c r="E103" s="30"/>
      <c r="F103" s="30"/>
      <c r="G103" s="30"/>
      <c r="H103" s="30"/>
    </row>
    <row r="104" ht="15.75" customHeight="1">
      <c r="A104" s="30"/>
      <c r="B104" s="30"/>
      <c r="C104" s="30"/>
      <c r="D104" s="97"/>
      <c r="E104" s="30"/>
      <c r="F104" s="30"/>
      <c r="G104" s="30"/>
      <c r="H104" s="30"/>
    </row>
    <row r="105" ht="15.75" customHeight="1">
      <c r="A105" s="30"/>
      <c r="B105" s="30"/>
      <c r="C105" s="30"/>
      <c r="D105" s="97"/>
      <c r="E105" s="30"/>
      <c r="F105" s="30"/>
      <c r="G105" s="30"/>
      <c r="H105" s="30"/>
    </row>
    <row r="106" ht="15.75" customHeight="1">
      <c r="A106" s="30"/>
      <c r="B106" s="30"/>
      <c r="C106" s="30"/>
      <c r="D106" s="97"/>
      <c r="E106" s="30"/>
      <c r="F106" s="30"/>
      <c r="G106" s="30"/>
      <c r="H106" s="30"/>
    </row>
    <row r="107" ht="15.75" customHeight="1">
      <c r="A107" s="30"/>
      <c r="B107" s="30"/>
      <c r="C107" s="30"/>
      <c r="D107" s="97"/>
      <c r="E107" s="30"/>
      <c r="F107" s="30"/>
      <c r="G107" s="30"/>
      <c r="H107" s="30"/>
    </row>
    <row r="108" ht="15.75" customHeight="1">
      <c r="A108" s="30"/>
      <c r="B108" s="30"/>
      <c r="C108" s="30"/>
      <c r="D108" s="97"/>
      <c r="E108" s="30"/>
      <c r="F108" s="30"/>
      <c r="G108" s="30"/>
      <c r="H108" s="30"/>
    </row>
    <row r="109" ht="15.75" customHeight="1">
      <c r="A109" s="30"/>
      <c r="B109" s="30"/>
      <c r="C109" s="30"/>
      <c r="D109" s="97"/>
      <c r="E109" s="30"/>
      <c r="F109" s="30"/>
      <c r="G109" s="30"/>
      <c r="H109" s="30"/>
    </row>
    <row r="110" ht="15.75" customHeight="1">
      <c r="A110" s="30"/>
      <c r="B110" s="30"/>
      <c r="C110" s="30"/>
      <c r="D110" s="97"/>
      <c r="E110" s="30"/>
      <c r="F110" s="30"/>
      <c r="G110" s="30"/>
      <c r="H110" s="30"/>
    </row>
    <row r="111" ht="15.75" customHeight="1">
      <c r="A111" s="30"/>
      <c r="B111" s="30"/>
      <c r="C111" s="30"/>
      <c r="D111" s="97"/>
      <c r="E111" s="30"/>
      <c r="F111" s="30"/>
      <c r="G111" s="30"/>
      <c r="H111" s="30"/>
    </row>
    <row r="112" ht="15.75" customHeight="1">
      <c r="A112" s="30"/>
      <c r="B112" s="30"/>
      <c r="C112" s="30"/>
      <c r="D112" s="97"/>
      <c r="E112" s="30"/>
      <c r="F112" s="30"/>
      <c r="G112" s="30"/>
      <c r="H112" s="30"/>
    </row>
    <row r="113" ht="15.75" customHeight="1">
      <c r="A113" s="30"/>
      <c r="B113" s="30"/>
      <c r="C113" s="30"/>
      <c r="D113" s="97"/>
      <c r="E113" s="30"/>
      <c r="F113" s="30"/>
      <c r="G113" s="30"/>
      <c r="H113" s="30"/>
    </row>
    <row r="114" ht="15.75" customHeight="1">
      <c r="A114" s="30"/>
      <c r="B114" s="30"/>
      <c r="C114" s="30"/>
      <c r="D114" s="97"/>
      <c r="E114" s="30"/>
      <c r="F114" s="30"/>
      <c r="G114" s="30"/>
      <c r="H114" s="30"/>
    </row>
    <row r="115" ht="15.75" customHeight="1">
      <c r="A115" s="30"/>
      <c r="B115" s="30"/>
      <c r="C115" s="30"/>
      <c r="D115" s="97"/>
      <c r="E115" s="30"/>
      <c r="F115" s="30"/>
      <c r="G115" s="30"/>
      <c r="H115" s="30"/>
    </row>
    <row r="116" ht="15.75" customHeight="1">
      <c r="A116" s="30"/>
      <c r="B116" s="30"/>
      <c r="C116" s="30"/>
      <c r="D116" s="97"/>
      <c r="E116" s="30"/>
      <c r="F116" s="30"/>
      <c r="G116" s="30"/>
      <c r="H116" s="30"/>
    </row>
    <row r="117" ht="15.75" customHeight="1">
      <c r="A117" s="30"/>
      <c r="B117" s="30"/>
      <c r="C117" s="30"/>
      <c r="D117" s="97"/>
      <c r="E117" s="30"/>
      <c r="F117" s="30"/>
      <c r="G117" s="30"/>
      <c r="H117" s="30"/>
    </row>
    <row r="118" ht="15.75" customHeight="1">
      <c r="A118" s="30"/>
      <c r="B118" s="30"/>
      <c r="C118" s="30"/>
      <c r="D118" s="97"/>
      <c r="E118" s="30"/>
      <c r="F118" s="30"/>
      <c r="G118" s="30"/>
      <c r="H118" s="30"/>
    </row>
    <row r="119" ht="15.75" customHeight="1">
      <c r="A119" s="30"/>
      <c r="B119" s="30"/>
      <c r="C119" s="30"/>
      <c r="D119" s="97"/>
      <c r="E119" s="30"/>
      <c r="F119" s="30"/>
      <c r="G119" s="30"/>
      <c r="H119" s="30"/>
    </row>
    <row r="120" ht="15.75" customHeight="1">
      <c r="A120" s="30"/>
      <c r="B120" s="30"/>
      <c r="C120" s="30"/>
      <c r="D120" s="97"/>
      <c r="E120" s="30"/>
      <c r="F120" s="30"/>
      <c r="G120" s="30"/>
      <c r="H120" s="30"/>
    </row>
    <row r="121" ht="15.75" customHeight="1">
      <c r="A121" s="30"/>
      <c r="B121" s="30"/>
      <c r="C121" s="30"/>
      <c r="D121" s="97"/>
      <c r="E121" s="30"/>
      <c r="F121" s="30"/>
      <c r="G121" s="30"/>
      <c r="H121" s="30"/>
    </row>
    <row r="122" ht="15.75" customHeight="1">
      <c r="A122" s="30"/>
      <c r="B122" s="30"/>
      <c r="C122" s="30"/>
      <c r="D122" s="97"/>
      <c r="E122" s="30"/>
      <c r="F122" s="30"/>
      <c r="G122" s="30"/>
      <c r="H122" s="30"/>
    </row>
    <row r="123" ht="15.75" customHeight="1">
      <c r="A123" s="30"/>
      <c r="B123" s="30"/>
      <c r="C123" s="30"/>
      <c r="D123" s="97"/>
      <c r="E123" s="30"/>
      <c r="F123" s="30"/>
      <c r="G123" s="30"/>
      <c r="H123" s="30"/>
    </row>
    <row r="124" ht="15.75" customHeight="1">
      <c r="A124" s="30"/>
      <c r="B124" s="30"/>
      <c r="C124" s="30"/>
      <c r="D124" s="97"/>
      <c r="E124" s="30"/>
      <c r="F124" s="30"/>
      <c r="G124" s="30"/>
      <c r="H124" s="30"/>
    </row>
    <row r="125" ht="15.75" customHeight="1">
      <c r="A125" s="30"/>
      <c r="B125" s="30"/>
      <c r="C125" s="30"/>
      <c r="D125" s="97"/>
      <c r="E125" s="30"/>
      <c r="F125" s="30"/>
      <c r="G125" s="30"/>
      <c r="H125" s="30"/>
    </row>
    <row r="126" ht="15.75" customHeight="1">
      <c r="A126" s="30"/>
      <c r="B126" s="30"/>
      <c r="C126" s="30"/>
      <c r="D126" s="97"/>
      <c r="E126" s="30"/>
      <c r="F126" s="30"/>
      <c r="G126" s="30"/>
      <c r="H126" s="30"/>
    </row>
    <row r="127" ht="15.75" customHeight="1">
      <c r="A127" s="30"/>
      <c r="B127" s="30"/>
      <c r="C127" s="30"/>
      <c r="D127" s="97"/>
      <c r="E127" s="30"/>
      <c r="F127" s="30"/>
      <c r="G127" s="30"/>
      <c r="H127" s="30"/>
    </row>
    <row r="128" ht="15.75" customHeight="1">
      <c r="A128" s="30"/>
      <c r="B128" s="30"/>
      <c r="C128" s="30"/>
      <c r="D128" s="97"/>
      <c r="E128" s="30"/>
      <c r="F128" s="30"/>
      <c r="G128" s="30"/>
      <c r="H128" s="30"/>
    </row>
    <row r="129" ht="15.75" customHeight="1">
      <c r="A129" s="30"/>
      <c r="B129" s="30"/>
      <c r="C129" s="30"/>
      <c r="D129" s="97"/>
      <c r="E129" s="30"/>
      <c r="F129" s="30"/>
      <c r="G129" s="30"/>
      <c r="H129" s="30"/>
    </row>
    <row r="130" ht="15.75" customHeight="1">
      <c r="A130" s="30"/>
      <c r="B130" s="30"/>
      <c r="C130" s="30"/>
      <c r="D130" s="97"/>
      <c r="E130" s="30"/>
      <c r="F130" s="30"/>
      <c r="G130" s="30"/>
      <c r="H130" s="30"/>
    </row>
    <row r="131" ht="15.75" customHeight="1">
      <c r="A131" s="30"/>
      <c r="B131" s="30"/>
      <c r="C131" s="30"/>
      <c r="D131" s="97"/>
      <c r="E131" s="30"/>
      <c r="F131" s="30"/>
      <c r="G131" s="30"/>
      <c r="H131" s="30"/>
    </row>
    <row r="132" ht="15.75" customHeight="1">
      <c r="A132" s="30"/>
      <c r="B132" s="30"/>
      <c r="C132" s="30"/>
      <c r="D132" s="97"/>
      <c r="E132" s="30"/>
      <c r="F132" s="30"/>
      <c r="G132" s="30"/>
      <c r="H132" s="30"/>
    </row>
    <row r="133" ht="15.75" customHeight="1">
      <c r="A133" s="30"/>
      <c r="B133" s="30"/>
      <c r="C133" s="30"/>
      <c r="D133" s="97"/>
      <c r="E133" s="30"/>
      <c r="F133" s="30"/>
      <c r="G133" s="30"/>
      <c r="H133" s="30"/>
    </row>
    <row r="134" ht="15.75" customHeight="1">
      <c r="A134" s="30"/>
      <c r="B134" s="30"/>
      <c r="C134" s="30"/>
      <c r="D134" s="97"/>
      <c r="E134" s="30"/>
      <c r="F134" s="30"/>
      <c r="G134" s="30"/>
      <c r="H134" s="30"/>
    </row>
    <row r="135" ht="15.75" customHeight="1">
      <c r="A135" s="30"/>
      <c r="B135" s="30"/>
      <c r="C135" s="30"/>
      <c r="D135" s="97"/>
      <c r="E135" s="30"/>
      <c r="F135" s="30"/>
      <c r="G135" s="30"/>
      <c r="H135" s="30"/>
    </row>
    <row r="136" ht="15.75" customHeight="1">
      <c r="A136" s="30"/>
      <c r="B136" s="30"/>
      <c r="C136" s="30"/>
      <c r="D136" s="97"/>
      <c r="E136" s="30"/>
      <c r="F136" s="30"/>
      <c r="G136" s="30"/>
      <c r="H136" s="30"/>
    </row>
    <row r="137" ht="15.75" customHeight="1">
      <c r="A137" s="30"/>
      <c r="B137" s="30"/>
      <c r="C137" s="30"/>
      <c r="D137" s="97"/>
      <c r="E137" s="30"/>
      <c r="F137" s="30"/>
      <c r="G137" s="30"/>
      <c r="H137" s="30"/>
    </row>
    <row r="138" ht="15.75" customHeight="1">
      <c r="A138" s="30"/>
      <c r="B138" s="30"/>
      <c r="C138" s="30"/>
      <c r="D138" s="97"/>
      <c r="E138" s="30"/>
      <c r="F138" s="30"/>
      <c r="G138" s="30"/>
      <c r="H138" s="30"/>
    </row>
    <row r="139" ht="15.75" customHeight="1">
      <c r="A139" s="30"/>
      <c r="B139" s="30"/>
      <c r="C139" s="30"/>
      <c r="D139" s="97"/>
      <c r="E139" s="30"/>
      <c r="F139" s="30"/>
      <c r="G139" s="30"/>
      <c r="H139" s="30"/>
    </row>
    <row r="140" ht="15.75" customHeight="1">
      <c r="A140" s="30"/>
      <c r="B140" s="30"/>
      <c r="C140" s="30"/>
      <c r="D140" s="97"/>
      <c r="E140" s="30"/>
      <c r="F140" s="30"/>
      <c r="G140" s="30"/>
      <c r="H140" s="30"/>
    </row>
    <row r="141" ht="15.75" customHeight="1">
      <c r="A141" s="30"/>
      <c r="B141" s="30"/>
      <c r="C141" s="30"/>
      <c r="D141" s="97"/>
      <c r="E141" s="30"/>
      <c r="F141" s="30"/>
      <c r="G141" s="30"/>
      <c r="H141" s="30"/>
    </row>
    <row r="142" ht="15.75" customHeight="1">
      <c r="A142" s="30"/>
      <c r="B142" s="30"/>
      <c r="C142" s="30"/>
      <c r="D142" s="97"/>
      <c r="E142" s="30"/>
      <c r="F142" s="30"/>
      <c r="G142" s="30"/>
      <c r="H142" s="30"/>
    </row>
    <row r="143" ht="15.75" customHeight="1">
      <c r="A143" s="30"/>
      <c r="B143" s="30"/>
      <c r="C143" s="30"/>
      <c r="D143" s="97"/>
      <c r="E143" s="30"/>
      <c r="F143" s="30"/>
      <c r="G143" s="30"/>
      <c r="H143" s="30"/>
    </row>
    <row r="144" ht="15.75" customHeight="1">
      <c r="A144" s="30"/>
      <c r="B144" s="30"/>
      <c r="C144" s="30"/>
      <c r="D144" s="97"/>
      <c r="E144" s="30"/>
      <c r="F144" s="30"/>
      <c r="G144" s="30"/>
      <c r="H144" s="30"/>
    </row>
    <row r="145" ht="15.75" customHeight="1">
      <c r="A145" s="30"/>
      <c r="B145" s="30"/>
      <c r="C145" s="30"/>
      <c r="D145" s="97"/>
      <c r="E145" s="30"/>
      <c r="F145" s="30"/>
      <c r="G145" s="30"/>
      <c r="H145" s="30"/>
    </row>
    <row r="146" ht="15.75" customHeight="1">
      <c r="A146" s="30"/>
      <c r="B146" s="30"/>
      <c r="C146" s="30"/>
      <c r="D146" s="97"/>
      <c r="E146" s="30"/>
      <c r="F146" s="30"/>
      <c r="G146" s="30"/>
      <c r="H146" s="30"/>
    </row>
    <row r="147" ht="15.75" customHeight="1">
      <c r="A147" s="30"/>
      <c r="B147" s="30"/>
      <c r="C147" s="30"/>
      <c r="D147" s="97"/>
      <c r="E147" s="30"/>
      <c r="F147" s="30"/>
      <c r="G147" s="30"/>
      <c r="H147" s="30"/>
    </row>
    <row r="148" ht="15.75" customHeight="1">
      <c r="A148" s="30"/>
      <c r="B148" s="30"/>
      <c r="C148" s="30"/>
      <c r="D148" s="97"/>
      <c r="E148" s="30"/>
      <c r="F148" s="30"/>
      <c r="G148" s="30"/>
      <c r="H148" s="30"/>
    </row>
    <row r="149" ht="15.75" customHeight="1">
      <c r="A149" s="30"/>
      <c r="B149" s="30"/>
      <c r="C149" s="30"/>
      <c r="D149" s="97"/>
      <c r="E149" s="30"/>
      <c r="F149" s="30"/>
      <c r="G149" s="30"/>
      <c r="H149" s="30"/>
    </row>
    <row r="150" ht="15.75" customHeight="1">
      <c r="A150" s="30"/>
      <c r="B150" s="30"/>
      <c r="C150" s="30"/>
      <c r="D150" s="97"/>
      <c r="E150" s="30"/>
      <c r="F150" s="30"/>
      <c r="G150" s="30"/>
      <c r="H150" s="30"/>
    </row>
    <row r="151" ht="15.75" customHeight="1">
      <c r="A151" s="30"/>
      <c r="B151" s="30"/>
      <c r="C151" s="30"/>
      <c r="D151" s="97"/>
      <c r="E151" s="30"/>
      <c r="F151" s="30"/>
      <c r="G151" s="30"/>
      <c r="H151" s="30"/>
    </row>
    <row r="152" ht="15.75" customHeight="1">
      <c r="A152" s="30"/>
      <c r="B152" s="30"/>
      <c r="C152" s="30"/>
      <c r="D152" s="97"/>
      <c r="E152" s="30"/>
      <c r="F152" s="30"/>
      <c r="G152" s="30"/>
      <c r="H152" s="30"/>
    </row>
    <row r="153" ht="15.75" customHeight="1">
      <c r="A153" s="30"/>
      <c r="B153" s="30"/>
      <c r="C153" s="30"/>
      <c r="D153" s="97"/>
      <c r="E153" s="30"/>
      <c r="F153" s="30"/>
      <c r="G153" s="30"/>
      <c r="H153" s="30"/>
    </row>
    <row r="154" ht="15.75" customHeight="1">
      <c r="A154" s="30"/>
      <c r="B154" s="30"/>
      <c r="C154" s="30"/>
      <c r="D154" s="97"/>
      <c r="E154" s="30"/>
      <c r="F154" s="30"/>
      <c r="G154" s="30"/>
      <c r="H154" s="30"/>
    </row>
    <row r="155" ht="15.75" customHeight="1">
      <c r="A155" s="30"/>
      <c r="B155" s="30"/>
      <c r="C155" s="30"/>
      <c r="D155" s="97"/>
      <c r="E155" s="30"/>
      <c r="F155" s="30"/>
      <c r="G155" s="30"/>
      <c r="H155" s="30"/>
    </row>
    <row r="156" ht="15.75" customHeight="1">
      <c r="A156" s="30"/>
      <c r="B156" s="30"/>
      <c r="C156" s="30"/>
      <c r="D156" s="97"/>
      <c r="E156" s="30"/>
      <c r="F156" s="30"/>
      <c r="G156" s="30"/>
      <c r="H156" s="30"/>
    </row>
    <row r="157" ht="15.75" customHeight="1">
      <c r="A157" s="30"/>
      <c r="B157" s="30"/>
      <c r="C157" s="30"/>
      <c r="D157" s="97"/>
      <c r="E157" s="30"/>
      <c r="F157" s="30"/>
      <c r="G157" s="30"/>
      <c r="H157" s="30"/>
    </row>
    <row r="158" ht="15.75" customHeight="1">
      <c r="A158" s="30"/>
      <c r="B158" s="30"/>
      <c r="C158" s="30"/>
      <c r="D158" s="97"/>
      <c r="E158" s="30"/>
      <c r="F158" s="30"/>
      <c r="G158" s="30"/>
      <c r="H158" s="30"/>
    </row>
    <row r="159" ht="15.75" customHeight="1">
      <c r="A159" s="30"/>
      <c r="B159" s="30"/>
      <c r="C159" s="30"/>
      <c r="D159" s="97"/>
      <c r="E159" s="30"/>
      <c r="F159" s="30"/>
      <c r="G159" s="30"/>
      <c r="H159" s="30"/>
    </row>
    <row r="160" ht="15.75" customHeight="1">
      <c r="A160" s="30"/>
      <c r="B160" s="30"/>
      <c r="C160" s="30"/>
      <c r="D160" s="97"/>
      <c r="E160" s="30"/>
      <c r="F160" s="30"/>
      <c r="G160" s="30"/>
      <c r="H160" s="30"/>
    </row>
    <row r="161" ht="15.75" customHeight="1">
      <c r="A161" s="30"/>
      <c r="B161" s="30"/>
      <c r="C161" s="30"/>
      <c r="D161" s="97"/>
      <c r="E161" s="30"/>
      <c r="F161" s="30"/>
      <c r="G161" s="30"/>
      <c r="H161" s="30"/>
    </row>
    <row r="162" ht="15.75" customHeight="1">
      <c r="A162" s="30"/>
      <c r="B162" s="30"/>
      <c r="C162" s="30"/>
      <c r="D162" s="97"/>
      <c r="E162" s="30"/>
      <c r="F162" s="30"/>
      <c r="G162" s="30"/>
      <c r="H162" s="30"/>
    </row>
    <row r="163" ht="15.75" customHeight="1">
      <c r="A163" s="30"/>
      <c r="B163" s="30"/>
      <c r="C163" s="30"/>
      <c r="D163" s="97"/>
      <c r="E163" s="30"/>
      <c r="F163" s="30"/>
      <c r="G163" s="30"/>
      <c r="H163" s="30"/>
    </row>
    <row r="164" ht="15.75" customHeight="1">
      <c r="A164" s="30"/>
      <c r="B164" s="30"/>
      <c r="C164" s="30"/>
      <c r="D164" s="97"/>
      <c r="E164" s="30"/>
      <c r="F164" s="30"/>
      <c r="G164" s="30"/>
      <c r="H164" s="30"/>
    </row>
    <row r="165" ht="15.75" customHeight="1">
      <c r="A165" s="30"/>
      <c r="B165" s="30"/>
      <c r="C165" s="30"/>
      <c r="D165" s="97"/>
      <c r="E165" s="30"/>
      <c r="F165" s="30"/>
      <c r="G165" s="30"/>
      <c r="H165" s="30"/>
    </row>
    <row r="166" ht="15.75" customHeight="1">
      <c r="A166" s="30"/>
      <c r="B166" s="30"/>
      <c r="C166" s="30"/>
      <c r="D166" s="97"/>
      <c r="E166" s="30"/>
      <c r="F166" s="30"/>
      <c r="G166" s="30"/>
      <c r="H166" s="30"/>
    </row>
    <row r="167" ht="15.75" customHeight="1">
      <c r="A167" s="30"/>
      <c r="B167" s="30"/>
      <c r="C167" s="30"/>
      <c r="D167" s="97"/>
      <c r="E167" s="30"/>
      <c r="F167" s="30"/>
      <c r="G167" s="30"/>
      <c r="H167" s="30"/>
    </row>
    <row r="168" ht="15.75" customHeight="1">
      <c r="A168" s="30"/>
      <c r="B168" s="30"/>
      <c r="C168" s="30"/>
      <c r="D168" s="97"/>
      <c r="E168" s="30"/>
      <c r="F168" s="30"/>
      <c r="G168" s="30"/>
      <c r="H168" s="30"/>
    </row>
    <row r="169" ht="15.75" customHeight="1">
      <c r="A169" s="30"/>
      <c r="B169" s="30"/>
      <c r="C169" s="30"/>
      <c r="D169" s="97"/>
      <c r="E169" s="30"/>
      <c r="F169" s="30"/>
      <c r="G169" s="30"/>
      <c r="H169" s="30"/>
    </row>
    <row r="170" ht="15.75" customHeight="1">
      <c r="A170" s="30"/>
      <c r="B170" s="30"/>
      <c r="C170" s="30"/>
      <c r="D170" s="97"/>
      <c r="E170" s="30"/>
      <c r="F170" s="30"/>
      <c r="G170" s="30"/>
      <c r="H170" s="30"/>
    </row>
    <row r="171" ht="15.75" customHeight="1">
      <c r="A171" s="30"/>
      <c r="B171" s="30"/>
      <c r="C171" s="30"/>
      <c r="D171" s="97"/>
      <c r="E171" s="30"/>
      <c r="F171" s="30"/>
      <c r="G171" s="30"/>
      <c r="H171" s="30"/>
    </row>
    <row r="172" ht="15.75" customHeight="1">
      <c r="A172" s="30"/>
      <c r="B172" s="30"/>
      <c r="C172" s="30"/>
      <c r="D172" s="97"/>
      <c r="E172" s="30"/>
      <c r="F172" s="30"/>
      <c r="G172" s="30"/>
      <c r="H172" s="30"/>
    </row>
    <row r="173" ht="15.75" customHeight="1">
      <c r="A173" s="30"/>
      <c r="B173" s="30"/>
      <c r="C173" s="30"/>
      <c r="D173" s="97"/>
      <c r="E173" s="30"/>
      <c r="F173" s="30"/>
      <c r="G173" s="30"/>
      <c r="H173" s="30"/>
    </row>
    <row r="174" ht="15.75" customHeight="1">
      <c r="A174" s="30"/>
      <c r="B174" s="30"/>
      <c r="C174" s="30"/>
      <c r="D174" s="97"/>
      <c r="E174" s="30"/>
      <c r="F174" s="30"/>
      <c r="G174" s="30"/>
      <c r="H174" s="30"/>
    </row>
    <row r="175" ht="15.75" customHeight="1">
      <c r="A175" s="30"/>
      <c r="B175" s="30"/>
      <c r="C175" s="30"/>
      <c r="D175" s="97"/>
      <c r="E175" s="30"/>
      <c r="F175" s="30"/>
      <c r="G175" s="30"/>
      <c r="H175" s="30"/>
    </row>
    <row r="176" ht="15.75" customHeight="1">
      <c r="A176" s="30"/>
      <c r="B176" s="30"/>
      <c r="C176" s="30"/>
      <c r="D176" s="97"/>
      <c r="E176" s="30"/>
      <c r="F176" s="30"/>
      <c r="G176" s="30"/>
      <c r="H176" s="30"/>
    </row>
    <row r="177" ht="15.75" customHeight="1">
      <c r="A177" s="30"/>
      <c r="B177" s="30"/>
      <c r="C177" s="30"/>
      <c r="D177" s="97"/>
      <c r="E177" s="30"/>
      <c r="F177" s="30"/>
      <c r="G177" s="30"/>
      <c r="H177" s="30"/>
    </row>
    <row r="178" ht="15.75" customHeight="1">
      <c r="A178" s="30"/>
      <c r="B178" s="30"/>
      <c r="C178" s="30"/>
      <c r="D178" s="97"/>
      <c r="E178" s="30"/>
      <c r="F178" s="30"/>
      <c r="G178" s="30"/>
      <c r="H178" s="30"/>
    </row>
    <row r="179" ht="15.75" customHeight="1">
      <c r="A179" s="30"/>
      <c r="B179" s="30"/>
      <c r="C179" s="30"/>
      <c r="D179" s="97"/>
      <c r="E179" s="30"/>
      <c r="F179" s="30"/>
      <c r="G179" s="30"/>
      <c r="H179" s="30"/>
    </row>
    <row r="180" ht="15.75" customHeight="1">
      <c r="A180" s="30"/>
      <c r="B180" s="30"/>
      <c r="C180" s="30"/>
      <c r="D180" s="97"/>
      <c r="E180" s="30"/>
      <c r="F180" s="30"/>
      <c r="G180" s="30"/>
      <c r="H180" s="30"/>
    </row>
    <row r="181" ht="15.75" customHeight="1">
      <c r="A181" s="30"/>
      <c r="B181" s="30"/>
      <c r="C181" s="30"/>
      <c r="D181" s="97"/>
      <c r="E181" s="30"/>
      <c r="F181" s="30"/>
      <c r="G181" s="30"/>
      <c r="H181" s="30"/>
    </row>
    <row r="182" ht="15.75" customHeight="1">
      <c r="A182" s="30"/>
      <c r="B182" s="30"/>
      <c r="C182" s="30"/>
      <c r="D182" s="97"/>
      <c r="E182" s="30"/>
      <c r="F182" s="30"/>
      <c r="G182" s="30"/>
      <c r="H182" s="30"/>
    </row>
    <row r="183" ht="15.75" customHeight="1">
      <c r="A183" s="30"/>
      <c r="B183" s="30"/>
      <c r="C183" s="30"/>
      <c r="D183" s="97"/>
      <c r="E183" s="30"/>
      <c r="F183" s="30"/>
      <c r="G183" s="30"/>
      <c r="H183" s="30"/>
    </row>
    <row r="184" ht="15.75" customHeight="1">
      <c r="A184" s="30"/>
      <c r="B184" s="30"/>
      <c r="C184" s="30"/>
      <c r="D184" s="97"/>
      <c r="E184" s="30"/>
      <c r="F184" s="30"/>
      <c r="G184" s="30"/>
      <c r="H184" s="30"/>
    </row>
    <row r="185" ht="15.75" customHeight="1">
      <c r="A185" s="30"/>
      <c r="B185" s="30"/>
      <c r="C185" s="30"/>
      <c r="D185" s="97"/>
      <c r="E185" s="30"/>
      <c r="F185" s="30"/>
      <c r="G185" s="30"/>
      <c r="H185" s="30"/>
    </row>
    <row r="186" ht="15.75" customHeight="1">
      <c r="A186" s="30"/>
      <c r="B186" s="30"/>
      <c r="C186" s="30"/>
      <c r="D186" s="97"/>
      <c r="E186" s="30"/>
      <c r="F186" s="30"/>
      <c r="G186" s="30"/>
      <c r="H186" s="30"/>
    </row>
    <row r="187" ht="15.75" customHeight="1">
      <c r="A187" s="30"/>
      <c r="B187" s="30"/>
      <c r="C187" s="30"/>
      <c r="D187" s="97"/>
      <c r="E187" s="30"/>
      <c r="F187" s="30"/>
      <c r="G187" s="30"/>
      <c r="H187" s="30"/>
    </row>
    <row r="188" ht="15.75" customHeight="1">
      <c r="A188" s="30"/>
      <c r="B188" s="30"/>
      <c r="C188" s="30"/>
      <c r="D188" s="97"/>
      <c r="E188" s="30"/>
      <c r="F188" s="30"/>
      <c r="G188" s="30"/>
      <c r="H188" s="30"/>
    </row>
    <row r="189" ht="15.75" customHeight="1">
      <c r="A189" s="30"/>
      <c r="B189" s="30"/>
      <c r="C189" s="30"/>
      <c r="D189" s="97"/>
      <c r="E189" s="30"/>
      <c r="F189" s="30"/>
      <c r="G189" s="30"/>
      <c r="H189" s="30"/>
    </row>
    <row r="190" ht="15.75" customHeight="1">
      <c r="A190" s="30"/>
      <c r="B190" s="30"/>
      <c r="C190" s="30"/>
      <c r="D190" s="97"/>
      <c r="E190" s="30"/>
      <c r="F190" s="30"/>
      <c r="G190" s="30"/>
      <c r="H190" s="30"/>
    </row>
    <row r="191" ht="15.75" customHeight="1">
      <c r="A191" s="30"/>
      <c r="B191" s="30"/>
      <c r="C191" s="30"/>
      <c r="D191" s="97"/>
      <c r="E191" s="30"/>
      <c r="F191" s="30"/>
      <c r="G191" s="30"/>
      <c r="H191" s="30"/>
    </row>
    <row r="192" ht="15.75" customHeight="1">
      <c r="A192" s="30"/>
      <c r="B192" s="30"/>
      <c r="C192" s="30"/>
      <c r="D192" s="97"/>
      <c r="E192" s="30"/>
      <c r="F192" s="30"/>
      <c r="G192" s="30"/>
      <c r="H192" s="30"/>
    </row>
    <row r="193" ht="15.75" customHeight="1">
      <c r="A193" s="30"/>
      <c r="B193" s="30"/>
      <c r="C193" s="30"/>
      <c r="D193" s="97"/>
      <c r="E193" s="30"/>
      <c r="F193" s="30"/>
      <c r="G193" s="30"/>
      <c r="H193" s="30"/>
    </row>
    <row r="194" ht="15.75" customHeight="1">
      <c r="A194" s="30"/>
      <c r="B194" s="30"/>
      <c r="C194" s="30"/>
      <c r="D194" s="97"/>
      <c r="E194" s="30"/>
      <c r="F194" s="30"/>
      <c r="G194" s="30"/>
      <c r="H194" s="30"/>
    </row>
    <row r="195" ht="15.75" customHeight="1">
      <c r="A195" s="30"/>
      <c r="B195" s="30"/>
      <c r="C195" s="30"/>
      <c r="D195" s="97"/>
      <c r="E195" s="30"/>
      <c r="F195" s="30"/>
      <c r="G195" s="30"/>
      <c r="H195" s="30"/>
    </row>
    <row r="196" ht="15.75" customHeight="1">
      <c r="A196" s="30"/>
      <c r="B196" s="30"/>
      <c r="C196" s="30"/>
      <c r="D196" s="97"/>
      <c r="E196" s="30"/>
      <c r="F196" s="30"/>
      <c r="G196" s="30"/>
      <c r="H196" s="30"/>
    </row>
    <row r="197" ht="15.75" customHeight="1">
      <c r="A197" s="30"/>
      <c r="B197" s="30"/>
      <c r="C197" s="30"/>
      <c r="D197" s="97"/>
      <c r="E197" s="30"/>
      <c r="F197" s="30"/>
      <c r="G197" s="30"/>
      <c r="H197" s="30"/>
    </row>
    <row r="198" ht="15.75" customHeight="1">
      <c r="A198" s="30"/>
      <c r="B198" s="30"/>
      <c r="C198" s="30"/>
      <c r="D198" s="97"/>
      <c r="E198" s="30"/>
      <c r="F198" s="30"/>
      <c r="G198" s="30"/>
      <c r="H198" s="30"/>
    </row>
    <row r="199" ht="15.75" customHeight="1">
      <c r="A199" s="30"/>
      <c r="B199" s="30"/>
      <c r="C199" s="30"/>
      <c r="D199" s="97"/>
      <c r="E199" s="30"/>
      <c r="F199" s="30"/>
      <c r="G199" s="30"/>
      <c r="H199" s="30"/>
    </row>
    <row r="200" ht="15.75" customHeight="1">
      <c r="A200" s="30"/>
      <c r="B200" s="30"/>
      <c r="C200" s="30"/>
      <c r="D200" s="97"/>
      <c r="E200" s="30"/>
      <c r="F200" s="30"/>
      <c r="G200" s="30"/>
      <c r="H200" s="30"/>
    </row>
    <row r="201" ht="15.75" customHeight="1">
      <c r="A201" s="30"/>
      <c r="B201" s="30"/>
      <c r="C201" s="30"/>
      <c r="D201" s="97"/>
      <c r="E201" s="30"/>
      <c r="F201" s="30"/>
      <c r="G201" s="30"/>
      <c r="H201" s="30"/>
    </row>
    <row r="202" ht="15.75" customHeight="1">
      <c r="A202" s="30"/>
      <c r="B202" s="30"/>
      <c r="C202" s="30"/>
      <c r="D202" s="97"/>
      <c r="E202" s="30"/>
      <c r="F202" s="30"/>
      <c r="G202" s="30"/>
      <c r="H202" s="30"/>
    </row>
    <row r="203" ht="15.75" customHeight="1">
      <c r="A203" s="30"/>
      <c r="B203" s="30"/>
      <c r="C203" s="30"/>
      <c r="D203" s="97"/>
      <c r="E203" s="30"/>
      <c r="F203" s="30"/>
      <c r="G203" s="30"/>
      <c r="H203" s="30"/>
    </row>
    <row r="204" ht="15.75" customHeight="1">
      <c r="A204" s="30"/>
      <c r="B204" s="30"/>
      <c r="C204" s="30"/>
      <c r="D204" s="97"/>
      <c r="E204" s="30"/>
      <c r="F204" s="30"/>
      <c r="G204" s="30"/>
      <c r="H204" s="30"/>
    </row>
    <row r="205" ht="15.75" customHeight="1">
      <c r="A205" s="30"/>
      <c r="B205" s="30"/>
      <c r="C205" s="30"/>
      <c r="D205" s="97"/>
      <c r="E205" s="30"/>
      <c r="F205" s="30"/>
      <c r="G205" s="30"/>
      <c r="H205" s="30"/>
    </row>
    <row r="206" ht="15.75" customHeight="1">
      <c r="A206" s="30"/>
      <c r="B206" s="30"/>
      <c r="C206" s="30"/>
      <c r="D206" s="97"/>
      <c r="E206" s="30"/>
      <c r="F206" s="30"/>
      <c r="G206" s="30"/>
      <c r="H206" s="30"/>
    </row>
    <row r="207" ht="15.75" customHeight="1">
      <c r="A207" s="30"/>
      <c r="B207" s="30"/>
      <c r="C207" s="30"/>
      <c r="D207" s="97"/>
      <c r="E207" s="30"/>
      <c r="F207" s="30"/>
      <c r="G207" s="30"/>
      <c r="H207" s="30"/>
    </row>
    <row r="208" ht="15.75" customHeight="1">
      <c r="A208" s="30"/>
      <c r="B208" s="30"/>
      <c r="C208" s="30"/>
      <c r="D208" s="97"/>
      <c r="E208" s="30"/>
      <c r="F208" s="30"/>
      <c r="G208" s="30"/>
      <c r="H208" s="30"/>
    </row>
    <row r="209" ht="15.75" customHeight="1">
      <c r="A209" s="30"/>
      <c r="B209" s="30"/>
      <c r="C209" s="30"/>
      <c r="D209" s="97"/>
      <c r="E209" s="30"/>
      <c r="F209" s="30"/>
      <c r="G209" s="30"/>
      <c r="H209" s="30"/>
    </row>
    <row r="210" ht="15.75" customHeight="1">
      <c r="A210" s="30"/>
      <c r="B210" s="30"/>
      <c r="C210" s="30"/>
      <c r="D210" s="97"/>
      <c r="E210" s="30"/>
      <c r="F210" s="30"/>
      <c r="G210" s="30"/>
      <c r="H210" s="30"/>
    </row>
    <row r="211" ht="15.75" customHeight="1">
      <c r="A211" s="30"/>
      <c r="B211" s="30"/>
      <c r="C211" s="30"/>
      <c r="D211" s="97"/>
      <c r="E211" s="30"/>
      <c r="F211" s="30"/>
      <c r="G211" s="30"/>
      <c r="H211" s="30"/>
    </row>
    <row r="212" ht="15.75" customHeight="1">
      <c r="A212" s="30"/>
      <c r="B212" s="30"/>
      <c r="C212" s="30"/>
      <c r="D212" s="97"/>
      <c r="E212" s="30"/>
      <c r="F212" s="30"/>
      <c r="G212" s="30"/>
      <c r="H212" s="30"/>
    </row>
    <row r="213" ht="15.75" customHeight="1">
      <c r="A213" s="30"/>
      <c r="B213" s="30"/>
      <c r="C213" s="30"/>
      <c r="D213" s="97"/>
      <c r="E213" s="30"/>
      <c r="F213" s="30"/>
      <c r="G213" s="30"/>
      <c r="H213" s="30"/>
    </row>
    <row r="214" ht="15.75" customHeight="1">
      <c r="A214" s="30"/>
      <c r="B214" s="30"/>
      <c r="C214" s="30"/>
      <c r="D214" s="97"/>
      <c r="E214" s="30"/>
      <c r="F214" s="30"/>
      <c r="G214" s="30"/>
      <c r="H214" s="30"/>
    </row>
    <row r="215" ht="15.75" customHeight="1">
      <c r="A215" s="30"/>
      <c r="B215" s="30"/>
      <c r="C215" s="30"/>
      <c r="D215" s="97"/>
      <c r="E215" s="30"/>
      <c r="F215" s="30"/>
      <c r="G215" s="30"/>
      <c r="H215" s="30"/>
    </row>
    <row r="216" ht="15.75" customHeight="1">
      <c r="A216" s="30"/>
      <c r="B216" s="30"/>
      <c r="C216" s="30"/>
      <c r="D216" s="97"/>
      <c r="E216" s="30"/>
      <c r="F216" s="30"/>
      <c r="G216" s="30"/>
      <c r="H216" s="30"/>
    </row>
    <row r="217" ht="15.75" customHeight="1">
      <c r="A217" s="30"/>
      <c r="B217" s="30"/>
      <c r="C217" s="30"/>
      <c r="D217" s="97"/>
      <c r="E217" s="30"/>
      <c r="F217" s="30"/>
      <c r="G217" s="30"/>
      <c r="H217" s="30"/>
    </row>
    <row r="218" ht="15.75" customHeight="1">
      <c r="A218" s="30"/>
      <c r="B218" s="30"/>
      <c r="C218" s="30"/>
      <c r="D218" s="97"/>
      <c r="E218" s="30"/>
      <c r="F218" s="30"/>
      <c r="G218" s="30"/>
      <c r="H218" s="30"/>
    </row>
    <row r="219" ht="15.75" customHeight="1">
      <c r="A219" s="30"/>
      <c r="B219" s="30"/>
      <c r="C219" s="30"/>
      <c r="D219" s="97"/>
      <c r="E219" s="30"/>
      <c r="F219" s="30"/>
      <c r="G219" s="30"/>
      <c r="H219" s="30"/>
    </row>
    <row r="220" ht="15.75" customHeight="1">
      <c r="A220" s="30"/>
      <c r="B220" s="30"/>
      <c r="C220" s="30"/>
      <c r="D220" s="97"/>
      <c r="E220" s="30"/>
      <c r="F220" s="30"/>
      <c r="G220" s="30"/>
      <c r="H220" s="30"/>
    </row>
    <row r="221" ht="15.75" customHeight="1">
      <c r="A221" s="30"/>
      <c r="B221" s="30"/>
      <c r="C221" s="30"/>
      <c r="D221" s="97"/>
      <c r="E221" s="30"/>
      <c r="F221" s="30"/>
      <c r="G221" s="30"/>
      <c r="H221" s="30"/>
    </row>
    <row r="222" ht="15.75" customHeight="1">
      <c r="A222" s="30"/>
      <c r="B222" s="30"/>
      <c r="C222" s="30"/>
      <c r="D222" s="97"/>
      <c r="E222" s="30"/>
      <c r="F222" s="30"/>
      <c r="G222" s="30"/>
      <c r="H222" s="30"/>
    </row>
    <row r="223" ht="15.75" customHeight="1">
      <c r="A223" s="30"/>
      <c r="B223" s="30"/>
      <c r="C223" s="30"/>
      <c r="D223" s="97"/>
      <c r="E223" s="30"/>
      <c r="F223" s="30"/>
      <c r="G223" s="30"/>
      <c r="H223" s="30"/>
    </row>
    <row r="224" ht="15.75" customHeight="1">
      <c r="A224" s="30"/>
      <c r="B224" s="30"/>
      <c r="C224" s="30"/>
      <c r="D224" s="97"/>
      <c r="E224" s="30"/>
      <c r="F224" s="30"/>
      <c r="G224" s="30"/>
      <c r="H224" s="30"/>
    </row>
    <row r="225" ht="15.75" customHeight="1">
      <c r="A225" s="30"/>
      <c r="B225" s="30"/>
      <c r="C225" s="30"/>
      <c r="D225" s="97"/>
      <c r="E225" s="30"/>
      <c r="F225" s="30"/>
      <c r="G225" s="30"/>
      <c r="H225" s="30"/>
    </row>
    <row r="226" ht="15.75" customHeight="1">
      <c r="A226" s="30"/>
      <c r="B226" s="30"/>
      <c r="C226" s="30"/>
      <c r="D226" s="97"/>
      <c r="E226" s="30"/>
      <c r="F226" s="30"/>
      <c r="G226" s="30"/>
      <c r="H226" s="30"/>
    </row>
    <row r="227" ht="15.75" customHeight="1">
      <c r="A227" s="30"/>
      <c r="B227" s="30"/>
      <c r="C227" s="30"/>
      <c r="D227" s="97"/>
      <c r="E227" s="30"/>
      <c r="F227" s="30"/>
      <c r="G227" s="30"/>
      <c r="H227" s="30"/>
    </row>
    <row r="228" ht="15.75" customHeight="1">
      <c r="A228" s="30"/>
      <c r="B228" s="30"/>
      <c r="C228" s="30"/>
      <c r="D228" s="97"/>
      <c r="E228" s="30"/>
      <c r="F228" s="30"/>
      <c r="G228" s="30"/>
      <c r="H228" s="30"/>
    </row>
    <row r="229" ht="15.75" customHeight="1">
      <c r="A229" s="30"/>
      <c r="B229" s="30"/>
      <c r="C229" s="30"/>
      <c r="D229" s="97"/>
      <c r="E229" s="30"/>
      <c r="F229" s="30"/>
      <c r="G229" s="30"/>
      <c r="H229" s="30"/>
    </row>
    <row r="230" ht="15.75" customHeight="1">
      <c r="A230" s="30"/>
      <c r="B230" s="30"/>
      <c r="C230" s="30"/>
      <c r="D230" s="97"/>
      <c r="E230" s="30"/>
      <c r="F230" s="30"/>
      <c r="G230" s="30"/>
      <c r="H230" s="30"/>
    </row>
    <row r="231" ht="15.75" customHeight="1">
      <c r="A231" s="30"/>
      <c r="B231" s="30"/>
      <c r="C231" s="30"/>
      <c r="D231" s="97"/>
      <c r="E231" s="30"/>
      <c r="F231" s="30"/>
      <c r="G231" s="30"/>
      <c r="H231" s="30"/>
    </row>
    <row r="232" ht="15.75" customHeight="1">
      <c r="A232" s="30"/>
      <c r="B232" s="30"/>
      <c r="C232" s="30"/>
      <c r="D232" s="97"/>
      <c r="E232" s="30"/>
      <c r="F232" s="30"/>
      <c r="G232" s="30"/>
      <c r="H232" s="30"/>
    </row>
    <row r="233" ht="15.75" customHeight="1">
      <c r="A233" s="30"/>
      <c r="B233" s="30"/>
      <c r="C233" s="30"/>
      <c r="D233" s="97"/>
      <c r="E233" s="30"/>
      <c r="F233" s="30"/>
      <c r="G233" s="30"/>
      <c r="H233" s="30"/>
    </row>
    <row r="234" ht="15.75" customHeight="1">
      <c r="A234" s="30"/>
      <c r="B234" s="30"/>
      <c r="C234" s="30"/>
      <c r="D234" s="97"/>
      <c r="E234" s="30"/>
      <c r="F234" s="30"/>
      <c r="G234" s="30"/>
      <c r="H234" s="30"/>
    </row>
    <row r="235" ht="15.75" customHeight="1">
      <c r="A235" s="30"/>
      <c r="B235" s="30"/>
      <c r="C235" s="30"/>
      <c r="D235" s="97"/>
      <c r="E235" s="30"/>
      <c r="F235" s="30"/>
      <c r="G235" s="30"/>
      <c r="H235" s="30"/>
    </row>
    <row r="236" ht="15.75" customHeight="1">
      <c r="A236" s="30"/>
      <c r="B236" s="30"/>
      <c r="C236" s="30"/>
      <c r="D236" s="97"/>
      <c r="E236" s="30"/>
      <c r="F236" s="30"/>
      <c r="G236" s="30"/>
      <c r="H236" s="30"/>
    </row>
    <row r="237" ht="15.75" customHeight="1">
      <c r="A237" s="30"/>
      <c r="B237" s="30"/>
      <c r="C237" s="30"/>
      <c r="D237" s="97"/>
      <c r="E237" s="30"/>
      <c r="F237" s="30"/>
      <c r="G237" s="30"/>
      <c r="H237" s="30"/>
    </row>
    <row r="238" ht="15.75" customHeight="1">
      <c r="A238" s="30"/>
      <c r="B238" s="30"/>
      <c r="C238" s="30"/>
      <c r="D238" s="97"/>
      <c r="E238" s="30"/>
      <c r="F238" s="30"/>
      <c r="G238" s="30"/>
      <c r="H238" s="30"/>
    </row>
    <row r="239" ht="15.75" customHeight="1">
      <c r="A239" s="30"/>
      <c r="B239" s="30"/>
      <c r="C239" s="30"/>
      <c r="D239" s="97"/>
      <c r="E239" s="30"/>
      <c r="F239" s="30"/>
      <c r="G239" s="30"/>
      <c r="H239" s="30"/>
    </row>
    <row r="240" ht="15.75" customHeight="1">
      <c r="A240" s="30"/>
      <c r="B240" s="30"/>
      <c r="C240" s="30"/>
      <c r="D240" s="97"/>
      <c r="E240" s="30"/>
      <c r="F240" s="30"/>
      <c r="G240" s="30"/>
      <c r="H240" s="30"/>
    </row>
    <row r="241" ht="15.75" customHeight="1">
      <c r="A241" s="30"/>
      <c r="B241" s="30"/>
      <c r="C241" s="30"/>
      <c r="D241" s="97"/>
      <c r="E241" s="30"/>
      <c r="F241" s="30"/>
      <c r="G241" s="30"/>
      <c r="H241" s="30"/>
    </row>
    <row r="242" ht="15.75" customHeight="1">
      <c r="A242" s="30"/>
      <c r="B242" s="30"/>
      <c r="C242" s="30"/>
      <c r="D242" s="97"/>
      <c r="E242" s="30"/>
      <c r="F242" s="30"/>
      <c r="G242" s="30"/>
      <c r="H242" s="30"/>
    </row>
    <row r="243" ht="15.75" customHeight="1">
      <c r="A243" s="30"/>
      <c r="B243" s="30"/>
      <c r="C243" s="30"/>
      <c r="D243" s="97"/>
      <c r="E243" s="30"/>
      <c r="F243" s="30"/>
      <c r="G243" s="30"/>
      <c r="H243" s="30"/>
    </row>
    <row r="244" ht="15.75" customHeight="1">
      <c r="A244" s="30"/>
      <c r="B244" s="30"/>
      <c r="C244" s="30"/>
      <c r="D244" s="97"/>
      <c r="E244" s="30"/>
      <c r="F244" s="30"/>
      <c r="G244" s="30"/>
      <c r="H244" s="30"/>
    </row>
    <row r="245" ht="15.75" customHeight="1">
      <c r="A245" s="30"/>
      <c r="B245" s="30"/>
      <c r="C245" s="30"/>
      <c r="D245" s="97"/>
      <c r="E245" s="30"/>
      <c r="F245" s="30"/>
      <c r="G245" s="30"/>
      <c r="H245" s="30"/>
    </row>
    <row r="246" ht="15.75" customHeight="1">
      <c r="A246" s="30"/>
      <c r="B246" s="30"/>
      <c r="C246" s="30"/>
      <c r="D246" s="97"/>
      <c r="E246" s="30"/>
      <c r="F246" s="30"/>
      <c r="G246" s="30"/>
      <c r="H246" s="30"/>
    </row>
    <row r="247" ht="15.75" customHeight="1">
      <c r="A247" s="30"/>
      <c r="B247" s="30"/>
      <c r="C247" s="30"/>
      <c r="D247" s="97"/>
      <c r="E247" s="30"/>
      <c r="F247" s="30"/>
      <c r="G247" s="30"/>
      <c r="H247" s="30"/>
    </row>
    <row r="248" ht="15.75" customHeight="1">
      <c r="A248" s="30"/>
      <c r="B248" s="30"/>
      <c r="C248" s="30"/>
      <c r="D248" s="97"/>
      <c r="E248" s="30"/>
      <c r="F248" s="30"/>
      <c r="G248" s="30"/>
      <c r="H248" s="30"/>
    </row>
    <row r="249" ht="15.75" customHeight="1">
      <c r="A249" s="30"/>
      <c r="B249" s="30"/>
      <c r="C249" s="30"/>
      <c r="D249" s="97"/>
      <c r="E249" s="30"/>
      <c r="F249" s="30"/>
      <c r="G249" s="30"/>
      <c r="H249" s="30"/>
    </row>
    <row r="250" ht="15.75" customHeight="1">
      <c r="A250" s="30"/>
      <c r="B250" s="30"/>
      <c r="C250" s="30"/>
      <c r="D250" s="97"/>
      <c r="E250" s="30"/>
      <c r="F250" s="30"/>
      <c r="G250" s="30"/>
      <c r="H250" s="30"/>
    </row>
    <row r="251" ht="15.75" customHeight="1">
      <c r="A251" s="30"/>
      <c r="B251" s="30"/>
      <c r="C251" s="30"/>
      <c r="D251" s="97"/>
      <c r="E251" s="30"/>
      <c r="F251" s="30"/>
      <c r="G251" s="30"/>
      <c r="H251" s="30"/>
    </row>
    <row r="252" ht="15.75" customHeight="1">
      <c r="A252" s="30"/>
      <c r="B252" s="30"/>
      <c r="C252" s="30"/>
      <c r="D252" s="97"/>
      <c r="E252" s="30"/>
      <c r="F252" s="30"/>
      <c r="G252" s="30"/>
      <c r="H252" s="30"/>
    </row>
    <row r="253" ht="15.75" customHeight="1">
      <c r="A253" s="30"/>
      <c r="B253" s="30"/>
      <c r="C253" s="30"/>
      <c r="D253" s="97"/>
      <c r="E253" s="30"/>
      <c r="F253" s="30"/>
      <c r="G253" s="30"/>
      <c r="H253" s="30"/>
    </row>
    <row r="254" ht="15.75" customHeight="1">
      <c r="A254" s="30"/>
      <c r="B254" s="30"/>
      <c r="C254" s="30"/>
      <c r="D254" s="97"/>
      <c r="E254" s="30"/>
      <c r="F254" s="30"/>
      <c r="G254" s="30"/>
      <c r="H254" s="30"/>
    </row>
    <row r="255" ht="15.75" customHeight="1">
      <c r="A255" s="30"/>
      <c r="B255" s="30"/>
      <c r="C255" s="30"/>
      <c r="D255" s="97"/>
      <c r="E255" s="30"/>
      <c r="F255" s="30"/>
      <c r="G255" s="30"/>
      <c r="H255" s="30"/>
    </row>
    <row r="256" ht="15.75" customHeight="1">
      <c r="A256" s="30"/>
      <c r="B256" s="30"/>
      <c r="C256" s="30"/>
      <c r="D256" s="97"/>
      <c r="E256" s="30"/>
      <c r="F256" s="30"/>
      <c r="G256" s="30"/>
      <c r="H256" s="30"/>
    </row>
    <row r="257" ht="15.75" customHeight="1">
      <c r="A257" s="30"/>
      <c r="B257" s="30"/>
      <c r="C257" s="30"/>
      <c r="D257" s="97"/>
      <c r="E257" s="30"/>
      <c r="F257" s="30"/>
      <c r="G257" s="30"/>
      <c r="H257" s="30"/>
    </row>
    <row r="258" ht="15.75" customHeight="1">
      <c r="A258" s="30"/>
      <c r="B258" s="30"/>
      <c r="C258" s="30"/>
      <c r="D258" s="97"/>
      <c r="E258" s="30"/>
      <c r="F258" s="30"/>
      <c r="G258" s="30"/>
      <c r="H258" s="30"/>
    </row>
    <row r="259" ht="15.75" customHeight="1">
      <c r="A259" s="30"/>
      <c r="B259" s="30"/>
      <c r="C259" s="30"/>
      <c r="D259" s="97"/>
      <c r="E259" s="30"/>
      <c r="F259" s="30"/>
      <c r="G259" s="30"/>
      <c r="H259" s="30"/>
    </row>
    <row r="260" ht="15.75" customHeight="1">
      <c r="A260" s="30"/>
      <c r="B260" s="30"/>
      <c r="C260" s="30"/>
      <c r="D260" s="97"/>
      <c r="E260" s="30"/>
      <c r="F260" s="30"/>
      <c r="G260" s="30"/>
      <c r="H260" s="30"/>
    </row>
    <row r="261" ht="15.75" customHeight="1">
      <c r="A261" s="30"/>
      <c r="B261" s="30"/>
      <c r="C261" s="30"/>
      <c r="D261" s="97"/>
      <c r="E261" s="30"/>
      <c r="F261" s="30"/>
      <c r="G261" s="30"/>
      <c r="H261" s="30"/>
    </row>
    <row r="262" ht="15.75" customHeight="1">
      <c r="A262" s="30"/>
      <c r="B262" s="30"/>
      <c r="C262" s="30"/>
      <c r="D262" s="97"/>
      <c r="E262" s="30"/>
      <c r="F262" s="30"/>
      <c r="G262" s="30"/>
      <c r="H262" s="30"/>
    </row>
    <row r="263" ht="15.75" customHeight="1">
      <c r="A263" s="30"/>
      <c r="B263" s="30"/>
      <c r="C263" s="30"/>
      <c r="D263" s="97"/>
      <c r="E263" s="30"/>
      <c r="F263" s="30"/>
      <c r="G263" s="30"/>
      <c r="H263" s="30"/>
    </row>
    <row r="264" ht="15.75" customHeight="1">
      <c r="A264" s="30"/>
      <c r="B264" s="30"/>
      <c r="C264" s="30"/>
      <c r="D264" s="97"/>
      <c r="E264" s="30"/>
      <c r="F264" s="30"/>
      <c r="G264" s="30"/>
      <c r="H264" s="30"/>
    </row>
    <row r="265" ht="15.75" customHeight="1">
      <c r="A265" s="30"/>
      <c r="B265" s="30"/>
      <c r="C265" s="30"/>
      <c r="D265" s="97"/>
      <c r="E265" s="30"/>
      <c r="F265" s="30"/>
      <c r="G265" s="30"/>
      <c r="H265" s="30"/>
    </row>
    <row r="266" ht="15.75" customHeight="1">
      <c r="A266" s="30"/>
      <c r="B266" s="30"/>
      <c r="C266" s="30"/>
      <c r="D266" s="97"/>
      <c r="E266" s="30"/>
      <c r="F266" s="30"/>
      <c r="G266" s="30"/>
      <c r="H266" s="30"/>
    </row>
    <row r="267" ht="15.75" customHeight="1">
      <c r="A267" s="30"/>
      <c r="B267" s="30"/>
      <c r="C267" s="30"/>
      <c r="D267" s="97"/>
      <c r="E267" s="30"/>
      <c r="F267" s="30"/>
      <c r="G267" s="30"/>
      <c r="H267" s="30"/>
    </row>
    <row r="268" ht="15.75" customHeight="1">
      <c r="A268" s="30"/>
      <c r="B268" s="30"/>
      <c r="C268" s="30"/>
      <c r="D268" s="97"/>
      <c r="E268" s="30"/>
      <c r="F268" s="30"/>
      <c r="G268" s="30"/>
      <c r="H268" s="30"/>
    </row>
    <row r="269" ht="15.75" customHeight="1">
      <c r="A269" s="30"/>
      <c r="B269" s="30"/>
      <c r="C269" s="30"/>
      <c r="D269" s="97"/>
      <c r="E269" s="30"/>
      <c r="F269" s="30"/>
      <c r="G269" s="30"/>
      <c r="H269" s="30"/>
    </row>
    <row r="270" ht="15.75" customHeight="1">
      <c r="A270" s="30"/>
      <c r="B270" s="30"/>
      <c r="C270" s="30"/>
      <c r="D270" s="97"/>
      <c r="E270" s="30"/>
      <c r="F270" s="30"/>
      <c r="G270" s="30"/>
      <c r="H270" s="30"/>
    </row>
    <row r="271" ht="15.75" customHeight="1">
      <c r="A271" s="30"/>
      <c r="B271" s="30"/>
      <c r="C271" s="30"/>
      <c r="D271" s="97"/>
      <c r="E271" s="30"/>
      <c r="F271" s="30"/>
      <c r="G271" s="30"/>
      <c r="H271" s="30"/>
    </row>
    <row r="272" ht="15.75" customHeight="1">
      <c r="A272" s="30"/>
      <c r="B272" s="30"/>
      <c r="C272" s="30"/>
      <c r="D272" s="97"/>
      <c r="E272" s="30"/>
      <c r="F272" s="30"/>
      <c r="G272" s="30"/>
      <c r="H272" s="30"/>
    </row>
    <row r="273" ht="15.75" customHeight="1">
      <c r="A273" s="30"/>
      <c r="B273" s="30"/>
      <c r="C273" s="30"/>
      <c r="D273" s="97"/>
      <c r="E273" s="30"/>
      <c r="F273" s="30"/>
      <c r="G273" s="30"/>
      <c r="H273" s="30"/>
    </row>
    <row r="274" ht="15.75" customHeight="1">
      <c r="A274" s="30"/>
      <c r="B274" s="30"/>
      <c r="C274" s="30"/>
      <c r="D274" s="97"/>
      <c r="E274" s="30"/>
      <c r="F274" s="30"/>
      <c r="G274" s="30"/>
      <c r="H274" s="30"/>
    </row>
    <row r="275" ht="15.75" customHeight="1">
      <c r="A275" s="30"/>
      <c r="B275" s="30"/>
      <c r="C275" s="30"/>
      <c r="D275" s="97"/>
      <c r="E275" s="30"/>
      <c r="F275" s="30"/>
      <c r="G275" s="30"/>
      <c r="H275" s="30"/>
    </row>
    <row r="276" ht="15.75" customHeight="1">
      <c r="A276" s="30"/>
      <c r="B276" s="30"/>
      <c r="C276" s="30"/>
      <c r="D276" s="97"/>
      <c r="E276" s="30"/>
      <c r="F276" s="30"/>
      <c r="G276" s="30"/>
      <c r="H276" s="30"/>
    </row>
    <row r="277" ht="15.75" customHeight="1">
      <c r="A277" s="30"/>
      <c r="B277" s="30"/>
      <c r="C277" s="30"/>
      <c r="D277" s="97"/>
      <c r="E277" s="30"/>
      <c r="F277" s="30"/>
      <c r="G277" s="30"/>
      <c r="H277" s="30"/>
    </row>
    <row r="278" ht="15.75" customHeight="1">
      <c r="A278" s="30"/>
      <c r="B278" s="30"/>
      <c r="C278" s="30"/>
      <c r="D278" s="97"/>
      <c r="E278" s="30"/>
      <c r="F278" s="30"/>
      <c r="G278" s="30"/>
      <c r="H278" s="30"/>
    </row>
    <row r="279" ht="15.75" customHeight="1">
      <c r="A279" s="30"/>
      <c r="B279" s="30"/>
      <c r="C279" s="30"/>
      <c r="D279" s="97"/>
      <c r="E279" s="30"/>
      <c r="F279" s="30"/>
      <c r="G279" s="30"/>
      <c r="H279" s="30"/>
    </row>
    <row r="280" ht="15.75" customHeight="1">
      <c r="A280" s="30"/>
      <c r="B280" s="30"/>
      <c r="C280" s="30"/>
      <c r="D280" s="97"/>
      <c r="E280" s="30"/>
      <c r="F280" s="30"/>
      <c r="G280" s="30"/>
      <c r="H280" s="30"/>
    </row>
    <row r="281" ht="15.75" customHeight="1">
      <c r="A281" s="30"/>
      <c r="B281" s="30"/>
      <c r="C281" s="30"/>
      <c r="D281" s="97"/>
      <c r="E281" s="30"/>
      <c r="F281" s="30"/>
      <c r="G281" s="30"/>
      <c r="H281" s="30"/>
    </row>
    <row r="282" ht="15.75" customHeight="1">
      <c r="A282" s="30"/>
      <c r="B282" s="30"/>
      <c r="C282" s="30"/>
      <c r="D282" s="97"/>
      <c r="E282" s="30"/>
      <c r="F282" s="30"/>
      <c r="G282" s="30"/>
      <c r="H282" s="30"/>
    </row>
    <row r="283" ht="15.75" customHeight="1">
      <c r="A283" s="30"/>
      <c r="B283" s="30"/>
      <c r="C283" s="30"/>
      <c r="D283" s="97"/>
      <c r="E283" s="30"/>
      <c r="F283" s="30"/>
      <c r="G283" s="30"/>
      <c r="H283" s="30"/>
    </row>
    <row r="284" ht="15.75" customHeight="1">
      <c r="A284" s="30"/>
      <c r="B284" s="30"/>
      <c r="C284" s="30"/>
      <c r="D284" s="97"/>
      <c r="E284" s="30"/>
      <c r="F284" s="30"/>
      <c r="G284" s="30"/>
      <c r="H284" s="30"/>
    </row>
    <row r="285" ht="15.75" customHeight="1">
      <c r="A285" s="30"/>
      <c r="B285" s="30"/>
      <c r="C285" s="30"/>
      <c r="D285" s="97"/>
      <c r="E285" s="30"/>
      <c r="F285" s="30"/>
      <c r="G285" s="30"/>
      <c r="H285" s="30"/>
    </row>
    <row r="286" ht="15.75" customHeight="1">
      <c r="A286" s="30"/>
      <c r="B286" s="30"/>
      <c r="C286" s="30"/>
      <c r="D286" s="97"/>
      <c r="E286" s="30"/>
      <c r="F286" s="30"/>
      <c r="G286" s="30"/>
      <c r="H286" s="30"/>
    </row>
    <row r="287" ht="15.75" customHeight="1">
      <c r="A287" s="30"/>
      <c r="B287" s="30"/>
      <c r="C287" s="30"/>
      <c r="D287" s="97"/>
      <c r="E287" s="30"/>
      <c r="F287" s="30"/>
      <c r="G287" s="30"/>
      <c r="H287" s="30"/>
    </row>
    <row r="288" ht="15.75" customHeight="1">
      <c r="A288" s="30"/>
      <c r="B288" s="30"/>
      <c r="C288" s="30"/>
      <c r="D288" s="97"/>
      <c r="E288" s="30"/>
      <c r="F288" s="30"/>
      <c r="G288" s="30"/>
      <c r="H288" s="30"/>
    </row>
    <row r="289" ht="15.75" customHeight="1">
      <c r="A289" s="30"/>
      <c r="B289" s="30"/>
      <c r="C289" s="30"/>
      <c r="D289" s="97"/>
      <c r="E289" s="30"/>
      <c r="F289" s="30"/>
      <c r="G289" s="30"/>
      <c r="H289" s="30"/>
    </row>
    <row r="290" ht="15.75" customHeight="1">
      <c r="A290" s="30"/>
      <c r="B290" s="30"/>
      <c r="C290" s="30"/>
      <c r="D290" s="97"/>
      <c r="E290" s="30"/>
      <c r="F290" s="30"/>
      <c r="G290" s="30"/>
      <c r="H290" s="30"/>
    </row>
    <row r="291" ht="15.75" customHeight="1">
      <c r="A291" s="30"/>
      <c r="B291" s="30"/>
      <c r="C291" s="30"/>
      <c r="D291" s="97"/>
      <c r="E291" s="30"/>
      <c r="F291" s="30"/>
      <c r="G291" s="30"/>
      <c r="H291" s="30"/>
    </row>
    <row r="292" ht="15.75" customHeight="1">
      <c r="A292" s="30"/>
      <c r="B292" s="30"/>
      <c r="C292" s="30"/>
      <c r="D292" s="97"/>
      <c r="E292" s="30"/>
      <c r="F292" s="30"/>
      <c r="G292" s="30"/>
      <c r="H292" s="30"/>
    </row>
    <row r="293" ht="15.75" customHeight="1">
      <c r="A293" s="30"/>
      <c r="B293" s="30"/>
      <c r="C293" s="30"/>
      <c r="D293" s="97"/>
      <c r="E293" s="30"/>
      <c r="F293" s="30"/>
      <c r="G293" s="30"/>
      <c r="H293" s="30"/>
    </row>
    <row r="294" ht="15.75" customHeight="1">
      <c r="A294" s="30"/>
      <c r="B294" s="30"/>
      <c r="C294" s="30"/>
      <c r="D294" s="97"/>
      <c r="E294" s="30"/>
      <c r="F294" s="30"/>
      <c r="G294" s="30"/>
      <c r="H294" s="30"/>
    </row>
    <row r="295" ht="15.75" customHeight="1">
      <c r="A295" s="30"/>
      <c r="B295" s="30"/>
      <c r="C295" s="30"/>
      <c r="D295" s="97"/>
      <c r="E295" s="30"/>
      <c r="F295" s="30"/>
      <c r="G295" s="30"/>
      <c r="H295" s="30"/>
    </row>
    <row r="296" ht="15.75" customHeight="1">
      <c r="A296" s="30"/>
      <c r="B296" s="30"/>
      <c r="C296" s="30"/>
      <c r="D296" s="97"/>
      <c r="E296" s="30"/>
      <c r="F296" s="30"/>
      <c r="G296" s="30"/>
      <c r="H296" s="30"/>
    </row>
    <row r="297" ht="15.75" customHeight="1">
      <c r="A297" s="30"/>
      <c r="B297" s="30"/>
      <c r="C297" s="30"/>
      <c r="D297" s="97"/>
      <c r="E297" s="30"/>
      <c r="F297" s="30"/>
      <c r="G297" s="30"/>
      <c r="H297" s="30"/>
    </row>
    <row r="298" ht="15.75" customHeight="1">
      <c r="A298" s="30"/>
      <c r="B298" s="30"/>
      <c r="C298" s="30"/>
      <c r="D298" s="97"/>
      <c r="E298" s="30"/>
      <c r="F298" s="30"/>
      <c r="G298" s="30"/>
      <c r="H298" s="30"/>
    </row>
    <row r="299" ht="15.75" customHeight="1">
      <c r="A299" s="30"/>
      <c r="B299" s="30"/>
      <c r="C299" s="30"/>
      <c r="D299" s="97"/>
      <c r="E299" s="30"/>
      <c r="F299" s="30"/>
      <c r="G299" s="30"/>
      <c r="H299" s="30"/>
    </row>
    <row r="300" ht="15.75" customHeight="1">
      <c r="A300" s="30"/>
      <c r="B300" s="30"/>
      <c r="C300" s="30"/>
      <c r="D300" s="97"/>
      <c r="E300" s="30"/>
      <c r="F300" s="30"/>
      <c r="G300" s="30"/>
      <c r="H300" s="30"/>
    </row>
    <row r="301" ht="15.75" customHeight="1">
      <c r="A301" s="30"/>
      <c r="B301" s="30"/>
      <c r="C301" s="30"/>
      <c r="D301" s="97"/>
      <c r="E301" s="30"/>
      <c r="F301" s="30"/>
      <c r="G301" s="30"/>
      <c r="H301" s="30"/>
    </row>
    <row r="302" ht="15.75" customHeight="1">
      <c r="A302" s="30"/>
      <c r="B302" s="30"/>
      <c r="C302" s="30"/>
      <c r="D302" s="97"/>
      <c r="E302" s="30"/>
      <c r="F302" s="30"/>
      <c r="G302" s="30"/>
      <c r="H302" s="30"/>
    </row>
    <row r="303" ht="15.75" customHeight="1">
      <c r="A303" s="30"/>
      <c r="B303" s="30"/>
      <c r="C303" s="30"/>
      <c r="D303" s="97"/>
      <c r="E303" s="30"/>
      <c r="F303" s="30"/>
      <c r="G303" s="30"/>
      <c r="H303" s="30"/>
    </row>
    <row r="304" ht="15.75" customHeight="1">
      <c r="A304" s="30"/>
      <c r="B304" s="30"/>
      <c r="C304" s="30"/>
      <c r="D304" s="97"/>
      <c r="E304" s="30"/>
      <c r="F304" s="30"/>
      <c r="G304" s="30"/>
      <c r="H304" s="30"/>
    </row>
    <row r="305" ht="15.75" customHeight="1">
      <c r="A305" s="30"/>
      <c r="B305" s="30"/>
      <c r="C305" s="30"/>
      <c r="D305" s="97"/>
      <c r="E305" s="30"/>
      <c r="F305" s="30"/>
      <c r="G305" s="30"/>
      <c r="H305" s="30"/>
    </row>
    <row r="306" ht="15.75" customHeight="1">
      <c r="A306" s="30"/>
      <c r="B306" s="30"/>
      <c r="C306" s="30"/>
      <c r="D306" s="97"/>
      <c r="E306" s="30"/>
      <c r="F306" s="30"/>
      <c r="G306" s="30"/>
      <c r="H306" s="30"/>
    </row>
    <row r="307" ht="15.75" customHeight="1">
      <c r="A307" s="30"/>
      <c r="B307" s="30"/>
      <c r="C307" s="30"/>
      <c r="D307" s="97"/>
      <c r="E307" s="30"/>
      <c r="F307" s="30"/>
      <c r="G307" s="30"/>
      <c r="H307" s="30"/>
    </row>
    <row r="308" ht="15.75" customHeight="1">
      <c r="A308" s="30"/>
      <c r="B308" s="30"/>
      <c r="C308" s="30"/>
      <c r="D308" s="97"/>
      <c r="E308" s="30"/>
      <c r="F308" s="30"/>
      <c r="G308" s="30"/>
      <c r="H308" s="30"/>
    </row>
    <row r="309" ht="15.75" customHeight="1">
      <c r="A309" s="30"/>
      <c r="B309" s="30"/>
      <c r="C309" s="30"/>
      <c r="D309" s="97"/>
      <c r="E309" s="30"/>
      <c r="F309" s="30"/>
      <c r="G309" s="30"/>
      <c r="H309" s="30"/>
    </row>
    <row r="310" ht="15.75" customHeight="1">
      <c r="A310" s="30"/>
      <c r="B310" s="30"/>
      <c r="C310" s="30"/>
      <c r="D310" s="97"/>
      <c r="E310" s="30"/>
      <c r="F310" s="30"/>
      <c r="G310" s="30"/>
      <c r="H310" s="30"/>
    </row>
    <row r="311" ht="15.75" customHeight="1">
      <c r="A311" s="30"/>
      <c r="B311" s="30"/>
      <c r="C311" s="30"/>
      <c r="D311" s="97"/>
      <c r="E311" s="30"/>
      <c r="F311" s="30"/>
      <c r="G311" s="30"/>
      <c r="H311" s="30"/>
    </row>
    <row r="312" ht="15.75" customHeight="1">
      <c r="A312" s="30"/>
      <c r="B312" s="30"/>
      <c r="C312" s="30"/>
      <c r="D312" s="97"/>
      <c r="E312" s="30"/>
      <c r="F312" s="30"/>
      <c r="G312" s="30"/>
      <c r="H312" s="30"/>
    </row>
    <row r="313" ht="15.75" customHeight="1">
      <c r="A313" s="30"/>
      <c r="B313" s="30"/>
      <c r="C313" s="30"/>
      <c r="D313" s="97"/>
      <c r="E313" s="30"/>
      <c r="F313" s="30"/>
      <c r="G313" s="30"/>
      <c r="H313" s="30"/>
    </row>
    <row r="314" ht="15.75" customHeight="1">
      <c r="A314" s="30"/>
      <c r="B314" s="30"/>
      <c r="C314" s="30"/>
      <c r="D314" s="97"/>
      <c r="E314" s="30"/>
      <c r="F314" s="30"/>
      <c r="G314" s="30"/>
      <c r="H314" s="30"/>
    </row>
    <row r="315" ht="15.75" customHeight="1">
      <c r="A315" s="30"/>
      <c r="B315" s="30"/>
      <c r="C315" s="30"/>
      <c r="D315" s="97"/>
      <c r="E315" s="30"/>
      <c r="F315" s="30"/>
      <c r="G315" s="30"/>
      <c r="H315" s="30"/>
    </row>
    <row r="316" ht="15.75" customHeight="1">
      <c r="A316" s="30"/>
      <c r="B316" s="30"/>
      <c r="C316" s="30"/>
      <c r="D316" s="97"/>
      <c r="E316" s="30"/>
      <c r="F316" s="30"/>
      <c r="G316" s="30"/>
      <c r="H316" s="30"/>
    </row>
    <row r="317" ht="15.75" customHeight="1">
      <c r="A317" s="30"/>
      <c r="B317" s="30"/>
      <c r="C317" s="30"/>
      <c r="D317" s="97"/>
      <c r="E317" s="30"/>
      <c r="F317" s="30"/>
      <c r="G317" s="30"/>
      <c r="H317" s="30"/>
    </row>
    <row r="318" ht="15.75" customHeight="1">
      <c r="A318" s="30"/>
      <c r="B318" s="30"/>
      <c r="C318" s="30"/>
      <c r="D318" s="97"/>
      <c r="E318" s="30"/>
      <c r="F318" s="30"/>
      <c r="G318" s="30"/>
      <c r="H318" s="30"/>
    </row>
    <row r="319" ht="15.75" customHeight="1">
      <c r="A319" s="30"/>
      <c r="B319" s="30"/>
      <c r="C319" s="30"/>
      <c r="D319" s="97"/>
      <c r="E319" s="30"/>
      <c r="F319" s="30"/>
      <c r="G319" s="30"/>
      <c r="H319" s="30"/>
    </row>
    <row r="320" ht="15.75" customHeight="1">
      <c r="A320" s="30"/>
      <c r="B320" s="30"/>
      <c r="C320" s="30"/>
      <c r="D320" s="97"/>
      <c r="E320" s="30"/>
      <c r="F320" s="30"/>
      <c r="G320" s="30"/>
      <c r="H320" s="30"/>
    </row>
    <row r="321" ht="15.75" customHeight="1">
      <c r="A321" s="30"/>
      <c r="B321" s="30"/>
      <c r="C321" s="30"/>
      <c r="D321" s="97"/>
      <c r="E321" s="30"/>
      <c r="F321" s="30"/>
      <c r="G321" s="30"/>
      <c r="H321" s="30"/>
    </row>
    <row r="322" ht="15.75" customHeight="1">
      <c r="A322" s="30"/>
      <c r="B322" s="30"/>
      <c r="C322" s="30"/>
      <c r="D322" s="97"/>
      <c r="E322" s="30"/>
      <c r="F322" s="30"/>
      <c r="G322" s="30"/>
      <c r="H322" s="30"/>
    </row>
    <row r="323" ht="15.75" customHeight="1">
      <c r="A323" s="30"/>
      <c r="B323" s="30"/>
      <c r="C323" s="30"/>
      <c r="D323" s="97"/>
      <c r="E323" s="30"/>
      <c r="F323" s="30"/>
      <c r="G323" s="30"/>
      <c r="H323" s="30"/>
    </row>
    <row r="324" ht="15.75" customHeight="1">
      <c r="A324" s="30"/>
      <c r="B324" s="30"/>
      <c r="C324" s="30"/>
      <c r="D324" s="97"/>
      <c r="E324" s="30"/>
      <c r="F324" s="30"/>
      <c r="G324" s="30"/>
      <c r="H324" s="30"/>
    </row>
    <row r="325" ht="15.75" customHeight="1">
      <c r="A325" s="30"/>
      <c r="B325" s="30"/>
      <c r="C325" s="30"/>
      <c r="D325" s="97"/>
      <c r="E325" s="30"/>
      <c r="F325" s="30"/>
      <c r="G325" s="30"/>
      <c r="H325" s="30"/>
    </row>
    <row r="326" ht="15.75" customHeight="1">
      <c r="A326" s="30"/>
      <c r="B326" s="30"/>
      <c r="C326" s="30"/>
      <c r="D326" s="97"/>
      <c r="E326" s="30"/>
      <c r="F326" s="30"/>
      <c r="G326" s="30"/>
      <c r="H326" s="30"/>
    </row>
    <row r="327" ht="15.75" customHeight="1">
      <c r="A327" s="30"/>
      <c r="B327" s="30"/>
      <c r="C327" s="30"/>
      <c r="D327" s="97"/>
      <c r="E327" s="30"/>
      <c r="F327" s="30"/>
      <c r="G327" s="30"/>
      <c r="H327" s="30"/>
    </row>
    <row r="328" ht="15.75" customHeight="1">
      <c r="A328" s="30"/>
      <c r="B328" s="30"/>
      <c r="C328" s="30"/>
      <c r="D328" s="97"/>
      <c r="E328" s="30"/>
      <c r="F328" s="30"/>
      <c r="G328" s="30"/>
      <c r="H328" s="30"/>
    </row>
    <row r="329" ht="15.75" customHeight="1">
      <c r="A329" s="30"/>
      <c r="B329" s="30"/>
      <c r="C329" s="30"/>
      <c r="D329" s="97"/>
      <c r="E329" s="30"/>
      <c r="F329" s="30"/>
      <c r="G329" s="30"/>
      <c r="H329" s="30"/>
    </row>
    <row r="330" ht="15.75" customHeight="1">
      <c r="A330" s="30"/>
      <c r="B330" s="30"/>
      <c r="C330" s="30"/>
      <c r="D330" s="97"/>
      <c r="E330" s="30"/>
      <c r="F330" s="30"/>
      <c r="G330" s="30"/>
      <c r="H330" s="30"/>
    </row>
    <row r="331" ht="15.75" customHeight="1">
      <c r="A331" s="30"/>
      <c r="B331" s="30"/>
      <c r="C331" s="30"/>
      <c r="D331" s="97"/>
      <c r="E331" s="30"/>
      <c r="F331" s="30"/>
      <c r="G331" s="30"/>
      <c r="H331" s="30"/>
    </row>
    <row r="332" ht="15.75" customHeight="1">
      <c r="A332" s="30"/>
      <c r="B332" s="30"/>
      <c r="C332" s="30"/>
      <c r="D332" s="97"/>
      <c r="E332" s="30"/>
      <c r="F332" s="30"/>
      <c r="G332" s="30"/>
      <c r="H332" s="30"/>
    </row>
    <row r="333" ht="15.75" customHeight="1">
      <c r="A333" s="30"/>
      <c r="B333" s="30"/>
      <c r="C333" s="30"/>
      <c r="D333" s="97"/>
      <c r="E333" s="30"/>
      <c r="F333" s="30"/>
      <c r="G333" s="30"/>
      <c r="H333" s="30"/>
    </row>
    <row r="334" ht="15.75" customHeight="1">
      <c r="A334" s="30"/>
      <c r="B334" s="30"/>
      <c r="C334" s="30"/>
      <c r="D334" s="97"/>
      <c r="E334" s="30"/>
      <c r="F334" s="30"/>
      <c r="G334" s="30"/>
      <c r="H334" s="30"/>
    </row>
    <row r="335" ht="15.75" customHeight="1">
      <c r="A335" s="30"/>
      <c r="B335" s="30"/>
      <c r="C335" s="30"/>
      <c r="D335" s="97"/>
      <c r="E335" s="30"/>
      <c r="F335" s="30"/>
      <c r="G335" s="30"/>
      <c r="H335" s="30"/>
    </row>
    <row r="336" ht="15.75" customHeight="1">
      <c r="A336" s="30"/>
      <c r="B336" s="30"/>
      <c r="C336" s="30"/>
      <c r="D336" s="97"/>
      <c r="E336" s="30"/>
      <c r="F336" s="30"/>
      <c r="G336" s="30"/>
      <c r="H336" s="30"/>
    </row>
    <row r="337" ht="15.75" customHeight="1">
      <c r="A337" s="30"/>
      <c r="B337" s="30"/>
      <c r="C337" s="30"/>
      <c r="D337" s="97"/>
      <c r="E337" s="30"/>
      <c r="F337" s="30"/>
      <c r="G337" s="30"/>
      <c r="H337" s="30"/>
    </row>
    <row r="338" ht="15.75" customHeight="1">
      <c r="A338" s="30"/>
      <c r="B338" s="30"/>
      <c r="C338" s="30"/>
      <c r="D338" s="97"/>
      <c r="E338" s="30"/>
      <c r="F338" s="30"/>
      <c r="G338" s="30"/>
      <c r="H338" s="30"/>
    </row>
    <row r="339" ht="15.75" customHeight="1">
      <c r="A339" s="30"/>
      <c r="B339" s="30"/>
      <c r="C339" s="30"/>
      <c r="D339" s="97"/>
      <c r="E339" s="30"/>
      <c r="F339" s="30"/>
      <c r="G339" s="30"/>
      <c r="H339" s="30"/>
    </row>
    <row r="340" ht="15.75" customHeight="1">
      <c r="A340" s="30"/>
      <c r="B340" s="30"/>
      <c r="C340" s="30"/>
      <c r="D340" s="97"/>
      <c r="E340" s="30"/>
      <c r="F340" s="30"/>
      <c r="G340" s="30"/>
      <c r="H340" s="30"/>
    </row>
    <row r="341" ht="15.75" customHeight="1">
      <c r="A341" s="30"/>
      <c r="B341" s="30"/>
      <c r="C341" s="30"/>
      <c r="D341" s="97"/>
      <c r="E341" s="30"/>
      <c r="F341" s="30"/>
      <c r="G341" s="30"/>
      <c r="H341" s="30"/>
    </row>
    <row r="342" ht="15.75" customHeight="1">
      <c r="A342" s="30"/>
      <c r="B342" s="30"/>
      <c r="C342" s="30"/>
      <c r="D342" s="97"/>
      <c r="E342" s="30"/>
      <c r="F342" s="30"/>
      <c r="G342" s="30"/>
      <c r="H342" s="30"/>
    </row>
    <row r="343" ht="15.75" customHeight="1">
      <c r="A343" s="30"/>
      <c r="B343" s="30"/>
      <c r="C343" s="30"/>
      <c r="D343" s="97"/>
      <c r="E343" s="30"/>
      <c r="F343" s="30"/>
      <c r="G343" s="30"/>
      <c r="H343" s="30"/>
    </row>
    <row r="344" ht="15.75" customHeight="1">
      <c r="A344" s="30"/>
      <c r="B344" s="30"/>
      <c r="C344" s="30"/>
      <c r="D344" s="97"/>
      <c r="E344" s="30"/>
      <c r="F344" s="30"/>
      <c r="G344" s="30"/>
      <c r="H344" s="30"/>
    </row>
    <row r="345" ht="15.75" customHeight="1">
      <c r="A345" s="30"/>
      <c r="B345" s="30"/>
      <c r="C345" s="30"/>
      <c r="D345" s="97"/>
      <c r="E345" s="30"/>
      <c r="F345" s="30"/>
      <c r="G345" s="30"/>
      <c r="H345" s="30"/>
    </row>
    <row r="346" ht="15.75" customHeight="1">
      <c r="A346" s="30"/>
      <c r="B346" s="30"/>
      <c r="C346" s="30"/>
      <c r="D346" s="97"/>
      <c r="E346" s="30"/>
      <c r="F346" s="30"/>
      <c r="G346" s="30"/>
      <c r="H346" s="30"/>
    </row>
    <row r="347" ht="15.75" customHeight="1">
      <c r="A347" s="30"/>
      <c r="B347" s="30"/>
      <c r="C347" s="30"/>
      <c r="D347" s="97"/>
      <c r="E347" s="30"/>
      <c r="F347" s="30"/>
      <c r="G347" s="30"/>
      <c r="H347" s="30"/>
    </row>
    <row r="348" ht="15.75" customHeight="1">
      <c r="A348" s="30"/>
      <c r="B348" s="30"/>
      <c r="C348" s="30"/>
      <c r="D348" s="97"/>
      <c r="E348" s="30"/>
      <c r="F348" s="30"/>
      <c r="G348" s="30"/>
      <c r="H348" s="30"/>
    </row>
    <row r="349" ht="15.75" customHeight="1">
      <c r="A349" s="30"/>
      <c r="B349" s="30"/>
      <c r="C349" s="30"/>
      <c r="D349" s="97"/>
      <c r="E349" s="30"/>
      <c r="F349" s="30"/>
      <c r="G349" s="30"/>
      <c r="H349" s="30"/>
    </row>
    <row r="350" ht="15.75" customHeight="1">
      <c r="A350" s="30"/>
      <c r="B350" s="30"/>
      <c r="C350" s="30"/>
      <c r="D350" s="97"/>
      <c r="E350" s="30"/>
      <c r="F350" s="30"/>
      <c r="G350" s="30"/>
      <c r="H350" s="30"/>
    </row>
    <row r="351" ht="15.75" customHeight="1">
      <c r="A351" s="30"/>
      <c r="B351" s="30"/>
      <c r="C351" s="30"/>
      <c r="D351" s="97"/>
      <c r="E351" s="30"/>
      <c r="F351" s="30"/>
      <c r="G351" s="30"/>
      <c r="H351" s="30"/>
    </row>
    <row r="352" ht="15.75" customHeight="1">
      <c r="A352" s="30"/>
      <c r="B352" s="30"/>
      <c r="C352" s="30"/>
      <c r="D352" s="97"/>
      <c r="E352" s="30"/>
      <c r="F352" s="30"/>
      <c r="G352" s="30"/>
      <c r="H352" s="30"/>
    </row>
    <row r="353" ht="15.75" customHeight="1">
      <c r="A353" s="30"/>
      <c r="B353" s="30"/>
      <c r="C353" s="30"/>
      <c r="D353" s="97"/>
      <c r="E353" s="30"/>
      <c r="F353" s="30"/>
      <c r="G353" s="30"/>
      <c r="H353" s="30"/>
    </row>
    <row r="354" ht="15.75" customHeight="1">
      <c r="A354" s="30"/>
      <c r="B354" s="30"/>
      <c r="C354" s="30"/>
      <c r="D354" s="97"/>
      <c r="E354" s="30"/>
      <c r="F354" s="30"/>
      <c r="G354" s="30"/>
      <c r="H354" s="30"/>
    </row>
    <row r="355" ht="15.75" customHeight="1">
      <c r="A355" s="30"/>
      <c r="B355" s="30"/>
      <c r="C355" s="30"/>
      <c r="D355" s="97"/>
      <c r="E355" s="30"/>
      <c r="F355" s="30"/>
      <c r="G355" s="30"/>
      <c r="H355" s="30"/>
    </row>
    <row r="356" ht="15.75" customHeight="1">
      <c r="A356" s="30"/>
      <c r="B356" s="30"/>
      <c r="C356" s="30"/>
      <c r="D356" s="97"/>
      <c r="E356" s="30"/>
      <c r="F356" s="30"/>
      <c r="G356" s="30"/>
      <c r="H356" s="30"/>
    </row>
    <row r="357" ht="15.75" customHeight="1">
      <c r="A357" s="30"/>
      <c r="B357" s="30"/>
      <c r="C357" s="30"/>
      <c r="D357" s="97"/>
      <c r="E357" s="30"/>
      <c r="F357" s="30"/>
      <c r="G357" s="30"/>
      <c r="H357" s="30"/>
    </row>
    <row r="358" ht="15.75" customHeight="1">
      <c r="A358" s="30"/>
      <c r="B358" s="30"/>
      <c r="C358" s="30"/>
      <c r="D358" s="97"/>
      <c r="E358" s="30"/>
      <c r="F358" s="30"/>
      <c r="G358" s="30"/>
      <c r="H358" s="30"/>
    </row>
    <row r="359" ht="15.75" customHeight="1">
      <c r="A359" s="30"/>
      <c r="B359" s="30"/>
      <c r="C359" s="30"/>
      <c r="D359" s="97"/>
      <c r="E359" s="30"/>
      <c r="F359" s="30"/>
      <c r="G359" s="30"/>
      <c r="H359" s="30"/>
    </row>
    <row r="360" ht="15.75" customHeight="1">
      <c r="A360" s="30"/>
      <c r="B360" s="30"/>
      <c r="C360" s="30"/>
      <c r="D360" s="97"/>
      <c r="E360" s="30"/>
      <c r="F360" s="30"/>
      <c r="G360" s="30"/>
      <c r="H360" s="30"/>
    </row>
    <row r="361" ht="15.75" customHeight="1">
      <c r="A361" s="30"/>
      <c r="B361" s="30"/>
      <c r="C361" s="30"/>
      <c r="D361" s="97"/>
      <c r="E361" s="30"/>
      <c r="F361" s="30"/>
      <c r="G361" s="30"/>
      <c r="H361" s="30"/>
    </row>
    <row r="362" ht="15.75" customHeight="1">
      <c r="A362" s="30"/>
      <c r="B362" s="30"/>
      <c r="C362" s="30"/>
      <c r="D362" s="97"/>
      <c r="E362" s="30"/>
      <c r="F362" s="30"/>
      <c r="G362" s="30"/>
      <c r="H362" s="30"/>
    </row>
    <row r="363" ht="15.75" customHeight="1">
      <c r="A363" s="30"/>
      <c r="B363" s="30"/>
      <c r="C363" s="30"/>
      <c r="D363" s="97"/>
      <c r="E363" s="30"/>
      <c r="F363" s="30"/>
      <c r="G363" s="30"/>
      <c r="H363" s="30"/>
    </row>
    <row r="364" ht="15.75" customHeight="1">
      <c r="A364" s="30"/>
      <c r="B364" s="30"/>
      <c r="C364" s="30"/>
      <c r="D364" s="97"/>
      <c r="E364" s="30"/>
      <c r="F364" s="30"/>
      <c r="G364" s="30"/>
      <c r="H364" s="30"/>
    </row>
    <row r="365" ht="15.75" customHeight="1">
      <c r="A365" s="30"/>
      <c r="B365" s="30"/>
      <c r="C365" s="30"/>
      <c r="D365" s="97"/>
      <c r="E365" s="30"/>
      <c r="F365" s="30"/>
      <c r="G365" s="30"/>
      <c r="H365" s="30"/>
    </row>
    <row r="366" ht="15.75" customHeight="1">
      <c r="A366" s="30"/>
      <c r="B366" s="30"/>
      <c r="C366" s="30"/>
      <c r="D366" s="97"/>
      <c r="E366" s="30"/>
      <c r="F366" s="30"/>
      <c r="G366" s="30"/>
      <c r="H366" s="30"/>
    </row>
    <row r="367" ht="15.75" customHeight="1">
      <c r="A367" s="30"/>
      <c r="B367" s="30"/>
      <c r="C367" s="30"/>
      <c r="D367" s="97"/>
      <c r="E367" s="30"/>
      <c r="F367" s="30"/>
      <c r="G367" s="30"/>
      <c r="H367" s="30"/>
    </row>
    <row r="368" ht="15.75" customHeight="1">
      <c r="A368" s="30"/>
      <c r="B368" s="30"/>
      <c r="C368" s="30"/>
      <c r="D368" s="97"/>
      <c r="E368" s="30"/>
      <c r="F368" s="30"/>
      <c r="G368" s="30"/>
      <c r="H368" s="30"/>
    </row>
    <row r="369" ht="15.75" customHeight="1">
      <c r="A369" s="30"/>
      <c r="B369" s="30"/>
      <c r="C369" s="30"/>
      <c r="D369" s="97"/>
      <c r="E369" s="30"/>
      <c r="F369" s="30"/>
      <c r="G369" s="30"/>
      <c r="H369" s="30"/>
    </row>
    <row r="370" ht="15.75" customHeight="1">
      <c r="A370" s="30"/>
      <c r="B370" s="30"/>
      <c r="C370" s="30"/>
      <c r="D370" s="97"/>
      <c r="E370" s="30"/>
      <c r="F370" s="30"/>
      <c r="G370" s="30"/>
      <c r="H370" s="30"/>
    </row>
    <row r="371" ht="15.75" customHeight="1">
      <c r="A371" s="30"/>
      <c r="B371" s="30"/>
      <c r="C371" s="30"/>
      <c r="D371" s="97"/>
      <c r="E371" s="30"/>
      <c r="F371" s="30"/>
      <c r="G371" s="30"/>
      <c r="H371" s="30"/>
    </row>
    <row r="372" ht="15.75" customHeight="1">
      <c r="A372" s="30"/>
      <c r="B372" s="30"/>
      <c r="C372" s="30"/>
      <c r="D372" s="97"/>
      <c r="E372" s="30"/>
      <c r="F372" s="30"/>
      <c r="G372" s="30"/>
      <c r="H372" s="30"/>
    </row>
    <row r="373" ht="15.75" customHeight="1">
      <c r="A373" s="30"/>
      <c r="B373" s="30"/>
      <c r="C373" s="30"/>
      <c r="D373" s="97"/>
      <c r="E373" s="30"/>
      <c r="F373" s="30"/>
      <c r="G373" s="30"/>
      <c r="H373" s="30"/>
    </row>
    <row r="374" ht="15.75" customHeight="1">
      <c r="A374" s="30"/>
      <c r="B374" s="30"/>
      <c r="C374" s="30"/>
      <c r="D374" s="97"/>
      <c r="E374" s="30"/>
      <c r="F374" s="30"/>
      <c r="G374" s="30"/>
      <c r="H374" s="30"/>
    </row>
    <row r="375" ht="15.75" customHeight="1">
      <c r="A375" s="30"/>
      <c r="B375" s="30"/>
      <c r="C375" s="30"/>
      <c r="D375" s="97"/>
      <c r="E375" s="30"/>
      <c r="F375" s="30"/>
      <c r="G375" s="30"/>
      <c r="H375" s="30"/>
    </row>
    <row r="376" ht="15.75" customHeight="1">
      <c r="A376" s="30"/>
      <c r="B376" s="30"/>
      <c r="C376" s="30"/>
      <c r="D376" s="97"/>
      <c r="E376" s="30"/>
      <c r="F376" s="30"/>
      <c r="G376" s="30"/>
      <c r="H376" s="30"/>
    </row>
    <row r="377" ht="15.75" customHeight="1">
      <c r="A377" s="30"/>
      <c r="B377" s="30"/>
      <c r="C377" s="30"/>
      <c r="D377" s="97"/>
      <c r="E377" s="30"/>
      <c r="F377" s="30"/>
      <c r="G377" s="30"/>
      <c r="H377" s="30"/>
    </row>
    <row r="378" ht="15.75" customHeight="1">
      <c r="A378" s="30"/>
      <c r="B378" s="30"/>
      <c r="C378" s="30"/>
      <c r="D378" s="97"/>
      <c r="E378" s="30"/>
      <c r="F378" s="30"/>
      <c r="G378" s="30"/>
      <c r="H378" s="30"/>
    </row>
    <row r="379" ht="15.75" customHeight="1">
      <c r="A379" s="30"/>
      <c r="B379" s="30"/>
      <c r="C379" s="30"/>
      <c r="D379" s="97"/>
      <c r="E379" s="30"/>
      <c r="F379" s="30"/>
      <c r="G379" s="30"/>
      <c r="H379" s="30"/>
    </row>
    <row r="380" ht="15.75" customHeight="1">
      <c r="A380" s="30"/>
      <c r="B380" s="30"/>
      <c r="C380" s="30"/>
      <c r="D380" s="97"/>
      <c r="E380" s="30"/>
      <c r="F380" s="30"/>
      <c r="G380" s="30"/>
      <c r="H380" s="30"/>
    </row>
    <row r="381" ht="15.75" customHeight="1">
      <c r="A381" s="30"/>
      <c r="B381" s="30"/>
      <c r="C381" s="30"/>
      <c r="D381" s="97"/>
      <c r="E381" s="30"/>
      <c r="F381" s="30"/>
      <c r="G381" s="30"/>
      <c r="H381" s="30"/>
    </row>
    <row r="382" ht="15.75" customHeight="1">
      <c r="A382" s="30"/>
      <c r="B382" s="30"/>
      <c r="C382" s="30"/>
      <c r="D382" s="97"/>
      <c r="E382" s="30"/>
      <c r="F382" s="30"/>
      <c r="G382" s="30"/>
      <c r="H382" s="30"/>
    </row>
    <row r="383" ht="15.75" customHeight="1">
      <c r="A383" s="30"/>
      <c r="B383" s="30"/>
      <c r="C383" s="30"/>
      <c r="D383" s="97"/>
      <c r="E383" s="30"/>
      <c r="F383" s="30"/>
      <c r="G383" s="30"/>
      <c r="H383" s="30"/>
    </row>
    <row r="384" ht="15.75" customHeight="1">
      <c r="A384" s="30"/>
      <c r="B384" s="30"/>
      <c r="C384" s="30"/>
      <c r="D384" s="97"/>
      <c r="E384" s="30"/>
      <c r="F384" s="30"/>
      <c r="G384" s="30"/>
      <c r="H384" s="30"/>
    </row>
    <row r="385" ht="15.75" customHeight="1">
      <c r="A385" s="30"/>
      <c r="B385" s="30"/>
      <c r="C385" s="30"/>
      <c r="D385" s="97"/>
      <c r="E385" s="30"/>
      <c r="F385" s="30"/>
      <c r="G385" s="30"/>
      <c r="H385" s="30"/>
    </row>
    <row r="386" ht="15.75" customHeight="1">
      <c r="A386" s="30"/>
      <c r="B386" s="30"/>
      <c r="C386" s="30"/>
      <c r="D386" s="97"/>
      <c r="E386" s="30"/>
      <c r="F386" s="30"/>
      <c r="G386" s="30"/>
      <c r="H386" s="30"/>
    </row>
    <row r="387" ht="15.75" customHeight="1">
      <c r="A387" s="30"/>
      <c r="B387" s="30"/>
      <c r="C387" s="30"/>
      <c r="D387" s="97"/>
      <c r="E387" s="30"/>
      <c r="F387" s="30"/>
      <c r="G387" s="30"/>
      <c r="H387" s="30"/>
    </row>
    <row r="388" ht="15.75" customHeight="1">
      <c r="A388" s="30"/>
      <c r="B388" s="30"/>
      <c r="C388" s="30"/>
      <c r="D388" s="97"/>
      <c r="E388" s="30"/>
      <c r="F388" s="30"/>
      <c r="G388" s="30"/>
      <c r="H388" s="30"/>
    </row>
    <row r="389" ht="15.75" customHeight="1">
      <c r="A389" s="30"/>
      <c r="B389" s="30"/>
      <c r="C389" s="30"/>
      <c r="D389" s="97"/>
      <c r="E389" s="30"/>
      <c r="F389" s="30"/>
      <c r="G389" s="30"/>
      <c r="H389" s="30"/>
    </row>
    <row r="390" ht="15.75" customHeight="1">
      <c r="A390" s="30"/>
      <c r="B390" s="30"/>
      <c r="C390" s="30"/>
      <c r="D390" s="97"/>
      <c r="E390" s="30"/>
      <c r="F390" s="30"/>
      <c r="G390" s="30"/>
      <c r="H390" s="30"/>
    </row>
    <row r="391" ht="15.75" customHeight="1">
      <c r="A391" s="30"/>
      <c r="B391" s="30"/>
      <c r="C391" s="30"/>
      <c r="D391" s="97"/>
      <c r="E391" s="30"/>
      <c r="F391" s="30"/>
      <c r="G391" s="30"/>
      <c r="H391" s="30"/>
    </row>
    <row r="392" ht="15.75" customHeight="1">
      <c r="A392" s="30"/>
      <c r="B392" s="30"/>
      <c r="C392" s="30"/>
      <c r="D392" s="97"/>
      <c r="E392" s="30"/>
      <c r="F392" s="30"/>
      <c r="G392" s="30"/>
      <c r="H392" s="30"/>
    </row>
    <row r="393" ht="15.75" customHeight="1">
      <c r="A393" s="30"/>
      <c r="B393" s="30"/>
      <c r="C393" s="30"/>
      <c r="D393" s="97"/>
      <c r="E393" s="30"/>
      <c r="F393" s="30"/>
      <c r="G393" s="30"/>
      <c r="H393" s="30"/>
    </row>
    <row r="394" ht="15.75" customHeight="1">
      <c r="A394" s="30"/>
      <c r="B394" s="30"/>
      <c r="C394" s="30"/>
      <c r="D394" s="97"/>
      <c r="E394" s="30"/>
      <c r="F394" s="30"/>
      <c r="G394" s="30"/>
      <c r="H394" s="30"/>
    </row>
    <row r="395" ht="15.75" customHeight="1">
      <c r="A395" s="30"/>
      <c r="B395" s="30"/>
      <c r="C395" s="30"/>
      <c r="D395" s="97"/>
      <c r="E395" s="30"/>
      <c r="F395" s="30"/>
      <c r="G395" s="30"/>
      <c r="H395" s="30"/>
    </row>
    <row r="396" ht="15.75" customHeight="1">
      <c r="A396" s="30"/>
      <c r="B396" s="30"/>
      <c r="C396" s="30"/>
      <c r="D396" s="97"/>
      <c r="E396" s="30"/>
      <c r="F396" s="30"/>
      <c r="G396" s="30"/>
      <c r="H396" s="30"/>
    </row>
    <row r="397" ht="15.75" customHeight="1">
      <c r="A397" s="30"/>
      <c r="B397" s="30"/>
      <c r="C397" s="30"/>
      <c r="D397" s="97"/>
      <c r="E397" s="30"/>
      <c r="F397" s="30"/>
      <c r="G397" s="30"/>
      <c r="H397" s="30"/>
    </row>
    <row r="398" ht="15.75" customHeight="1">
      <c r="A398" s="30"/>
      <c r="B398" s="30"/>
      <c r="C398" s="30"/>
      <c r="D398" s="97"/>
      <c r="E398" s="30"/>
      <c r="F398" s="30"/>
      <c r="G398" s="30"/>
      <c r="H398" s="30"/>
    </row>
    <row r="399" ht="15.75" customHeight="1">
      <c r="A399" s="30"/>
      <c r="B399" s="30"/>
      <c r="C399" s="30"/>
      <c r="D399" s="97"/>
      <c r="E399" s="30"/>
      <c r="F399" s="30"/>
      <c r="G399" s="30"/>
      <c r="H399" s="30"/>
    </row>
    <row r="400" ht="15.75" customHeight="1">
      <c r="A400" s="30"/>
      <c r="B400" s="30"/>
      <c r="C400" s="30"/>
      <c r="D400" s="97"/>
      <c r="E400" s="30"/>
      <c r="F400" s="30"/>
      <c r="G400" s="30"/>
      <c r="H400" s="30"/>
    </row>
    <row r="401" ht="15.75" customHeight="1">
      <c r="A401" s="30"/>
      <c r="B401" s="30"/>
      <c r="C401" s="30"/>
      <c r="D401" s="97"/>
      <c r="E401" s="30"/>
      <c r="F401" s="30"/>
      <c r="G401" s="30"/>
      <c r="H401" s="30"/>
    </row>
    <row r="402" ht="15.75" customHeight="1">
      <c r="A402" s="30"/>
      <c r="B402" s="30"/>
      <c r="C402" s="30"/>
      <c r="D402" s="97"/>
      <c r="E402" s="30"/>
      <c r="F402" s="30"/>
      <c r="G402" s="30"/>
      <c r="H402" s="30"/>
    </row>
    <row r="403" ht="15.75" customHeight="1">
      <c r="A403" s="30"/>
      <c r="B403" s="30"/>
      <c r="C403" s="30"/>
      <c r="D403" s="97"/>
      <c r="E403" s="30"/>
      <c r="F403" s="30"/>
      <c r="G403" s="30"/>
      <c r="H403" s="30"/>
    </row>
    <row r="404" ht="15.75" customHeight="1">
      <c r="A404" s="30"/>
      <c r="B404" s="30"/>
      <c r="C404" s="30"/>
      <c r="D404" s="97"/>
      <c r="E404" s="30"/>
      <c r="F404" s="30"/>
      <c r="G404" s="30"/>
      <c r="H404" s="30"/>
    </row>
    <row r="405" ht="15.75" customHeight="1">
      <c r="A405" s="30"/>
      <c r="B405" s="30"/>
      <c r="C405" s="30"/>
      <c r="D405" s="97"/>
      <c r="E405" s="30"/>
      <c r="F405" s="30"/>
      <c r="G405" s="30"/>
      <c r="H405" s="30"/>
    </row>
    <row r="406" ht="15.75" customHeight="1">
      <c r="A406" s="30"/>
      <c r="B406" s="30"/>
      <c r="C406" s="30"/>
      <c r="D406" s="97"/>
      <c r="E406" s="30"/>
      <c r="F406" s="30"/>
      <c r="G406" s="30"/>
      <c r="H406" s="30"/>
    </row>
    <row r="407" ht="15.75" customHeight="1">
      <c r="A407" s="30"/>
      <c r="B407" s="30"/>
      <c r="C407" s="30"/>
      <c r="D407" s="97"/>
      <c r="E407" s="30"/>
      <c r="F407" s="30"/>
      <c r="G407" s="30"/>
      <c r="H407" s="30"/>
    </row>
    <row r="408" ht="15.75" customHeight="1">
      <c r="A408" s="30"/>
      <c r="B408" s="30"/>
      <c r="C408" s="30"/>
      <c r="D408" s="97"/>
      <c r="E408" s="30"/>
      <c r="F408" s="30"/>
      <c r="G408" s="30"/>
      <c r="H408" s="30"/>
    </row>
    <row r="409" ht="15.75" customHeight="1">
      <c r="A409" s="30"/>
      <c r="B409" s="30"/>
      <c r="C409" s="30"/>
      <c r="D409" s="97"/>
      <c r="E409" s="30"/>
      <c r="F409" s="30"/>
      <c r="G409" s="30"/>
      <c r="H409" s="30"/>
    </row>
    <row r="410" ht="15.75" customHeight="1">
      <c r="A410" s="30"/>
      <c r="B410" s="30"/>
      <c r="C410" s="30"/>
      <c r="D410" s="97"/>
      <c r="E410" s="30"/>
      <c r="F410" s="30"/>
      <c r="G410" s="30"/>
      <c r="H410" s="30"/>
    </row>
    <row r="411" ht="15.75" customHeight="1">
      <c r="A411" s="30"/>
      <c r="B411" s="30"/>
      <c r="C411" s="30"/>
      <c r="D411" s="97"/>
      <c r="E411" s="30"/>
      <c r="F411" s="30"/>
      <c r="G411" s="30"/>
      <c r="H411" s="30"/>
    </row>
    <row r="412" ht="15.75" customHeight="1">
      <c r="A412" s="30"/>
      <c r="B412" s="30"/>
      <c r="C412" s="30"/>
      <c r="D412" s="97"/>
      <c r="E412" s="30"/>
      <c r="F412" s="30"/>
      <c r="G412" s="30"/>
      <c r="H412" s="30"/>
    </row>
    <row r="413" ht="15.75" customHeight="1">
      <c r="A413" s="30"/>
      <c r="B413" s="30"/>
      <c r="C413" s="30"/>
      <c r="D413" s="97"/>
      <c r="E413" s="30"/>
      <c r="F413" s="30"/>
      <c r="G413" s="30"/>
      <c r="H413" s="30"/>
    </row>
    <row r="414" ht="15.75" customHeight="1">
      <c r="A414" s="30"/>
      <c r="B414" s="30"/>
      <c r="C414" s="30"/>
      <c r="D414" s="97"/>
      <c r="E414" s="30"/>
      <c r="F414" s="30"/>
      <c r="G414" s="30"/>
      <c r="H414" s="30"/>
    </row>
    <row r="415" ht="15.75" customHeight="1">
      <c r="A415" s="30"/>
      <c r="B415" s="30"/>
      <c r="C415" s="30"/>
      <c r="D415" s="97"/>
      <c r="E415" s="30"/>
      <c r="F415" s="30"/>
      <c r="G415" s="30"/>
      <c r="H415" s="30"/>
    </row>
    <row r="416" ht="15.75" customHeight="1">
      <c r="A416" s="30"/>
      <c r="B416" s="30"/>
      <c r="C416" s="30"/>
      <c r="D416" s="97"/>
      <c r="E416" s="30"/>
      <c r="F416" s="30"/>
      <c r="G416" s="30"/>
      <c r="H416" s="30"/>
    </row>
    <row r="417" ht="15.75" customHeight="1">
      <c r="A417" s="30"/>
      <c r="B417" s="30"/>
      <c r="C417" s="30"/>
      <c r="D417" s="97"/>
      <c r="E417" s="30"/>
      <c r="F417" s="30"/>
      <c r="G417" s="30"/>
      <c r="H417" s="30"/>
    </row>
    <row r="418" ht="15.75" customHeight="1">
      <c r="A418" s="30"/>
      <c r="B418" s="30"/>
      <c r="C418" s="30"/>
      <c r="D418" s="97"/>
      <c r="E418" s="30"/>
      <c r="F418" s="30"/>
      <c r="G418" s="30"/>
      <c r="H418" s="30"/>
    </row>
    <row r="419" ht="15.75" customHeight="1">
      <c r="A419" s="30"/>
      <c r="B419" s="30"/>
      <c r="C419" s="30"/>
      <c r="D419" s="97"/>
      <c r="E419" s="30"/>
      <c r="F419" s="30"/>
      <c r="G419" s="30"/>
      <c r="H419" s="30"/>
    </row>
    <row r="420" ht="15.75" customHeight="1">
      <c r="A420" s="30"/>
      <c r="B420" s="30"/>
      <c r="C420" s="30"/>
      <c r="D420" s="97"/>
      <c r="E420" s="30"/>
      <c r="F420" s="30"/>
      <c r="G420" s="30"/>
      <c r="H420" s="30"/>
    </row>
    <row r="421" ht="15.75" customHeight="1">
      <c r="A421" s="30"/>
      <c r="B421" s="30"/>
      <c r="C421" s="30"/>
      <c r="D421" s="97"/>
      <c r="E421" s="30"/>
      <c r="F421" s="30"/>
      <c r="G421" s="30"/>
      <c r="H421" s="30"/>
    </row>
    <row r="422" ht="15.75" customHeight="1">
      <c r="A422" s="30"/>
      <c r="B422" s="30"/>
      <c r="C422" s="30"/>
      <c r="D422" s="97"/>
      <c r="E422" s="30"/>
      <c r="F422" s="30"/>
      <c r="G422" s="30"/>
      <c r="H422" s="30"/>
    </row>
    <row r="423" ht="15.75" customHeight="1">
      <c r="A423" s="30"/>
      <c r="B423" s="30"/>
      <c r="C423" s="30"/>
      <c r="D423" s="97"/>
      <c r="E423" s="30"/>
      <c r="F423" s="30"/>
      <c r="G423" s="30"/>
      <c r="H423" s="30"/>
    </row>
    <row r="424" ht="15.75" customHeight="1">
      <c r="A424" s="30"/>
      <c r="B424" s="30"/>
      <c r="C424" s="30"/>
      <c r="D424" s="97"/>
      <c r="E424" s="30"/>
      <c r="F424" s="30"/>
      <c r="G424" s="30"/>
      <c r="H424" s="30"/>
    </row>
    <row r="425" ht="15.75" customHeight="1">
      <c r="A425" s="30"/>
      <c r="B425" s="30"/>
      <c r="C425" s="30"/>
      <c r="D425" s="97"/>
      <c r="E425" s="30"/>
      <c r="F425" s="30"/>
      <c r="G425" s="30"/>
      <c r="H425" s="30"/>
    </row>
    <row r="426" ht="15.75" customHeight="1">
      <c r="A426" s="30"/>
      <c r="B426" s="30"/>
      <c r="C426" s="30"/>
      <c r="D426" s="97"/>
      <c r="E426" s="30"/>
      <c r="F426" s="30"/>
      <c r="G426" s="30"/>
      <c r="H426" s="30"/>
    </row>
    <row r="427" ht="15.75" customHeight="1">
      <c r="A427" s="30"/>
      <c r="B427" s="30"/>
      <c r="C427" s="30"/>
      <c r="D427" s="97"/>
      <c r="E427" s="30"/>
      <c r="F427" s="30"/>
      <c r="G427" s="30"/>
      <c r="H427" s="30"/>
    </row>
    <row r="428" ht="15.75" customHeight="1">
      <c r="A428" s="30"/>
      <c r="B428" s="30"/>
      <c r="C428" s="30"/>
      <c r="D428" s="97"/>
      <c r="E428" s="30"/>
      <c r="F428" s="30"/>
      <c r="G428" s="30"/>
      <c r="H428" s="30"/>
    </row>
    <row r="429" ht="15.75" customHeight="1">
      <c r="A429" s="30"/>
      <c r="B429" s="30"/>
      <c r="C429" s="30"/>
      <c r="D429" s="97"/>
      <c r="E429" s="30"/>
      <c r="F429" s="30"/>
      <c r="G429" s="30"/>
      <c r="H429" s="30"/>
    </row>
    <row r="430" ht="15.75" customHeight="1">
      <c r="A430" s="30"/>
      <c r="B430" s="30"/>
      <c r="C430" s="30"/>
      <c r="D430" s="97"/>
      <c r="E430" s="30"/>
      <c r="F430" s="30"/>
      <c r="G430" s="30"/>
      <c r="H430" s="30"/>
    </row>
    <row r="431" ht="15.75" customHeight="1">
      <c r="A431" s="30"/>
      <c r="B431" s="30"/>
      <c r="C431" s="30"/>
      <c r="D431" s="97"/>
      <c r="E431" s="30"/>
      <c r="F431" s="30"/>
      <c r="G431" s="30"/>
      <c r="H431" s="30"/>
    </row>
    <row r="432" ht="15.75" customHeight="1">
      <c r="A432" s="30"/>
      <c r="B432" s="30"/>
      <c r="C432" s="30"/>
      <c r="D432" s="97"/>
      <c r="E432" s="30"/>
      <c r="F432" s="30"/>
      <c r="G432" s="30"/>
      <c r="H432" s="30"/>
    </row>
    <row r="433" ht="15.75" customHeight="1">
      <c r="A433" s="30"/>
      <c r="B433" s="30"/>
      <c r="C433" s="30"/>
      <c r="D433" s="97"/>
      <c r="E433" s="30"/>
      <c r="F433" s="30"/>
      <c r="G433" s="30"/>
      <c r="H433" s="30"/>
    </row>
    <row r="434" ht="15.75" customHeight="1">
      <c r="A434" s="30"/>
      <c r="B434" s="30"/>
      <c r="C434" s="30"/>
      <c r="D434" s="97"/>
      <c r="E434" s="30"/>
      <c r="F434" s="30"/>
      <c r="G434" s="30"/>
      <c r="H434" s="30"/>
    </row>
    <row r="435" ht="15.75" customHeight="1">
      <c r="A435" s="30"/>
      <c r="B435" s="30"/>
      <c r="C435" s="30"/>
      <c r="D435" s="97"/>
      <c r="E435" s="30"/>
      <c r="F435" s="30"/>
      <c r="G435" s="30"/>
      <c r="H435" s="30"/>
    </row>
    <row r="436" ht="15.75" customHeight="1">
      <c r="A436" s="30"/>
      <c r="B436" s="30"/>
      <c r="C436" s="30"/>
      <c r="D436" s="97"/>
      <c r="E436" s="30"/>
      <c r="F436" s="30"/>
      <c r="G436" s="30"/>
      <c r="H436" s="30"/>
    </row>
    <row r="437" ht="15.75" customHeight="1">
      <c r="A437" s="30"/>
      <c r="B437" s="30"/>
      <c r="C437" s="30"/>
      <c r="D437" s="97"/>
      <c r="E437" s="30"/>
      <c r="F437" s="30"/>
      <c r="G437" s="30"/>
      <c r="H437" s="30"/>
    </row>
    <row r="438" ht="15.75" customHeight="1">
      <c r="A438" s="30"/>
      <c r="B438" s="30"/>
      <c r="C438" s="30"/>
      <c r="D438" s="97"/>
      <c r="E438" s="30"/>
      <c r="F438" s="30"/>
      <c r="G438" s="30"/>
      <c r="H438" s="30"/>
    </row>
    <row r="439" ht="15.75" customHeight="1">
      <c r="A439" s="30"/>
      <c r="B439" s="30"/>
      <c r="C439" s="30"/>
      <c r="D439" s="97"/>
      <c r="E439" s="30"/>
      <c r="F439" s="30"/>
      <c r="G439" s="30"/>
      <c r="H439" s="30"/>
    </row>
    <row r="440" ht="15.75" customHeight="1">
      <c r="A440" s="30"/>
      <c r="B440" s="30"/>
      <c r="C440" s="30"/>
      <c r="D440" s="97"/>
      <c r="E440" s="30"/>
      <c r="F440" s="30"/>
      <c r="G440" s="30"/>
      <c r="H440" s="30"/>
    </row>
    <row r="441" ht="15.75" customHeight="1">
      <c r="A441" s="30"/>
      <c r="B441" s="30"/>
      <c r="C441" s="30"/>
      <c r="D441" s="97"/>
      <c r="E441" s="30"/>
      <c r="F441" s="30"/>
      <c r="G441" s="30"/>
      <c r="H441" s="30"/>
    </row>
    <row r="442" ht="15.75" customHeight="1">
      <c r="A442" s="30"/>
      <c r="B442" s="30"/>
      <c r="C442" s="30"/>
      <c r="D442" s="97"/>
      <c r="E442" s="30"/>
      <c r="F442" s="30"/>
      <c r="G442" s="30"/>
      <c r="H442" s="30"/>
    </row>
    <row r="443" ht="15.75" customHeight="1">
      <c r="A443" s="30"/>
      <c r="B443" s="30"/>
      <c r="C443" s="30"/>
      <c r="D443" s="97"/>
      <c r="E443" s="30"/>
      <c r="F443" s="30"/>
      <c r="G443" s="30"/>
      <c r="H443" s="30"/>
    </row>
    <row r="444" ht="15.75" customHeight="1">
      <c r="A444" s="30"/>
      <c r="B444" s="30"/>
      <c r="C444" s="30"/>
      <c r="D444" s="97"/>
      <c r="E444" s="30"/>
      <c r="F444" s="30"/>
      <c r="G444" s="30"/>
      <c r="H444" s="30"/>
    </row>
    <row r="445" ht="15.75" customHeight="1">
      <c r="A445" s="30"/>
      <c r="B445" s="30"/>
      <c r="C445" s="30"/>
      <c r="D445" s="97"/>
      <c r="E445" s="30"/>
      <c r="F445" s="30"/>
      <c r="G445" s="30"/>
      <c r="H445" s="30"/>
    </row>
    <row r="446" ht="15.75" customHeight="1">
      <c r="A446" s="30"/>
      <c r="B446" s="30"/>
      <c r="C446" s="30"/>
      <c r="D446" s="97"/>
      <c r="E446" s="30"/>
      <c r="F446" s="30"/>
      <c r="G446" s="30"/>
      <c r="H446" s="30"/>
    </row>
    <row r="447" ht="15.75" customHeight="1">
      <c r="A447" s="30"/>
      <c r="B447" s="30"/>
      <c r="C447" s="30"/>
      <c r="D447" s="97"/>
      <c r="E447" s="30"/>
      <c r="F447" s="30"/>
      <c r="G447" s="30"/>
      <c r="H447" s="30"/>
    </row>
    <row r="448" ht="15.75" customHeight="1">
      <c r="A448" s="30"/>
      <c r="B448" s="30"/>
      <c r="C448" s="30"/>
      <c r="D448" s="97"/>
      <c r="E448" s="30"/>
      <c r="F448" s="30"/>
      <c r="G448" s="30"/>
      <c r="H448" s="30"/>
    </row>
    <row r="449" ht="15.75" customHeight="1">
      <c r="A449" s="30"/>
      <c r="B449" s="30"/>
      <c r="C449" s="30"/>
      <c r="D449" s="97"/>
      <c r="E449" s="30"/>
      <c r="F449" s="30"/>
      <c r="G449" s="30"/>
      <c r="H449" s="30"/>
    </row>
    <row r="450" ht="15.75" customHeight="1">
      <c r="A450" s="30"/>
      <c r="B450" s="30"/>
      <c r="C450" s="30"/>
      <c r="D450" s="97"/>
      <c r="E450" s="30"/>
      <c r="F450" s="30"/>
      <c r="G450" s="30"/>
      <c r="H450" s="30"/>
    </row>
    <row r="451" ht="15.75" customHeight="1">
      <c r="A451" s="30"/>
      <c r="B451" s="30"/>
      <c r="C451" s="30"/>
      <c r="D451" s="97"/>
      <c r="E451" s="30"/>
      <c r="F451" s="30"/>
      <c r="G451" s="30"/>
      <c r="H451" s="30"/>
    </row>
    <row r="452" ht="15.75" customHeight="1">
      <c r="A452" s="30"/>
      <c r="B452" s="30"/>
      <c r="C452" s="30"/>
      <c r="D452" s="97"/>
      <c r="E452" s="30"/>
      <c r="F452" s="30"/>
      <c r="G452" s="30"/>
      <c r="H452" s="30"/>
    </row>
    <row r="453" ht="15.75" customHeight="1">
      <c r="A453" s="30"/>
      <c r="B453" s="30"/>
      <c r="C453" s="30"/>
      <c r="D453" s="97"/>
      <c r="E453" s="30"/>
      <c r="F453" s="30"/>
      <c r="G453" s="30"/>
      <c r="H453" s="30"/>
    </row>
    <row r="454" ht="15.75" customHeight="1">
      <c r="A454" s="30"/>
      <c r="B454" s="30"/>
      <c r="C454" s="30"/>
      <c r="D454" s="97"/>
      <c r="E454" s="30"/>
      <c r="F454" s="30"/>
      <c r="G454" s="30"/>
      <c r="H454" s="30"/>
    </row>
    <row r="455" ht="15.75" customHeight="1">
      <c r="A455" s="30"/>
      <c r="B455" s="30"/>
      <c r="C455" s="30"/>
      <c r="D455" s="97"/>
      <c r="E455" s="30"/>
      <c r="F455" s="30"/>
      <c r="G455" s="30"/>
      <c r="H455" s="30"/>
    </row>
    <row r="456" ht="15.75" customHeight="1">
      <c r="A456" s="30"/>
      <c r="B456" s="30"/>
      <c r="C456" s="30"/>
      <c r="D456" s="97"/>
      <c r="E456" s="30"/>
      <c r="F456" s="30"/>
      <c r="G456" s="30"/>
      <c r="H456" s="30"/>
    </row>
    <row r="457" ht="15.75" customHeight="1">
      <c r="A457" s="30"/>
      <c r="B457" s="30"/>
      <c r="C457" s="30"/>
      <c r="D457" s="97"/>
      <c r="E457" s="30"/>
      <c r="F457" s="30"/>
      <c r="G457" s="30"/>
      <c r="H457" s="30"/>
    </row>
    <row r="458" ht="15.75" customHeight="1">
      <c r="A458" s="30"/>
      <c r="B458" s="30"/>
      <c r="C458" s="30"/>
      <c r="D458" s="97"/>
      <c r="E458" s="30"/>
      <c r="F458" s="30"/>
      <c r="G458" s="30"/>
      <c r="H458" s="30"/>
    </row>
    <row r="459" ht="15.75" customHeight="1">
      <c r="A459" s="30"/>
      <c r="B459" s="30"/>
      <c r="C459" s="30"/>
      <c r="D459" s="97"/>
      <c r="E459" s="30"/>
      <c r="F459" s="30"/>
      <c r="G459" s="30"/>
      <c r="H459" s="30"/>
    </row>
    <row r="460" ht="15.75" customHeight="1">
      <c r="A460" s="30"/>
      <c r="B460" s="30"/>
      <c r="C460" s="30"/>
      <c r="D460" s="97"/>
      <c r="E460" s="30"/>
      <c r="F460" s="30"/>
      <c r="G460" s="30"/>
      <c r="H460" s="30"/>
    </row>
    <row r="461" ht="15.75" customHeight="1">
      <c r="A461" s="30"/>
      <c r="B461" s="30"/>
      <c r="C461" s="30"/>
      <c r="D461" s="97"/>
      <c r="E461" s="30"/>
      <c r="F461" s="30"/>
      <c r="G461" s="30"/>
      <c r="H461" s="30"/>
    </row>
    <row r="462" ht="15.75" customHeight="1">
      <c r="A462" s="30"/>
      <c r="B462" s="30"/>
      <c r="C462" s="30"/>
      <c r="D462" s="97"/>
      <c r="E462" s="30"/>
      <c r="F462" s="30"/>
      <c r="G462" s="30"/>
      <c r="H462" s="30"/>
    </row>
    <row r="463" ht="15.75" customHeight="1">
      <c r="A463" s="30"/>
      <c r="B463" s="30"/>
      <c r="C463" s="30"/>
      <c r="D463" s="97"/>
      <c r="E463" s="30"/>
      <c r="F463" s="30"/>
      <c r="G463" s="30"/>
      <c r="H463" s="30"/>
    </row>
    <row r="464" ht="15.75" customHeight="1">
      <c r="A464" s="30"/>
      <c r="B464" s="30"/>
      <c r="C464" s="30"/>
      <c r="D464" s="97"/>
      <c r="E464" s="30"/>
      <c r="F464" s="30"/>
      <c r="G464" s="30"/>
      <c r="H464" s="30"/>
    </row>
    <row r="465" ht="15.75" customHeight="1">
      <c r="A465" s="30"/>
      <c r="B465" s="30"/>
      <c r="C465" s="30"/>
      <c r="D465" s="97"/>
      <c r="E465" s="30"/>
      <c r="F465" s="30"/>
      <c r="G465" s="30"/>
      <c r="H465" s="30"/>
    </row>
    <row r="466" ht="15.75" customHeight="1">
      <c r="A466" s="30"/>
      <c r="B466" s="30"/>
      <c r="C466" s="30"/>
      <c r="D466" s="97"/>
      <c r="E466" s="30"/>
      <c r="F466" s="30"/>
      <c r="G466" s="30"/>
      <c r="H466" s="30"/>
    </row>
    <row r="467" ht="15.75" customHeight="1">
      <c r="A467" s="30"/>
      <c r="B467" s="30"/>
      <c r="C467" s="30"/>
      <c r="D467" s="97"/>
      <c r="E467" s="30"/>
      <c r="F467" s="30"/>
      <c r="G467" s="30"/>
      <c r="H467" s="30"/>
    </row>
    <row r="468" ht="15.75" customHeight="1">
      <c r="A468" s="30"/>
      <c r="B468" s="30"/>
      <c r="C468" s="30"/>
      <c r="D468" s="97"/>
      <c r="E468" s="30"/>
      <c r="F468" s="30"/>
      <c r="G468" s="30"/>
      <c r="H468" s="30"/>
    </row>
    <row r="469" ht="15.75" customHeight="1">
      <c r="A469" s="30"/>
      <c r="B469" s="30"/>
      <c r="C469" s="30"/>
      <c r="D469" s="97"/>
      <c r="E469" s="30"/>
      <c r="F469" s="30"/>
      <c r="G469" s="30"/>
      <c r="H469" s="30"/>
    </row>
    <row r="470" ht="15.75" customHeight="1">
      <c r="A470" s="30"/>
      <c r="B470" s="30"/>
      <c r="C470" s="30"/>
      <c r="D470" s="97"/>
      <c r="E470" s="30"/>
      <c r="F470" s="30"/>
      <c r="G470" s="30"/>
      <c r="H470" s="30"/>
    </row>
    <row r="471" ht="15.75" customHeight="1">
      <c r="A471" s="30"/>
      <c r="B471" s="30"/>
      <c r="C471" s="30"/>
      <c r="D471" s="97"/>
      <c r="E471" s="30"/>
      <c r="F471" s="30"/>
      <c r="G471" s="30"/>
      <c r="H471" s="30"/>
    </row>
    <row r="472" ht="15.75" customHeight="1">
      <c r="A472" s="30"/>
      <c r="B472" s="30"/>
      <c r="C472" s="30"/>
      <c r="D472" s="97"/>
      <c r="E472" s="30"/>
      <c r="F472" s="30"/>
      <c r="G472" s="30"/>
      <c r="H472" s="30"/>
    </row>
    <row r="473" ht="15.75" customHeight="1">
      <c r="A473" s="30"/>
      <c r="B473" s="30"/>
      <c r="C473" s="30"/>
      <c r="D473" s="97"/>
      <c r="E473" s="30"/>
      <c r="F473" s="30"/>
      <c r="G473" s="30"/>
      <c r="H473" s="30"/>
    </row>
    <row r="474" ht="15.75" customHeight="1">
      <c r="A474" s="30"/>
      <c r="B474" s="30"/>
      <c r="C474" s="30"/>
      <c r="D474" s="97"/>
      <c r="E474" s="30"/>
      <c r="F474" s="30"/>
      <c r="G474" s="30"/>
      <c r="H474" s="30"/>
    </row>
    <row r="475" ht="15.75" customHeight="1">
      <c r="A475" s="30"/>
      <c r="B475" s="30"/>
      <c r="C475" s="30"/>
      <c r="D475" s="97"/>
      <c r="E475" s="30"/>
      <c r="F475" s="30"/>
      <c r="G475" s="30"/>
      <c r="H475" s="30"/>
    </row>
    <row r="476" ht="15.75" customHeight="1">
      <c r="A476" s="30"/>
      <c r="B476" s="30"/>
      <c r="C476" s="30"/>
      <c r="D476" s="97"/>
      <c r="E476" s="30"/>
      <c r="F476" s="30"/>
      <c r="G476" s="30"/>
      <c r="H476" s="30"/>
    </row>
    <row r="477" ht="15.75" customHeight="1">
      <c r="A477" s="30"/>
      <c r="B477" s="30"/>
      <c r="C477" s="30"/>
      <c r="D477" s="97"/>
      <c r="E477" s="30"/>
      <c r="F477" s="30"/>
      <c r="G477" s="30"/>
      <c r="H477" s="30"/>
    </row>
    <row r="478" ht="15.75" customHeight="1">
      <c r="A478" s="30"/>
      <c r="B478" s="30"/>
      <c r="C478" s="30"/>
      <c r="D478" s="97"/>
      <c r="E478" s="30"/>
      <c r="F478" s="30"/>
      <c r="G478" s="30"/>
      <c r="H478" s="30"/>
    </row>
    <row r="479" ht="15.75" customHeight="1">
      <c r="A479" s="30"/>
      <c r="B479" s="30"/>
      <c r="C479" s="30"/>
      <c r="D479" s="97"/>
      <c r="E479" s="30"/>
      <c r="F479" s="30"/>
      <c r="G479" s="30"/>
      <c r="H479" s="30"/>
    </row>
    <row r="480" ht="15.75" customHeight="1">
      <c r="A480" s="30"/>
      <c r="B480" s="30"/>
      <c r="C480" s="30"/>
      <c r="D480" s="97"/>
      <c r="E480" s="30"/>
      <c r="F480" s="30"/>
      <c r="G480" s="30"/>
      <c r="H480" s="30"/>
    </row>
    <row r="481" ht="15.75" customHeight="1">
      <c r="A481" s="30"/>
      <c r="B481" s="30"/>
      <c r="C481" s="30"/>
      <c r="D481" s="97"/>
      <c r="E481" s="30"/>
      <c r="F481" s="30"/>
      <c r="G481" s="30"/>
      <c r="H481" s="30"/>
    </row>
    <row r="482" ht="15.75" customHeight="1">
      <c r="A482" s="30"/>
      <c r="B482" s="30"/>
      <c r="C482" s="30"/>
      <c r="D482" s="97"/>
      <c r="E482" s="30"/>
      <c r="F482" s="30"/>
      <c r="G482" s="30"/>
      <c r="H482" s="30"/>
    </row>
    <row r="483" ht="15.75" customHeight="1">
      <c r="A483" s="30"/>
      <c r="B483" s="30"/>
      <c r="C483" s="30"/>
      <c r="D483" s="97"/>
      <c r="E483" s="30"/>
      <c r="F483" s="30"/>
      <c r="G483" s="30"/>
      <c r="H483" s="30"/>
    </row>
    <row r="484" ht="15.75" customHeight="1">
      <c r="A484" s="30"/>
      <c r="B484" s="30"/>
      <c r="C484" s="30"/>
      <c r="D484" s="97"/>
      <c r="E484" s="30"/>
      <c r="F484" s="30"/>
      <c r="G484" s="30"/>
      <c r="H484" s="30"/>
    </row>
    <row r="485" ht="15.75" customHeight="1">
      <c r="A485" s="30"/>
      <c r="B485" s="30"/>
      <c r="C485" s="30"/>
      <c r="D485" s="97"/>
      <c r="E485" s="30"/>
      <c r="F485" s="30"/>
      <c r="G485" s="30"/>
      <c r="H485" s="30"/>
    </row>
    <row r="486" ht="15.75" customHeight="1">
      <c r="A486" s="30"/>
      <c r="B486" s="30"/>
      <c r="C486" s="30"/>
      <c r="D486" s="97"/>
      <c r="E486" s="30"/>
      <c r="F486" s="30"/>
      <c r="G486" s="30"/>
      <c r="H486" s="30"/>
    </row>
    <row r="487" ht="15.75" customHeight="1">
      <c r="A487" s="30"/>
      <c r="B487" s="30"/>
      <c r="C487" s="30"/>
      <c r="D487" s="97"/>
      <c r="E487" s="30"/>
      <c r="F487" s="30"/>
      <c r="G487" s="30"/>
      <c r="H487" s="30"/>
    </row>
    <row r="488" ht="15.75" customHeight="1">
      <c r="A488" s="30"/>
      <c r="B488" s="30"/>
      <c r="C488" s="30"/>
      <c r="D488" s="97"/>
      <c r="E488" s="30"/>
      <c r="F488" s="30"/>
      <c r="G488" s="30"/>
      <c r="H488" s="30"/>
    </row>
    <row r="489" ht="15.75" customHeight="1">
      <c r="A489" s="30"/>
      <c r="B489" s="30"/>
      <c r="C489" s="30"/>
      <c r="D489" s="97"/>
      <c r="E489" s="30"/>
      <c r="F489" s="30"/>
      <c r="G489" s="30"/>
      <c r="H489" s="30"/>
    </row>
    <row r="490" ht="15.75" customHeight="1">
      <c r="A490" s="30"/>
      <c r="B490" s="30"/>
      <c r="C490" s="30"/>
      <c r="D490" s="97"/>
      <c r="E490" s="30"/>
      <c r="F490" s="30"/>
      <c r="G490" s="30"/>
      <c r="H490" s="30"/>
    </row>
    <row r="491" ht="15.75" customHeight="1">
      <c r="A491" s="30"/>
      <c r="B491" s="30"/>
      <c r="C491" s="30"/>
      <c r="D491" s="97"/>
      <c r="E491" s="30"/>
      <c r="F491" s="30"/>
      <c r="G491" s="30"/>
      <c r="H491" s="30"/>
    </row>
    <row r="492" ht="15.75" customHeight="1">
      <c r="A492" s="30"/>
      <c r="B492" s="30"/>
      <c r="C492" s="30"/>
      <c r="D492" s="97"/>
      <c r="E492" s="30"/>
      <c r="F492" s="30"/>
      <c r="G492" s="30"/>
      <c r="H492" s="30"/>
    </row>
    <row r="493" ht="15.75" customHeight="1">
      <c r="A493" s="30"/>
      <c r="B493" s="30"/>
      <c r="C493" s="30"/>
      <c r="D493" s="97"/>
      <c r="E493" s="30"/>
      <c r="F493" s="30"/>
      <c r="G493" s="30"/>
      <c r="H493" s="30"/>
    </row>
    <row r="494" ht="15.75" customHeight="1">
      <c r="A494" s="30"/>
      <c r="B494" s="30"/>
      <c r="C494" s="30"/>
      <c r="D494" s="97"/>
      <c r="E494" s="30"/>
      <c r="F494" s="30"/>
      <c r="G494" s="30"/>
      <c r="H494" s="30"/>
    </row>
    <row r="495" ht="15.75" customHeight="1">
      <c r="A495" s="30"/>
      <c r="B495" s="30"/>
      <c r="C495" s="30"/>
      <c r="D495" s="97"/>
      <c r="E495" s="30"/>
      <c r="F495" s="30"/>
      <c r="G495" s="30"/>
      <c r="H495" s="30"/>
    </row>
    <row r="496" ht="15.75" customHeight="1">
      <c r="A496" s="30"/>
      <c r="B496" s="30"/>
      <c r="C496" s="30"/>
      <c r="D496" s="97"/>
      <c r="E496" s="30"/>
      <c r="F496" s="30"/>
      <c r="G496" s="30"/>
      <c r="H496" s="30"/>
    </row>
    <row r="497" ht="15.75" customHeight="1">
      <c r="A497" s="30"/>
      <c r="B497" s="30"/>
      <c r="C497" s="30"/>
      <c r="D497" s="97"/>
      <c r="E497" s="30"/>
      <c r="F497" s="30"/>
      <c r="G497" s="30"/>
      <c r="H497" s="30"/>
    </row>
    <row r="498" ht="15.75" customHeight="1">
      <c r="A498" s="30"/>
      <c r="B498" s="30"/>
      <c r="C498" s="30"/>
      <c r="D498" s="97"/>
      <c r="E498" s="30"/>
      <c r="F498" s="30"/>
      <c r="G498" s="30"/>
      <c r="H498" s="30"/>
    </row>
    <row r="499" ht="15.75" customHeight="1">
      <c r="A499" s="30"/>
      <c r="B499" s="30"/>
      <c r="C499" s="30"/>
      <c r="D499" s="97"/>
      <c r="E499" s="30"/>
      <c r="F499" s="30"/>
      <c r="G499" s="30"/>
      <c r="H499" s="30"/>
    </row>
    <row r="500" ht="15.75" customHeight="1">
      <c r="A500" s="30"/>
      <c r="B500" s="30"/>
      <c r="C500" s="30"/>
      <c r="D500" s="97"/>
      <c r="E500" s="30"/>
      <c r="F500" s="30"/>
      <c r="G500" s="30"/>
      <c r="H500" s="30"/>
    </row>
    <row r="501" ht="15.75" customHeight="1">
      <c r="A501" s="30"/>
      <c r="B501" s="30"/>
      <c r="C501" s="30"/>
      <c r="D501" s="97"/>
      <c r="E501" s="30"/>
      <c r="F501" s="30"/>
      <c r="G501" s="30"/>
      <c r="H501" s="30"/>
    </row>
    <row r="502" ht="15.75" customHeight="1">
      <c r="A502" s="30"/>
      <c r="B502" s="30"/>
      <c r="C502" s="30"/>
      <c r="D502" s="97"/>
      <c r="E502" s="30"/>
      <c r="F502" s="30"/>
      <c r="G502" s="30"/>
      <c r="H502" s="30"/>
    </row>
    <row r="503" ht="15.75" customHeight="1">
      <c r="A503" s="30"/>
      <c r="B503" s="30"/>
      <c r="C503" s="30"/>
      <c r="D503" s="97"/>
      <c r="E503" s="30"/>
      <c r="F503" s="30"/>
      <c r="G503" s="30"/>
      <c r="H503" s="30"/>
    </row>
    <row r="504" ht="15.75" customHeight="1">
      <c r="A504" s="30"/>
      <c r="B504" s="30"/>
      <c r="C504" s="30"/>
      <c r="D504" s="97"/>
      <c r="E504" s="30"/>
      <c r="F504" s="30"/>
      <c r="G504" s="30"/>
      <c r="H504" s="30"/>
    </row>
    <row r="505" ht="15.75" customHeight="1">
      <c r="A505" s="30"/>
      <c r="B505" s="30"/>
      <c r="C505" s="30"/>
      <c r="D505" s="97"/>
      <c r="E505" s="30"/>
      <c r="F505" s="30"/>
      <c r="G505" s="30"/>
      <c r="H505" s="30"/>
    </row>
    <row r="506" ht="15.75" customHeight="1">
      <c r="A506" s="30"/>
      <c r="B506" s="30"/>
      <c r="C506" s="30"/>
      <c r="D506" s="97"/>
      <c r="E506" s="30"/>
      <c r="F506" s="30"/>
      <c r="G506" s="30"/>
      <c r="H506" s="30"/>
    </row>
    <row r="507" ht="15.75" customHeight="1">
      <c r="A507" s="30"/>
      <c r="B507" s="30"/>
      <c r="C507" s="30"/>
      <c r="D507" s="97"/>
      <c r="E507" s="30"/>
      <c r="F507" s="30"/>
      <c r="G507" s="30"/>
      <c r="H507" s="30"/>
    </row>
    <row r="508" ht="15.75" customHeight="1">
      <c r="A508" s="30"/>
      <c r="B508" s="30"/>
      <c r="C508" s="30"/>
      <c r="D508" s="97"/>
      <c r="E508" s="30"/>
      <c r="F508" s="30"/>
      <c r="G508" s="30"/>
      <c r="H508" s="30"/>
    </row>
    <row r="509" ht="15.75" customHeight="1">
      <c r="A509" s="30"/>
      <c r="B509" s="30"/>
      <c r="C509" s="30"/>
      <c r="D509" s="97"/>
      <c r="E509" s="30"/>
      <c r="F509" s="30"/>
      <c r="G509" s="30"/>
      <c r="H509" s="30"/>
    </row>
    <row r="510" ht="15.75" customHeight="1">
      <c r="A510" s="30"/>
      <c r="B510" s="30"/>
      <c r="C510" s="30"/>
      <c r="D510" s="97"/>
      <c r="E510" s="30"/>
      <c r="F510" s="30"/>
      <c r="G510" s="30"/>
      <c r="H510" s="30"/>
    </row>
    <row r="511" ht="15.75" customHeight="1">
      <c r="A511" s="30"/>
      <c r="B511" s="30"/>
      <c r="C511" s="30"/>
      <c r="D511" s="97"/>
      <c r="E511" s="30"/>
      <c r="F511" s="30"/>
      <c r="G511" s="30"/>
      <c r="H511" s="30"/>
    </row>
    <row r="512" ht="15.75" customHeight="1">
      <c r="A512" s="30"/>
      <c r="B512" s="30"/>
      <c r="C512" s="30"/>
      <c r="D512" s="97"/>
      <c r="E512" s="30"/>
      <c r="F512" s="30"/>
      <c r="G512" s="30"/>
      <c r="H512" s="30"/>
    </row>
    <row r="513" ht="15.75" customHeight="1">
      <c r="A513" s="30"/>
      <c r="B513" s="30"/>
      <c r="C513" s="30"/>
      <c r="D513" s="97"/>
      <c r="E513" s="30"/>
      <c r="F513" s="30"/>
      <c r="G513" s="30"/>
      <c r="H513" s="30"/>
    </row>
    <row r="514" ht="15.75" customHeight="1">
      <c r="A514" s="30"/>
      <c r="B514" s="30"/>
      <c r="C514" s="30"/>
      <c r="D514" s="97"/>
      <c r="E514" s="30"/>
      <c r="F514" s="30"/>
      <c r="G514" s="30"/>
      <c r="H514" s="30"/>
    </row>
    <row r="515" ht="15.75" customHeight="1">
      <c r="A515" s="30"/>
      <c r="B515" s="30"/>
      <c r="C515" s="30"/>
      <c r="D515" s="97"/>
      <c r="E515" s="30"/>
      <c r="F515" s="30"/>
      <c r="G515" s="30"/>
      <c r="H515" s="30"/>
    </row>
    <row r="516" ht="15.75" customHeight="1">
      <c r="A516" s="30"/>
      <c r="B516" s="30"/>
      <c r="C516" s="30"/>
      <c r="D516" s="97"/>
      <c r="E516" s="30"/>
      <c r="F516" s="30"/>
      <c r="G516" s="30"/>
      <c r="H516" s="30"/>
    </row>
    <row r="517" ht="15.75" customHeight="1">
      <c r="A517" s="30"/>
      <c r="B517" s="30"/>
      <c r="C517" s="30"/>
      <c r="D517" s="97"/>
      <c r="E517" s="30"/>
      <c r="F517" s="30"/>
      <c r="G517" s="30"/>
      <c r="H517" s="30"/>
    </row>
    <row r="518" ht="15.75" customHeight="1">
      <c r="A518" s="30"/>
      <c r="B518" s="30"/>
      <c r="C518" s="30"/>
      <c r="D518" s="97"/>
      <c r="E518" s="30"/>
      <c r="F518" s="30"/>
      <c r="G518" s="30"/>
      <c r="H518" s="30"/>
    </row>
    <row r="519" ht="15.75" customHeight="1">
      <c r="A519" s="30"/>
      <c r="B519" s="30"/>
      <c r="C519" s="30"/>
      <c r="D519" s="97"/>
      <c r="E519" s="30"/>
      <c r="F519" s="30"/>
      <c r="G519" s="30"/>
      <c r="H519" s="30"/>
    </row>
    <row r="520" ht="15.75" customHeight="1">
      <c r="A520" s="30"/>
      <c r="B520" s="30"/>
      <c r="C520" s="30"/>
      <c r="D520" s="97"/>
      <c r="E520" s="30"/>
      <c r="F520" s="30"/>
      <c r="G520" s="30"/>
      <c r="H520" s="30"/>
    </row>
    <row r="521" ht="15.75" customHeight="1">
      <c r="A521" s="30"/>
      <c r="B521" s="30"/>
      <c r="C521" s="30"/>
      <c r="D521" s="97"/>
      <c r="E521" s="30"/>
      <c r="F521" s="30"/>
      <c r="G521" s="30"/>
      <c r="H521" s="30"/>
    </row>
    <row r="522" ht="15.75" customHeight="1">
      <c r="A522" s="30"/>
      <c r="B522" s="30"/>
      <c r="C522" s="30"/>
      <c r="D522" s="97"/>
      <c r="E522" s="30"/>
      <c r="F522" s="30"/>
      <c r="G522" s="30"/>
      <c r="H522" s="30"/>
    </row>
    <row r="523" ht="15.75" customHeight="1">
      <c r="A523" s="30"/>
      <c r="B523" s="30"/>
      <c r="C523" s="30"/>
      <c r="D523" s="97"/>
      <c r="E523" s="30"/>
      <c r="F523" s="30"/>
      <c r="G523" s="30"/>
      <c r="H523" s="30"/>
    </row>
    <row r="524" ht="15.75" customHeight="1">
      <c r="A524" s="30"/>
      <c r="B524" s="30"/>
      <c r="C524" s="30"/>
      <c r="D524" s="97"/>
      <c r="E524" s="30"/>
      <c r="F524" s="30"/>
      <c r="G524" s="30"/>
      <c r="H524" s="30"/>
    </row>
    <row r="525" ht="15.75" customHeight="1">
      <c r="A525" s="30"/>
      <c r="B525" s="30"/>
      <c r="C525" s="30"/>
      <c r="D525" s="97"/>
      <c r="E525" s="30"/>
      <c r="F525" s="30"/>
      <c r="G525" s="30"/>
      <c r="H525" s="30"/>
    </row>
    <row r="526" ht="15.75" customHeight="1">
      <c r="A526" s="30"/>
      <c r="B526" s="30"/>
      <c r="C526" s="30"/>
      <c r="D526" s="97"/>
      <c r="E526" s="30"/>
      <c r="F526" s="30"/>
      <c r="G526" s="30"/>
      <c r="H526" s="30"/>
    </row>
    <row r="527" ht="15.75" customHeight="1">
      <c r="A527" s="30"/>
      <c r="B527" s="30"/>
      <c r="C527" s="30"/>
      <c r="D527" s="97"/>
      <c r="E527" s="30"/>
      <c r="F527" s="30"/>
      <c r="G527" s="30"/>
      <c r="H527" s="30"/>
    </row>
    <row r="528" ht="15.75" customHeight="1">
      <c r="A528" s="30"/>
      <c r="B528" s="30"/>
      <c r="C528" s="30"/>
      <c r="D528" s="97"/>
      <c r="E528" s="30"/>
      <c r="F528" s="30"/>
      <c r="G528" s="30"/>
      <c r="H528" s="30"/>
    </row>
    <row r="529" ht="15.75" customHeight="1">
      <c r="A529" s="30"/>
      <c r="B529" s="30"/>
      <c r="C529" s="30"/>
      <c r="D529" s="97"/>
      <c r="E529" s="30"/>
      <c r="F529" s="30"/>
      <c r="G529" s="30"/>
      <c r="H529" s="30"/>
    </row>
    <row r="530" ht="15.75" customHeight="1">
      <c r="A530" s="30"/>
      <c r="B530" s="30"/>
      <c r="C530" s="30"/>
      <c r="D530" s="97"/>
      <c r="E530" s="30"/>
      <c r="F530" s="30"/>
      <c r="G530" s="30"/>
      <c r="H530" s="30"/>
    </row>
    <row r="531" ht="15.75" customHeight="1">
      <c r="A531" s="30"/>
      <c r="B531" s="30"/>
      <c r="C531" s="30"/>
      <c r="D531" s="97"/>
      <c r="E531" s="30"/>
      <c r="F531" s="30"/>
      <c r="G531" s="30"/>
      <c r="H531" s="30"/>
    </row>
    <row r="532" ht="15.75" customHeight="1">
      <c r="A532" s="30"/>
      <c r="B532" s="30"/>
      <c r="C532" s="30"/>
      <c r="D532" s="97"/>
      <c r="E532" s="30"/>
      <c r="F532" s="30"/>
      <c r="G532" s="30"/>
      <c r="H532" s="30"/>
    </row>
    <row r="533" ht="15.75" customHeight="1">
      <c r="A533" s="30"/>
      <c r="B533" s="30"/>
      <c r="C533" s="30"/>
      <c r="D533" s="97"/>
      <c r="E533" s="30"/>
      <c r="F533" s="30"/>
      <c r="G533" s="30"/>
      <c r="H533" s="30"/>
    </row>
    <row r="534" ht="15.75" customHeight="1">
      <c r="A534" s="30"/>
      <c r="B534" s="30"/>
      <c r="C534" s="30"/>
      <c r="D534" s="97"/>
      <c r="E534" s="30"/>
      <c r="F534" s="30"/>
      <c r="G534" s="30"/>
      <c r="H534" s="30"/>
    </row>
    <row r="535" ht="15.75" customHeight="1">
      <c r="A535" s="30"/>
      <c r="B535" s="30"/>
      <c r="C535" s="30"/>
      <c r="D535" s="97"/>
      <c r="E535" s="30"/>
      <c r="F535" s="30"/>
      <c r="G535" s="30"/>
      <c r="H535" s="30"/>
    </row>
    <row r="536" ht="15.75" customHeight="1">
      <c r="A536" s="30"/>
      <c r="B536" s="30"/>
      <c r="C536" s="30"/>
      <c r="D536" s="97"/>
      <c r="E536" s="30"/>
      <c r="F536" s="30"/>
      <c r="G536" s="30"/>
      <c r="H536" s="30"/>
    </row>
    <row r="537" ht="15.75" customHeight="1">
      <c r="A537" s="30"/>
      <c r="B537" s="30"/>
      <c r="C537" s="30"/>
      <c r="D537" s="97"/>
      <c r="E537" s="30"/>
      <c r="F537" s="30"/>
      <c r="G537" s="30"/>
      <c r="H537" s="30"/>
    </row>
    <row r="538" ht="15.75" customHeight="1">
      <c r="A538" s="30"/>
      <c r="B538" s="30"/>
      <c r="C538" s="30"/>
      <c r="D538" s="97"/>
      <c r="E538" s="30"/>
      <c r="F538" s="30"/>
      <c r="G538" s="30"/>
      <c r="H538" s="30"/>
    </row>
    <row r="539" ht="15.75" customHeight="1">
      <c r="A539" s="30"/>
      <c r="B539" s="30"/>
      <c r="C539" s="30"/>
      <c r="D539" s="97"/>
      <c r="E539" s="30"/>
      <c r="F539" s="30"/>
      <c r="G539" s="30"/>
      <c r="H539" s="30"/>
    </row>
    <row r="540" ht="15.75" customHeight="1">
      <c r="A540" s="30"/>
      <c r="B540" s="30"/>
      <c r="C540" s="30"/>
      <c r="D540" s="97"/>
      <c r="E540" s="30"/>
      <c r="F540" s="30"/>
      <c r="G540" s="30"/>
      <c r="H540" s="30"/>
    </row>
    <row r="541" ht="15.75" customHeight="1">
      <c r="A541" s="30"/>
      <c r="B541" s="30"/>
      <c r="C541" s="30"/>
      <c r="D541" s="97"/>
      <c r="E541" s="30"/>
      <c r="F541" s="30"/>
      <c r="G541" s="30"/>
      <c r="H541" s="30"/>
    </row>
    <row r="542" ht="15.75" customHeight="1">
      <c r="A542" s="30"/>
      <c r="B542" s="30"/>
      <c r="C542" s="30"/>
      <c r="D542" s="97"/>
      <c r="E542" s="30"/>
      <c r="F542" s="30"/>
      <c r="G542" s="30"/>
      <c r="H542" s="30"/>
    </row>
    <row r="543" ht="15.75" customHeight="1">
      <c r="A543" s="30"/>
      <c r="B543" s="30"/>
      <c r="C543" s="30"/>
      <c r="D543" s="97"/>
      <c r="E543" s="30"/>
      <c r="F543" s="30"/>
      <c r="G543" s="30"/>
      <c r="H543" s="30"/>
    </row>
    <row r="544" ht="15.75" customHeight="1">
      <c r="A544" s="30"/>
      <c r="B544" s="30"/>
      <c r="C544" s="30"/>
      <c r="D544" s="97"/>
      <c r="E544" s="30"/>
      <c r="F544" s="30"/>
      <c r="G544" s="30"/>
      <c r="H544" s="30"/>
    </row>
    <row r="545" ht="15.75" customHeight="1">
      <c r="A545" s="30"/>
      <c r="B545" s="30"/>
      <c r="C545" s="30"/>
      <c r="D545" s="97"/>
      <c r="E545" s="30"/>
      <c r="F545" s="30"/>
      <c r="G545" s="30"/>
      <c r="H545" s="30"/>
    </row>
    <row r="546" ht="15.75" customHeight="1">
      <c r="A546" s="30"/>
      <c r="B546" s="30"/>
      <c r="C546" s="30"/>
      <c r="D546" s="97"/>
      <c r="E546" s="30"/>
      <c r="F546" s="30"/>
      <c r="G546" s="30"/>
      <c r="H546" s="30"/>
    </row>
    <row r="547" ht="15.75" customHeight="1">
      <c r="A547" s="30"/>
      <c r="B547" s="30"/>
      <c r="C547" s="30"/>
      <c r="D547" s="97"/>
      <c r="E547" s="30"/>
      <c r="F547" s="30"/>
      <c r="G547" s="30"/>
      <c r="H547" s="30"/>
    </row>
    <row r="548" ht="15.75" customHeight="1">
      <c r="A548" s="30"/>
      <c r="B548" s="30"/>
      <c r="C548" s="30"/>
      <c r="D548" s="97"/>
      <c r="E548" s="30"/>
      <c r="F548" s="30"/>
      <c r="G548" s="30"/>
      <c r="H548" s="30"/>
    </row>
    <row r="549" ht="15.75" customHeight="1">
      <c r="A549" s="30"/>
      <c r="B549" s="30"/>
      <c r="C549" s="30"/>
      <c r="D549" s="97"/>
      <c r="E549" s="30"/>
      <c r="F549" s="30"/>
      <c r="G549" s="30"/>
      <c r="H549" s="30"/>
    </row>
    <row r="550" ht="15.75" customHeight="1">
      <c r="A550" s="30"/>
      <c r="B550" s="30"/>
      <c r="C550" s="30"/>
      <c r="D550" s="97"/>
      <c r="E550" s="30"/>
      <c r="F550" s="30"/>
      <c r="G550" s="30"/>
      <c r="H550" s="30"/>
    </row>
    <row r="551" ht="15.75" customHeight="1">
      <c r="A551" s="30"/>
      <c r="B551" s="30"/>
      <c r="C551" s="30"/>
      <c r="D551" s="97"/>
      <c r="E551" s="30"/>
      <c r="F551" s="30"/>
      <c r="G551" s="30"/>
      <c r="H551" s="30"/>
    </row>
    <row r="552" ht="15.75" customHeight="1">
      <c r="A552" s="30"/>
      <c r="B552" s="30"/>
      <c r="C552" s="30"/>
      <c r="D552" s="97"/>
      <c r="E552" s="30"/>
      <c r="F552" s="30"/>
      <c r="G552" s="30"/>
      <c r="H552" s="30"/>
    </row>
    <row r="553" ht="15.75" customHeight="1">
      <c r="A553" s="30"/>
      <c r="B553" s="30"/>
      <c r="C553" s="30"/>
      <c r="D553" s="97"/>
      <c r="E553" s="30"/>
      <c r="F553" s="30"/>
      <c r="G553" s="30"/>
      <c r="H553" s="30"/>
    </row>
    <row r="554" ht="15.75" customHeight="1">
      <c r="A554" s="30"/>
      <c r="B554" s="30"/>
      <c r="C554" s="30"/>
      <c r="D554" s="97"/>
      <c r="E554" s="30"/>
      <c r="F554" s="30"/>
      <c r="G554" s="30"/>
      <c r="H554" s="30"/>
    </row>
    <row r="555" ht="15.75" customHeight="1">
      <c r="A555" s="30"/>
      <c r="B555" s="30"/>
      <c r="C555" s="30"/>
      <c r="D555" s="97"/>
      <c r="E555" s="30"/>
      <c r="F555" s="30"/>
      <c r="G555" s="30"/>
      <c r="H555" s="30"/>
    </row>
    <row r="556" ht="15.75" customHeight="1">
      <c r="A556" s="30"/>
      <c r="B556" s="30"/>
      <c r="C556" s="30"/>
      <c r="D556" s="97"/>
      <c r="E556" s="30"/>
      <c r="F556" s="30"/>
      <c r="G556" s="30"/>
      <c r="H556" s="30"/>
    </row>
    <row r="557" ht="15.75" customHeight="1">
      <c r="A557" s="30"/>
      <c r="B557" s="30"/>
      <c r="C557" s="30"/>
      <c r="D557" s="97"/>
      <c r="E557" s="30"/>
      <c r="F557" s="30"/>
      <c r="G557" s="30"/>
      <c r="H557" s="30"/>
    </row>
    <row r="558" ht="15.75" customHeight="1">
      <c r="A558" s="30"/>
      <c r="B558" s="30"/>
      <c r="C558" s="30"/>
      <c r="D558" s="97"/>
      <c r="E558" s="30"/>
      <c r="F558" s="30"/>
      <c r="G558" s="30"/>
      <c r="H558" s="30"/>
    </row>
    <row r="559" ht="15.75" customHeight="1">
      <c r="A559" s="30"/>
      <c r="B559" s="30"/>
      <c r="C559" s="30"/>
      <c r="D559" s="97"/>
      <c r="E559" s="30"/>
      <c r="F559" s="30"/>
      <c r="G559" s="30"/>
      <c r="H559" s="30"/>
    </row>
    <row r="560" ht="15.75" customHeight="1">
      <c r="A560" s="30"/>
      <c r="B560" s="30"/>
      <c r="C560" s="30"/>
      <c r="D560" s="97"/>
      <c r="E560" s="30"/>
      <c r="F560" s="30"/>
      <c r="G560" s="30"/>
      <c r="H560" s="30"/>
    </row>
    <row r="561" ht="15.75" customHeight="1">
      <c r="A561" s="30"/>
      <c r="B561" s="30"/>
      <c r="C561" s="30"/>
      <c r="D561" s="97"/>
      <c r="E561" s="30"/>
      <c r="F561" s="30"/>
      <c r="G561" s="30"/>
      <c r="H561" s="30"/>
    </row>
    <row r="562" ht="15.75" customHeight="1">
      <c r="A562" s="30"/>
      <c r="B562" s="30"/>
      <c r="C562" s="30"/>
      <c r="D562" s="97"/>
      <c r="E562" s="30"/>
      <c r="F562" s="30"/>
      <c r="G562" s="30"/>
      <c r="H562" s="30"/>
    </row>
    <row r="563" ht="15.75" customHeight="1">
      <c r="A563" s="30"/>
      <c r="B563" s="30"/>
      <c r="C563" s="30"/>
      <c r="D563" s="97"/>
      <c r="E563" s="30"/>
      <c r="F563" s="30"/>
      <c r="G563" s="30"/>
      <c r="H563" s="30"/>
    </row>
    <row r="564" ht="15.75" customHeight="1">
      <c r="A564" s="30"/>
      <c r="B564" s="30"/>
      <c r="C564" s="30"/>
      <c r="D564" s="97"/>
      <c r="E564" s="30"/>
      <c r="F564" s="30"/>
      <c r="G564" s="30"/>
      <c r="H564" s="30"/>
    </row>
    <row r="565" ht="15.75" customHeight="1">
      <c r="A565" s="30"/>
      <c r="B565" s="30"/>
      <c r="C565" s="30"/>
      <c r="D565" s="97"/>
      <c r="E565" s="30"/>
      <c r="F565" s="30"/>
      <c r="G565" s="30"/>
      <c r="H565" s="30"/>
    </row>
    <row r="566" ht="15.75" customHeight="1">
      <c r="A566" s="30"/>
      <c r="B566" s="30"/>
      <c r="C566" s="30"/>
      <c r="D566" s="97"/>
      <c r="E566" s="30"/>
      <c r="F566" s="30"/>
      <c r="G566" s="30"/>
      <c r="H566" s="30"/>
    </row>
    <row r="567" ht="15.75" customHeight="1">
      <c r="A567" s="30"/>
      <c r="B567" s="30"/>
      <c r="C567" s="30"/>
      <c r="D567" s="97"/>
      <c r="E567" s="30"/>
      <c r="F567" s="30"/>
      <c r="G567" s="30"/>
      <c r="H567" s="30"/>
    </row>
    <row r="568" ht="15.75" customHeight="1">
      <c r="A568" s="30"/>
      <c r="B568" s="30"/>
      <c r="C568" s="30"/>
      <c r="D568" s="97"/>
      <c r="E568" s="30"/>
      <c r="F568" s="30"/>
      <c r="G568" s="30"/>
      <c r="H568" s="30"/>
    </row>
    <row r="569" ht="15.75" customHeight="1">
      <c r="A569" s="30"/>
      <c r="B569" s="30"/>
      <c r="C569" s="30"/>
      <c r="D569" s="97"/>
      <c r="E569" s="30"/>
      <c r="F569" s="30"/>
      <c r="G569" s="30"/>
      <c r="H569" s="30"/>
    </row>
    <row r="570" ht="15.75" customHeight="1">
      <c r="A570" s="30"/>
      <c r="B570" s="30"/>
      <c r="C570" s="30"/>
      <c r="D570" s="97"/>
      <c r="E570" s="30"/>
      <c r="F570" s="30"/>
      <c r="G570" s="30"/>
      <c r="H570" s="30"/>
    </row>
    <row r="571" ht="15.75" customHeight="1">
      <c r="A571" s="30"/>
      <c r="B571" s="30"/>
      <c r="C571" s="30"/>
      <c r="D571" s="97"/>
      <c r="E571" s="30"/>
      <c r="F571" s="30"/>
      <c r="G571" s="30"/>
      <c r="H571" s="30"/>
    </row>
    <row r="572" ht="15.75" customHeight="1">
      <c r="A572" s="30"/>
      <c r="B572" s="30"/>
      <c r="C572" s="30"/>
      <c r="D572" s="97"/>
      <c r="E572" s="30"/>
      <c r="F572" s="30"/>
      <c r="G572" s="30"/>
      <c r="H572" s="30"/>
    </row>
    <row r="573" ht="15.75" customHeight="1">
      <c r="A573" s="30"/>
      <c r="B573" s="30"/>
      <c r="C573" s="30"/>
      <c r="D573" s="97"/>
      <c r="E573" s="30"/>
      <c r="F573" s="30"/>
      <c r="G573" s="30"/>
      <c r="H573" s="30"/>
    </row>
    <row r="574" ht="15.75" customHeight="1">
      <c r="A574" s="30"/>
      <c r="B574" s="30"/>
      <c r="C574" s="30"/>
      <c r="D574" s="97"/>
      <c r="E574" s="30"/>
      <c r="F574" s="30"/>
      <c r="G574" s="30"/>
      <c r="H574" s="30"/>
    </row>
    <row r="575" ht="15.75" customHeight="1">
      <c r="A575" s="30"/>
      <c r="B575" s="30"/>
      <c r="C575" s="30"/>
      <c r="D575" s="97"/>
      <c r="E575" s="30"/>
      <c r="F575" s="30"/>
      <c r="G575" s="30"/>
      <c r="H575" s="30"/>
    </row>
    <row r="576" ht="15.75" customHeight="1">
      <c r="A576" s="30"/>
      <c r="B576" s="30"/>
      <c r="C576" s="30"/>
      <c r="D576" s="97"/>
      <c r="E576" s="30"/>
      <c r="F576" s="30"/>
      <c r="G576" s="30"/>
      <c r="H576" s="30"/>
    </row>
    <row r="577" ht="15.75" customHeight="1">
      <c r="A577" s="30"/>
      <c r="B577" s="30"/>
      <c r="C577" s="30"/>
      <c r="D577" s="97"/>
      <c r="E577" s="30"/>
      <c r="F577" s="30"/>
      <c r="G577" s="30"/>
      <c r="H577" s="30"/>
    </row>
    <row r="578" ht="15.75" customHeight="1">
      <c r="A578" s="30"/>
      <c r="B578" s="30"/>
      <c r="C578" s="30"/>
      <c r="D578" s="97"/>
      <c r="E578" s="30"/>
      <c r="F578" s="30"/>
      <c r="G578" s="30"/>
      <c r="H578" s="30"/>
    </row>
    <row r="579" ht="15.75" customHeight="1">
      <c r="A579" s="30"/>
      <c r="B579" s="30"/>
      <c r="C579" s="30"/>
      <c r="D579" s="97"/>
      <c r="E579" s="30"/>
      <c r="F579" s="30"/>
      <c r="G579" s="30"/>
      <c r="H579" s="30"/>
    </row>
    <row r="580" ht="15.75" customHeight="1">
      <c r="A580" s="30"/>
      <c r="B580" s="30"/>
      <c r="C580" s="30"/>
      <c r="D580" s="97"/>
      <c r="E580" s="30"/>
      <c r="F580" s="30"/>
      <c r="G580" s="30"/>
      <c r="H580" s="30"/>
    </row>
    <row r="581" ht="15.75" customHeight="1">
      <c r="A581" s="30"/>
      <c r="B581" s="30"/>
      <c r="C581" s="30"/>
      <c r="D581" s="97"/>
      <c r="E581" s="30"/>
      <c r="F581" s="30"/>
      <c r="G581" s="30"/>
      <c r="H581" s="30"/>
    </row>
    <row r="582" ht="15.75" customHeight="1">
      <c r="A582" s="30"/>
      <c r="B582" s="30"/>
      <c r="C582" s="30"/>
      <c r="D582" s="97"/>
      <c r="E582" s="30"/>
      <c r="F582" s="30"/>
      <c r="G582" s="30"/>
      <c r="H582" s="30"/>
    </row>
    <row r="583" ht="15.75" customHeight="1">
      <c r="A583" s="30"/>
      <c r="B583" s="30"/>
      <c r="C583" s="30"/>
      <c r="D583" s="97"/>
      <c r="E583" s="30"/>
      <c r="F583" s="30"/>
      <c r="G583" s="30"/>
      <c r="H583" s="30"/>
    </row>
    <row r="584" ht="15.75" customHeight="1">
      <c r="A584" s="30"/>
      <c r="B584" s="30"/>
      <c r="C584" s="30"/>
      <c r="D584" s="97"/>
      <c r="E584" s="30"/>
      <c r="F584" s="30"/>
      <c r="G584" s="30"/>
      <c r="H584" s="30"/>
    </row>
    <row r="585" ht="15.75" customHeight="1">
      <c r="A585" s="30"/>
      <c r="B585" s="30"/>
      <c r="C585" s="30"/>
      <c r="D585" s="97"/>
      <c r="E585" s="30"/>
      <c r="F585" s="30"/>
      <c r="G585" s="30"/>
      <c r="H585" s="30"/>
    </row>
    <row r="586" ht="15.75" customHeight="1">
      <c r="A586" s="30"/>
      <c r="B586" s="30"/>
      <c r="C586" s="30"/>
      <c r="D586" s="97"/>
      <c r="E586" s="30"/>
      <c r="F586" s="30"/>
      <c r="G586" s="30"/>
      <c r="H586" s="30"/>
    </row>
    <row r="587" ht="15.75" customHeight="1">
      <c r="A587" s="30"/>
      <c r="B587" s="30"/>
      <c r="C587" s="30"/>
      <c r="D587" s="97"/>
      <c r="E587" s="30"/>
      <c r="F587" s="30"/>
      <c r="G587" s="30"/>
      <c r="H587" s="30"/>
    </row>
    <row r="588" ht="15.75" customHeight="1">
      <c r="A588" s="30"/>
      <c r="B588" s="30"/>
      <c r="C588" s="30"/>
      <c r="D588" s="97"/>
      <c r="E588" s="30"/>
      <c r="F588" s="30"/>
      <c r="G588" s="30"/>
      <c r="H588" s="30"/>
    </row>
    <row r="589" ht="15.75" customHeight="1">
      <c r="A589" s="30"/>
      <c r="B589" s="30"/>
      <c r="C589" s="30"/>
      <c r="D589" s="97"/>
      <c r="E589" s="30"/>
      <c r="F589" s="30"/>
      <c r="G589" s="30"/>
      <c r="H589" s="30"/>
    </row>
    <row r="590" ht="15.75" customHeight="1">
      <c r="A590" s="30"/>
      <c r="B590" s="30"/>
      <c r="C590" s="30"/>
      <c r="D590" s="97"/>
      <c r="E590" s="30"/>
      <c r="F590" s="30"/>
      <c r="G590" s="30"/>
      <c r="H590" s="30"/>
    </row>
    <row r="591" ht="15.75" customHeight="1">
      <c r="A591" s="30"/>
      <c r="B591" s="30"/>
      <c r="C591" s="30"/>
      <c r="D591" s="97"/>
      <c r="E591" s="30"/>
      <c r="F591" s="30"/>
      <c r="G591" s="30"/>
      <c r="H591" s="30"/>
    </row>
    <row r="592" ht="15.75" customHeight="1">
      <c r="A592" s="30"/>
      <c r="B592" s="30"/>
      <c r="C592" s="30"/>
      <c r="D592" s="97"/>
      <c r="E592" s="30"/>
      <c r="F592" s="30"/>
      <c r="G592" s="30"/>
      <c r="H592" s="30"/>
    </row>
    <row r="593" ht="15.75" customHeight="1">
      <c r="A593" s="30"/>
      <c r="B593" s="30"/>
      <c r="C593" s="30"/>
      <c r="D593" s="97"/>
      <c r="E593" s="30"/>
      <c r="F593" s="30"/>
      <c r="G593" s="30"/>
      <c r="H593" s="30"/>
    </row>
    <row r="594" ht="15.75" customHeight="1">
      <c r="A594" s="30"/>
      <c r="B594" s="30"/>
      <c r="C594" s="30"/>
      <c r="D594" s="97"/>
      <c r="E594" s="30"/>
      <c r="F594" s="30"/>
      <c r="G594" s="30"/>
      <c r="H594" s="30"/>
    </row>
    <row r="595" ht="15.75" customHeight="1">
      <c r="A595" s="30"/>
      <c r="B595" s="30"/>
      <c r="C595" s="30"/>
      <c r="D595" s="97"/>
      <c r="E595" s="30"/>
      <c r="F595" s="30"/>
      <c r="G595" s="30"/>
      <c r="H595" s="30"/>
    </row>
    <row r="596" ht="15.75" customHeight="1">
      <c r="A596" s="30"/>
      <c r="B596" s="30"/>
      <c r="C596" s="30"/>
      <c r="D596" s="97"/>
      <c r="E596" s="30"/>
      <c r="F596" s="30"/>
      <c r="G596" s="30"/>
      <c r="H596" s="30"/>
    </row>
    <row r="597" ht="15.75" customHeight="1">
      <c r="A597" s="30"/>
      <c r="B597" s="30"/>
      <c r="C597" s="30"/>
      <c r="D597" s="97"/>
      <c r="E597" s="30"/>
      <c r="F597" s="30"/>
      <c r="G597" s="30"/>
      <c r="H597" s="30"/>
    </row>
    <row r="598" ht="15.75" customHeight="1">
      <c r="A598" s="30"/>
      <c r="B598" s="30"/>
      <c r="C598" s="30"/>
      <c r="D598" s="97"/>
      <c r="E598" s="30"/>
      <c r="F598" s="30"/>
      <c r="G598" s="30"/>
      <c r="H598" s="30"/>
    </row>
    <row r="599" ht="15.75" customHeight="1">
      <c r="A599" s="30"/>
      <c r="B599" s="30"/>
      <c r="C599" s="30"/>
      <c r="D599" s="97"/>
      <c r="E599" s="30"/>
      <c r="F599" s="30"/>
      <c r="G599" s="30"/>
      <c r="H599" s="30"/>
    </row>
    <row r="600" ht="15.75" customHeight="1">
      <c r="A600" s="30"/>
      <c r="B600" s="30"/>
      <c r="C600" s="30"/>
      <c r="D600" s="97"/>
      <c r="E600" s="30"/>
      <c r="F600" s="30"/>
      <c r="G600" s="30"/>
      <c r="H600" s="30"/>
    </row>
    <row r="601" ht="15.75" customHeight="1">
      <c r="A601" s="30"/>
      <c r="B601" s="30"/>
      <c r="C601" s="30"/>
      <c r="D601" s="97"/>
      <c r="E601" s="30"/>
      <c r="F601" s="30"/>
      <c r="G601" s="30"/>
      <c r="H601" s="30"/>
    </row>
    <row r="602" ht="15.75" customHeight="1">
      <c r="A602" s="30"/>
      <c r="B602" s="30"/>
      <c r="C602" s="30"/>
      <c r="D602" s="97"/>
      <c r="E602" s="30"/>
      <c r="F602" s="30"/>
      <c r="G602" s="30"/>
      <c r="H602" s="30"/>
    </row>
    <row r="603" ht="15.75" customHeight="1">
      <c r="A603" s="30"/>
      <c r="B603" s="30"/>
      <c r="C603" s="30"/>
      <c r="D603" s="97"/>
      <c r="E603" s="30"/>
      <c r="F603" s="30"/>
      <c r="G603" s="30"/>
      <c r="H603" s="30"/>
    </row>
    <row r="604" ht="15.75" customHeight="1">
      <c r="A604" s="30"/>
      <c r="B604" s="30"/>
      <c r="C604" s="30"/>
      <c r="D604" s="97"/>
      <c r="E604" s="30"/>
      <c r="F604" s="30"/>
      <c r="G604" s="30"/>
      <c r="H604" s="30"/>
    </row>
    <row r="605" ht="15.75" customHeight="1">
      <c r="A605" s="30"/>
      <c r="B605" s="30"/>
      <c r="C605" s="30"/>
      <c r="D605" s="97"/>
      <c r="E605" s="30"/>
      <c r="F605" s="30"/>
      <c r="G605" s="30"/>
      <c r="H605" s="30"/>
    </row>
    <row r="606" ht="15.75" customHeight="1">
      <c r="A606" s="30"/>
      <c r="B606" s="30"/>
      <c r="C606" s="30"/>
      <c r="D606" s="97"/>
      <c r="E606" s="30"/>
      <c r="F606" s="30"/>
      <c r="G606" s="30"/>
      <c r="H606" s="30"/>
    </row>
    <row r="607" ht="15.75" customHeight="1">
      <c r="A607" s="30"/>
      <c r="B607" s="30"/>
      <c r="C607" s="30"/>
      <c r="D607" s="97"/>
      <c r="E607" s="30"/>
      <c r="F607" s="30"/>
      <c r="G607" s="30"/>
      <c r="H607" s="30"/>
    </row>
    <row r="608" ht="15.75" customHeight="1">
      <c r="A608" s="30"/>
      <c r="B608" s="30"/>
      <c r="C608" s="30"/>
      <c r="D608" s="97"/>
      <c r="E608" s="30"/>
      <c r="F608" s="30"/>
      <c r="G608" s="30"/>
      <c r="H608" s="30"/>
    </row>
    <row r="609" ht="15.75" customHeight="1">
      <c r="A609" s="30"/>
      <c r="B609" s="30"/>
      <c r="C609" s="30"/>
      <c r="D609" s="97"/>
      <c r="E609" s="30"/>
      <c r="F609" s="30"/>
      <c r="G609" s="30"/>
      <c r="H609" s="30"/>
    </row>
    <row r="610" ht="15.75" customHeight="1">
      <c r="A610" s="30"/>
      <c r="B610" s="30"/>
      <c r="C610" s="30"/>
      <c r="D610" s="97"/>
      <c r="E610" s="30"/>
      <c r="F610" s="30"/>
      <c r="G610" s="30"/>
      <c r="H610" s="30"/>
    </row>
    <row r="611" ht="15.75" customHeight="1">
      <c r="A611" s="30"/>
      <c r="B611" s="30"/>
      <c r="C611" s="30"/>
      <c r="D611" s="97"/>
      <c r="E611" s="30"/>
      <c r="F611" s="30"/>
      <c r="G611" s="30"/>
      <c r="H611" s="30"/>
    </row>
    <row r="612" ht="15.75" customHeight="1">
      <c r="A612" s="30"/>
      <c r="B612" s="30"/>
      <c r="C612" s="30"/>
      <c r="D612" s="97"/>
      <c r="E612" s="30"/>
      <c r="F612" s="30"/>
      <c r="G612" s="30"/>
      <c r="H612" s="30"/>
    </row>
    <row r="613" ht="15.75" customHeight="1">
      <c r="A613" s="30"/>
      <c r="B613" s="30"/>
      <c r="C613" s="30"/>
      <c r="D613" s="97"/>
      <c r="E613" s="30"/>
      <c r="F613" s="30"/>
      <c r="G613" s="30"/>
      <c r="H613" s="30"/>
    </row>
    <row r="614" ht="15.75" customHeight="1">
      <c r="A614" s="30"/>
      <c r="B614" s="30"/>
      <c r="C614" s="30"/>
      <c r="D614" s="97"/>
      <c r="E614" s="30"/>
      <c r="F614" s="30"/>
      <c r="G614" s="30"/>
      <c r="H614" s="30"/>
    </row>
    <row r="615" ht="15.75" customHeight="1">
      <c r="A615" s="30"/>
      <c r="B615" s="30"/>
      <c r="C615" s="30"/>
      <c r="D615" s="97"/>
      <c r="E615" s="30"/>
      <c r="F615" s="30"/>
      <c r="G615" s="30"/>
      <c r="H615" s="30"/>
    </row>
    <row r="616" ht="15.75" customHeight="1">
      <c r="A616" s="30"/>
      <c r="B616" s="30"/>
      <c r="C616" s="30"/>
      <c r="D616" s="97"/>
      <c r="E616" s="30"/>
      <c r="F616" s="30"/>
      <c r="G616" s="30"/>
      <c r="H616" s="30"/>
    </row>
    <row r="617" ht="15.75" customHeight="1">
      <c r="A617" s="30"/>
      <c r="B617" s="30"/>
      <c r="C617" s="30"/>
      <c r="D617" s="97"/>
      <c r="E617" s="30"/>
      <c r="F617" s="30"/>
      <c r="G617" s="30"/>
      <c r="H617" s="30"/>
    </row>
    <row r="618" ht="15.75" customHeight="1">
      <c r="A618" s="30"/>
      <c r="B618" s="30"/>
      <c r="C618" s="30"/>
      <c r="D618" s="97"/>
      <c r="E618" s="30"/>
      <c r="F618" s="30"/>
      <c r="G618" s="30"/>
      <c r="H618" s="30"/>
    </row>
    <row r="619" ht="15.75" customHeight="1">
      <c r="A619" s="30"/>
      <c r="B619" s="30"/>
      <c r="C619" s="30"/>
      <c r="D619" s="97"/>
      <c r="E619" s="30"/>
      <c r="F619" s="30"/>
      <c r="G619" s="30"/>
      <c r="H619" s="30"/>
    </row>
    <row r="620" ht="15.75" customHeight="1">
      <c r="A620" s="30"/>
      <c r="B620" s="30"/>
      <c r="C620" s="30"/>
      <c r="D620" s="97"/>
      <c r="E620" s="30"/>
      <c r="F620" s="30"/>
      <c r="G620" s="30"/>
      <c r="H620" s="30"/>
    </row>
    <row r="621" ht="15.75" customHeight="1">
      <c r="A621" s="30"/>
      <c r="B621" s="30"/>
      <c r="C621" s="30"/>
      <c r="D621" s="97"/>
      <c r="E621" s="30"/>
      <c r="F621" s="30"/>
      <c r="G621" s="30"/>
      <c r="H621" s="30"/>
    </row>
    <row r="622" ht="15.75" customHeight="1">
      <c r="A622" s="30"/>
      <c r="B622" s="30"/>
      <c r="C622" s="30"/>
      <c r="D622" s="97"/>
      <c r="E622" s="30"/>
      <c r="F622" s="30"/>
      <c r="G622" s="30"/>
      <c r="H622" s="30"/>
    </row>
    <row r="623" ht="15.75" customHeight="1">
      <c r="A623" s="30"/>
      <c r="B623" s="30"/>
      <c r="C623" s="30"/>
      <c r="D623" s="97"/>
      <c r="E623" s="30"/>
      <c r="F623" s="30"/>
      <c r="G623" s="30"/>
      <c r="H623" s="30"/>
    </row>
    <row r="624" ht="15.75" customHeight="1">
      <c r="A624" s="30"/>
      <c r="B624" s="30"/>
      <c r="C624" s="30"/>
      <c r="D624" s="97"/>
      <c r="E624" s="30"/>
      <c r="F624" s="30"/>
      <c r="G624" s="30"/>
      <c r="H624" s="30"/>
    </row>
    <row r="625" ht="15.75" customHeight="1">
      <c r="A625" s="30"/>
      <c r="B625" s="30"/>
      <c r="C625" s="30"/>
      <c r="D625" s="97"/>
      <c r="E625" s="30"/>
      <c r="F625" s="30"/>
      <c r="G625" s="30"/>
      <c r="H625" s="30"/>
    </row>
    <row r="626" ht="15.75" customHeight="1">
      <c r="A626" s="30"/>
      <c r="B626" s="30"/>
      <c r="C626" s="30"/>
      <c r="D626" s="97"/>
      <c r="E626" s="30"/>
      <c r="F626" s="30"/>
      <c r="G626" s="30"/>
      <c r="H626" s="30"/>
    </row>
    <row r="627" ht="15.75" customHeight="1">
      <c r="A627" s="30"/>
      <c r="B627" s="30"/>
      <c r="C627" s="30"/>
      <c r="D627" s="97"/>
      <c r="E627" s="30"/>
      <c r="F627" s="30"/>
      <c r="G627" s="30"/>
      <c r="H627" s="30"/>
    </row>
    <row r="628" ht="15.75" customHeight="1">
      <c r="A628" s="30"/>
      <c r="B628" s="30"/>
      <c r="C628" s="30"/>
      <c r="D628" s="97"/>
      <c r="E628" s="30"/>
      <c r="F628" s="30"/>
      <c r="G628" s="30"/>
      <c r="H628" s="30"/>
    </row>
    <row r="629" ht="15.75" customHeight="1">
      <c r="A629" s="30"/>
      <c r="B629" s="30"/>
      <c r="C629" s="30"/>
      <c r="D629" s="97"/>
      <c r="E629" s="30"/>
      <c r="F629" s="30"/>
      <c r="G629" s="30"/>
      <c r="H629" s="30"/>
    </row>
    <row r="630" ht="15.75" customHeight="1">
      <c r="A630" s="30"/>
      <c r="B630" s="30"/>
      <c r="C630" s="30"/>
      <c r="D630" s="97"/>
      <c r="E630" s="30"/>
      <c r="F630" s="30"/>
      <c r="G630" s="30"/>
      <c r="H630" s="30"/>
    </row>
    <row r="631" ht="15.75" customHeight="1">
      <c r="A631" s="30"/>
      <c r="B631" s="30"/>
      <c r="C631" s="30"/>
      <c r="D631" s="97"/>
      <c r="E631" s="30"/>
      <c r="F631" s="30"/>
      <c r="G631" s="30"/>
      <c r="H631" s="30"/>
    </row>
    <row r="632" ht="15.75" customHeight="1">
      <c r="A632" s="30"/>
      <c r="B632" s="30"/>
      <c r="C632" s="30"/>
      <c r="D632" s="97"/>
      <c r="E632" s="30"/>
      <c r="F632" s="30"/>
      <c r="G632" s="30"/>
      <c r="H632" s="30"/>
    </row>
    <row r="633" ht="15.75" customHeight="1">
      <c r="A633" s="30"/>
      <c r="B633" s="30"/>
      <c r="C633" s="30"/>
      <c r="D633" s="97"/>
      <c r="E633" s="30"/>
      <c r="F633" s="30"/>
      <c r="G633" s="30"/>
      <c r="H633" s="30"/>
    </row>
    <row r="634" ht="15.75" customHeight="1">
      <c r="A634" s="30"/>
      <c r="B634" s="30"/>
      <c r="C634" s="30"/>
      <c r="D634" s="97"/>
      <c r="E634" s="30"/>
      <c r="F634" s="30"/>
      <c r="G634" s="30"/>
      <c r="H634" s="30"/>
    </row>
    <row r="635" ht="15.75" customHeight="1">
      <c r="A635" s="30"/>
      <c r="B635" s="30"/>
      <c r="C635" s="30"/>
      <c r="D635" s="97"/>
      <c r="E635" s="30"/>
      <c r="F635" s="30"/>
      <c r="G635" s="30"/>
      <c r="H635" s="30"/>
    </row>
    <row r="636" ht="15.75" customHeight="1">
      <c r="A636" s="30"/>
      <c r="B636" s="30"/>
      <c r="C636" s="30"/>
      <c r="D636" s="97"/>
      <c r="E636" s="30"/>
      <c r="F636" s="30"/>
      <c r="G636" s="30"/>
      <c r="H636" s="30"/>
    </row>
    <row r="637" ht="15.75" customHeight="1">
      <c r="A637" s="30"/>
      <c r="B637" s="30"/>
      <c r="C637" s="30"/>
      <c r="D637" s="97"/>
      <c r="E637" s="30"/>
      <c r="F637" s="30"/>
      <c r="G637" s="30"/>
      <c r="H637" s="30"/>
    </row>
    <row r="638" ht="15.75" customHeight="1">
      <c r="A638" s="30"/>
      <c r="B638" s="30"/>
      <c r="C638" s="30"/>
      <c r="D638" s="97"/>
      <c r="E638" s="30"/>
      <c r="F638" s="30"/>
      <c r="G638" s="30"/>
      <c r="H638" s="30"/>
    </row>
    <row r="639" ht="15.75" customHeight="1">
      <c r="A639" s="30"/>
      <c r="B639" s="30"/>
      <c r="C639" s="30"/>
      <c r="D639" s="97"/>
      <c r="E639" s="30"/>
      <c r="F639" s="30"/>
      <c r="G639" s="30"/>
      <c r="H639" s="30"/>
    </row>
    <row r="640" ht="15.75" customHeight="1">
      <c r="A640" s="30"/>
      <c r="B640" s="30"/>
      <c r="C640" s="30"/>
      <c r="D640" s="97"/>
      <c r="E640" s="30"/>
      <c r="F640" s="30"/>
      <c r="G640" s="30"/>
      <c r="H640" s="30"/>
    </row>
    <row r="641" ht="15.75" customHeight="1">
      <c r="A641" s="30"/>
      <c r="B641" s="30"/>
      <c r="C641" s="30"/>
      <c r="D641" s="97"/>
      <c r="E641" s="30"/>
      <c r="F641" s="30"/>
      <c r="G641" s="30"/>
      <c r="H641" s="30"/>
    </row>
    <row r="642" ht="15.75" customHeight="1">
      <c r="A642" s="30"/>
      <c r="B642" s="30"/>
      <c r="C642" s="30"/>
      <c r="D642" s="97"/>
      <c r="E642" s="30"/>
      <c r="F642" s="30"/>
      <c r="G642" s="30"/>
      <c r="H642" s="30"/>
    </row>
    <row r="643" ht="15.75" customHeight="1">
      <c r="A643" s="30"/>
      <c r="B643" s="30"/>
      <c r="C643" s="30"/>
      <c r="D643" s="97"/>
      <c r="E643" s="30"/>
      <c r="F643" s="30"/>
      <c r="G643" s="30"/>
      <c r="H643" s="30"/>
    </row>
    <row r="644" ht="15.75" customHeight="1">
      <c r="A644" s="30"/>
      <c r="B644" s="30"/>
      <c r="C644" s="30"/>
      <c r="D644" s="97"/>
      <c r="E644" s="30"/>
      <c r="F644" s="30"/>
      <c r="G644" s="30"/>
      <c r="H644" s="30"/>
    </row>
    <row r="645" ht="15.75" customHeight="1">
      <c r="A645" s="30"/>
      <c r="B645" s="30"/>
      <c r="C645" s="30"/>
      <c r="D645" s="97"/>
      <c r="E645" s="30"/>
      <c r="F645" s="30"/>
      <c r="G645" s="30"/>
      <c r="H645" s="30"/>
    </row>
    <row r="646" ht="15.75" customHeight="1">
      <c r="A646" s="30"/>
      <c r="B646" s="30"/>
      <c r="C646" s="30"/>
      <c r="D646" s="97"/>
      <c r="E646" s="30"/>
      <c r="F646" s="30"/>
      <c r="G646" s="30"/>
      <c r="H646" s="30"/>
    </row>
    <row r="647" ht="15.75" customHeight="1">
      <c r="A647" s="30"/>
      <c r="B647" s="30"/>
      <c r="C647" s="30"/>
      <c r="D647" s="97"/>
      <c r="E647" s="30"/>
      <c r="F647" s="30"/>
      <c r="G647" s="30"/>
      <c r="H647" s="30"/>
    </row>
    <row r="648" ht="15.75" customHeight="1">
      <c r="A648" s="30"/>
      <c r="B648" s="30"/>
      <c r="C648" s="30"/>
      <c r="D648" s="97"/>
      <c r="E648" s="30"/>
      <c r="F648" s="30"/>
      <c r="G648" s="30"/>
      <c r="H648" s="30"/>
    </row>
    <row r="649" ht="15.75" customHeight="1">
      <c r="A649" s="30"/>
      <c r="B649" s="30"/>
      <c r="C649" s="30"/>
      <c r="D649" s="97"/>
      <c r="E649" s="30"/>
      <c r="F649" s="30"/>
      <c r="G649" s="30"/>
      <c r="H649" s="30"/>
    </row>
    <row r="650" ht="15.75" customHeight="1">
      <c r="A650" s="30"/>
      <c r="B650" s="30"/>
      <c r="C650" s="30"/>
      <c r="D650" s="97"/>
      <c r="E650" s="30"/>
      <c r="F650" s="30"/>
      <c r="G650" s="30"/>
      <c r="H650" s="30"/>
    </row>
    <row r="651" ht="15.75" customHeight="1">
      <c r="A651" s="30"/>
      <c r="B651" s="30"/>
      <c r="C651" s="30"/>
      <c r="D651" s="97"/>
      <c r="E651" s="30"/>
      <c r="F651" s="30"/>
      <c r="G651" s="30"/>
      <c r="H651" s="30"/>
    </row>
    <row r="652" ht="15.75" customHeight="1">
      <c r="A652" s="30"/>
      <c r="B652" s="30"/>
      <c r="C652" s="30"/>
      <c r="D652" s="97"/>
      <c r="E652" s="30"/>
      <c r="F652" s="30"/>
      <c r="G652" s="30"/>
      <c r="H652" s="30"/>
    </row>
    <row r="653" ht="15.75" customHeight="1">
      <c r="A653" s="30"/>
      <c r="B653" s="30"/>
      <c r="C653" s="30"/>
      <c r="D653" s="97"/>
      <c r="E653" s="30"/>
      <c r="F653" s="30"/>
      <c r="G653" s="30"/>
      <c r="H653" s="30"/>
    </row>
    <row r="654" ht="15.75" customHeight="1">
      <c r="A654" s="30"/>
      <c r="B654" s="30"/>
      <c r="C654" s="30"/>
      <c r="D654" s="97"/>
      <c r="E654" s="30"/>
      <c r="F654" s="30"/>
      <c r="G654" s="30"/>
      <c r="H654" s="30"/>
    </row>
    <row r="655" ht="15.75" customHeight="1">
      <c r="A655" s="30"/>
      <c r="B655" s="30"/>
      <c r="C655" s="30"/>
      <c r="D655" s="97"/>
      <c r="E655" s="30"/>
      <c r="F655" s="30"/>
      <c r="G655" s="30"/>
      <c r="H655" s="30"/>
    </row>
    <row r="656" ht="15.75" customHeight="1">
      <c r="A656" s="30"/>
      <c r="B656" s="30"/>
      <c r="C656" s="30"/>
      <c r="D656" s="97"/>
      <c r="E656" s="30"/>
      <c r="F656" s="30"/>
      <c r="G656" s="30"/>
      <c r="H656" s="30"/>
    </row>
    <row r="657" ht="15.75" customHeight="1">
      <c r="A657" s="30"/>
      <c r="B657" s="30"/>
      <c r="C657" s="30"/>
      <c r="D657" s="97"/>
      <c r="E657" s="30"/>
      <c r="F657" s="30"/>
      <c r="G657" s="30"/>
      <c r="H657" s="30"/>
    </row>
    <row r="658" ht="15.75" customHeight="1">
      <c r="A658" s="30"/>
      <c r="B658" s="30"/>
      <c r="C658" s="30"/>
      <c r="D658" s="97"/>
      <c r="E658" s="30"/>
      <c r="F658" s="30"/>
      <c r="G658" s="30"/>
      <c r="H658" s="30"/>
    </row>
    <row r="659" ht="15.75" customHeight="1">
      <c r="A659" s="30"/>
      <c r="B659" s="30"/>
      <c r="C659" s="30"/>
      <c r="D659" s="97"/>
      <c r="E659" s="30"/>
      <c r="F659" s="30"/>
      <c r="G659" s="30"/>
      <c r="H659" s="30"/>
    </row>
    <row r="660" ht="15.75" customHeight="1">
      <c r="A660" s="30"/>
      <c r="B660" s="30"/>
      <c r="C660" s="30"/>
      <c r="D660" s="97"/>
      <c r="E660" s="30"/>
      <c r="F660" s="30"/>
      <c r="G660" s="30"/>
      <c r="H660" s="30"/>
    </row>
    <row r="661" ht="15.75" customHeight="1">
      <c r="A661" s="30"/>
      <c r="B661" s="30"/>
      <c r="C661" s="30"/>
      <c r="D661" s="97"/>
      <c r="E661" s="30"/>
      <c r="F661" s="30"/>
      <c r="G661" s="30"/>
      <c r="H661" s="30"/>
    </row>
    <row r="662" ht="15.75" customHeight="1">
      <c r="A662" s="30"/>
      <c r="B662" s="30"/>
      <c r="C662" s="30"/>
      <c r="D662" s="97"/>
      <c r="E662" s="30"/>
      <c r="F662" s="30"/>
      <c r="G662" s="30"/>
      <c r="H662" s="30"/>
    </row>
    <row r="663" ht="15.75" customHeight="1">
      <c r="A663" s="30"/>
      <c r="B663" s="30"/>
      <c r="C663" s="30"/>
      <c r="D663" s="97"/>
      <c r="E663" s="30"/>
      <c r="F663" s="30"/>
      <c r="G663" s="30"/>
      <c r="H663" s="30"/>
    </row>
    <row r="664" ht="15.75" customHeight="1">
      <c r="A664" s="30"/>
      <c r="B664" s="30"/>
      <c r="C664" s="30"/>
      <c r="D664" s="97"/>
      <c r="E664" s="30"/>
      <c r="F664" s="30"/>
      <c r="G664" s="30"/>
      <c r="H664" s="30"/>
    </row>
    <row r="665" ht="15.75" customHeight="1">
      <c r="A665" s="30"/>
      <c r="B665" s="30"/>
      <c r="C665" s="30"/>
      <c r="D665" s="97"/>
      <c r="E665" s="30"/>
      <c r="F665" s="30"/>
      <c r="G665" s="30"/>
      <c r="H665" s="30"/>
    </row>
    <row r="666" ht="15.75" customHeight="1">
      <c r="A666" s="30"/>
      <c r="B666" s="30"/>
      <c r="C666" s="30"/>
      <c r="D666" s="97"/>
      <c r="E666" s="30"/>
      <c r="F666" s="30"/>
      <c r="G666" s="30"/>
      <c r="H666" s="30"/>
    </row>
    <row r="667" ht="15.75" customHeight="1">
      <c r="A667" s="30"/>
      <c r="B667" s="30"/>
      <c r="C667" s="30"/>
      <c r="D667" s="97"/>
      <c r="E667" s="30"/>
      <c r="F667" s="30"/>
      <c r="G667" s="30"/>
      <c r="H667" s="30"/>
    </row>
    <row r="668" ht="15.75" customHeight="1">
      <c r="A668" s="30"/>
      <c r="B668" s="30"/>
      <c r="C668" s="30"/>
      <c r="D668" s="97"/>
      <c r="E668" s="30"/>
      <c r="F668" s="30"/>
      <c r="G668" s="30"/>
      <c r="H668" s="30"/>
    </row>
    <row r="669" ht="15.75" customHeight="1">
      <c r="A669" s="30"/>
      <c r="B669" s="30"/>
      <c r="C669" s="30"/>
      <c r="D669" s="97"/>
      <c r="E669" s="30"/>
      <c r="F669" s="30"/>
      <c r="G669" s="30"/>
      <c r="H669" s="30"/>
    </row>
    <row r="670" ht="15.75" customHeight="1">
      <c r="A670" s="30"/>
      <c r="B670" s="30"/>
      <c r="C670" s="30"/>
      <c r="D670" s="97"/>
      <c r="E670" s="30"/>
      <c r="F670" s="30"/>
      <c r="G670" s="30"/>
      <c r="H670" s="30"/>
    </row>
    <row r="671" ht="15.75" customHeight="1">
      <c r="A671" s="30"/>
      <c r="B671" s="30"/>
      <c r="C671" s="30"/>
      <c r="D671" s="97"/>
      <c r="E671" s="30"/>
      <c r="F671" s="30"/>
      <c r="G671" s="30"/>
      <c r="H671" s="30"/>
    </row>
    <row r="672" ht="15.75" customHeight="1">
      <c r="A672" s="30"/>
      <c r="B672" s="30"/>
      <c r="C672" s="30"/>
      <c r="D672" s="97"/>
      <c r="E672" s="30"/>
      <c r="F672" s="30"/>
      <c r="G672" s="30"/>
      <c r="H672" s="30"/>
    </row>
    <row r="673" ht="15.75" customHeight="1">
      <c r="A673" s="30"/>
      <c r="B673" s="30"/>
      <c r="C673" s="30"/>
      <c r="D673" s="97"/>
      <c r="E673" s="30"/>
      <c r="F673" s="30"/>
      <c r="G673" s="30"/>
      <c r="H673" s="30"/>
    </row>
    <row r="674" ht="15.75" customHeight="1">
      <c r="A674" s="30"/>
      <c r="B674" s="30"/>
      <c r="C674" s="30"/>
      <c r="D674" s="97"/>
      <c r="E674" s="30"/>
      <c r="F674" s="30"/>
      <c r="G674" s="30"/>
      <c r="H674" s="30"/>
    </row>
    <row r="675" ht="15.75" customHeight="1">
      <c r="A675" s="30"/>
      <c r="B675" s="30"/>
      <c r="C675" s="30"/>
      <c r="D675" s="97"/>
      <c r="E675" s="30"/>
      <c r="F675" s="30"/>
      <c r="G675" s="30"/>
      <c r="H675" s="30"/>
    </row>
    <row r="676" ht="15.75" customHeight="1">
      <c r="A676" s="30"/>
      <c r="B676" s="30"/>
      <c r="C676" s="30"/>
      <c r="D676" s="97"/>
      <c r="E676" s="30"/>
      <c r="F676" s="30"/>
      <c r="G676" s="30"/>
      <c r="H676" s="30"/>
    </row>
    <row r="677" ht="15.75" customHeight="1">
      <c r="A677" s="30"/>
      <c r="B677" s="30"/>
      <c r="C677" s="30"/>
      <c r="D677" s="97"/>
      <c r="E677" s="30"/>
      <c r="F677" s="30"/>
      <c r="G677" s="30"/>
      <c r="H677" s="30"/>
    </row>
    <row r="678" ht="15.75" customHeight="1">
      <c r="A678" s="30"/>
      <c r="B678" s="30"/>
      <c r="C678" s="30"/>
      <c r="D678" s="97"/>
      <c r="E678" s="30"/>
      <c r="F678" s="30"/>
      <c r="G678" s="30"/>
      <c r="H678" s="30"/>
    </row>
    <row r="679" ht="15.75" customHeight="1">
      <c r="A679" s="30"/>
      <c r="B679" s="30"/>
      <c r="C679" s="30"/>
      <c r="D679" s="97"/>
      <c r="E679" s="30"/>
      <c r="F679" s="30"/>
      <c r="G679" s="30"/>
      <c r="H679" s="30"/>
    </row>
    <row r="680" ht="15.75" customHeight="1">
      <c r="A680" s="30"/>
      <c r="B680" s="30"/>
      <c r="C680" s="30"/>
      <c r="D680" s="97"/>
      <c r="E680" s="30"/>
      <c r="F680" s="30"/>
      <c r="G680" s="30"/>
      <c r="H680" s="30"/>
    </row>
    <row r="681" ht="15.75" customHeight="1">
      <c r="A681" s="30"/>
      <c r="B681" s="30"/>
      <c r="C681" s="30"/>
      <c r="D681" s="97"/>
      <c r="E681" s="30"/>
      <c r="F681" s="30"/>
      <c r="G681" s="30"/>
      <c r="H681" s="30"/>
    </row>
    <row r="682" ht="15.75" customHeight="1">
      <c r="A682" s="30"/>
      <c r="B682" s="30"/>
      <c r="C682" s="30"/>
      <c r="D682" s="97"/>
      <c r="E682" s="30"/>
      <c r="F682" s="30"/>
      <c r="G682" s="30"/>
      <c r="H682" s="30"/>
    </row>
    <row r="683" ht="15.75" customHeight="1">
      <c r="A683" s="30"/>
      <c r="B683" s="30"/>
      <c r="C683" s="30"/>
      <c r="D683" s="97"/>
      <c r="E683" s="30"/>
      <c r="F683" s="30"/>
      <c r="G683" s="30"/>
      <c r="H683" s="30"/>
    </row>
    <row r="684" ht="15.75" customHeight="1">
      <c r="A684" s="30"/>
      <c r="B684" s="30"/>
      <c r="C684" s="30"/>
      <c r="D684" s="97"/>
      <c r="E684" s="30"/>
      <c r="F684" s="30"/>
      <c r="G684" s="30"/>
      <c r="H684" s="30"/>
    </row>
    <row r="685" ht="15.75" customHeight="1">
      <c r="A685" s="30"/>
      <c r="B685" s="30"/>
      <c r="C685" s="30"/>
      <c r="D685" s="97"/>
      <c r="E685" s="30"/>
      <c r="F685" s="30"/>
      <c r="G685" s="30"/>
      <c r="H685" s="30"/>
    </row>
    <row r="686" ht="15.75" customHeight="1">
      <c r="A686" s="30"/>
      <c r="B686" s="30"/>
      <c r="C686" s="30"/>
      <c r="D686" s="97"/>
      <c r="E686" s="30"/>
      <c r="F686" s="30"/>
      <c r="G686" s="30"/>
      <c r="H686" s="30"/>
    </row>
    <row r="687" ht="15.75" customHeight="1">
      <c r="A687" s="30"/>
      <c r="B687" s="30"/>
      <c r="C687" s="30"/>
      <c r="D687" s="97"/>
      <c r="E687" s="30"/>
      <c r="F687" s="30"/>
      <c r="G687" s="30"/>
      <c r="H687" s="30"/>
    </row>
    <row r="688" ht="15.75" customHeight="1">
      <c r="A688" s="30"/>
      <c r="B688" s="30"/>
      <c r="C688" s="30"/>
      <c r="D688" s="97"/>
      <c r="E688" s="30"/>
      <c r="F688" s="30"/>
      <c r="G688" s="30"/>
      <c r="H688" s="30"/>
    </row>
    <row r="689" ht="15.75" customHeight="1">
      <c r="A689" s="30"/>
      <c r="B689" s="30"/>
      <c r="C689" s="30"/>
      <c r="D689" s="97"/>
      <c r="E689" s="30"/>
      <c r="F689" s="30"/>
      <c r="G689" s="30"/>
      <c r="H689" s="30"/>
    </row>
    <row r="690" ht="15.75" customHeight="1">
      <c r="A690" s="30"/>
      <c r="B690" s="30"/>
      <c r="C690" s="30"/>
      <c r="D690" s="97"/>
      <c r="E690" s="30"/>
      <c r="F690" s="30"/>
      <c r="G690" s="30"/>
      <c r="H690" s="30"/>
    </row>
    <row r="691" ht="15.75" customHeight="1">
      <c r="A691" s="30"/>
      <c r="B691" s="30"/>
      <c r="C691" s="30"/>
      <c r="D691" s="97"/>
      <c r="E691" s="30"/>
      <c r="F691" s="30"/>
      <c r="G691" s="30"/>
      <c r="H691" s="30"/>
    </row>
    <row r="692" ht="15.75" customHeight="1">
      <c r="A692" s="30"/>
      <c r="B692" s="30"/>
      <c r="C692" s="30"/>
      <c r="D692" s="97"/>
      <c r="E692" s="30"/>
      <c r="F692" s="30"/>
      <c r="G692" s="30"/>
      <c r="H692" s="30"/>
    </row>
    <row r="693" ht="15.75" customHeight="1">
      <c r="A693" s="30"/>
      <c r="B693" s="30"/>
      <c r="C693" s="30"/>
      <c r="D693" s="97"/>
      <c r="E693" s="30"/>
      <c r="F693" s="30"/>
      <c r="G693" s="30"/>
      <c r="H693" s="30"/>
    </row>
    <row r="694" ht="15.75" customHeight="1">
      <c r="A694" s="30"/>
      <c r="B694" s="30"/>
      <c r="C694" s="30"/>
      <c r="D694" s="97"/>
      <c r="E694" s="30"/>
      <c r="F694" s="30"/>
      <c r="G694" s="30"/>
      <c r="H694" s="30"/>
    </row>
    <row r="695" ht="15.75" customHeight="1">
      <c r="A695" s="30"/>
      <c r="B695" s="30"/>
      <c r="C695" s="30"/>
      <c r="D695" s="97"/>
      <c r="E695" s="30"/>
      <c r="F695" s="30"/>
      <c r="G695" s="30"/>
      <c r="H695" s="30"/>
    </row>
    <row r="696" ht="15.75" customHeight="1">
      <c r="A696" s="30"/>
      <c r="B696" s="30"/>
      <c r="C696" s="30"/>
      <c r="D696" s="97"/>
      <c r="E696" s="30"/>
      <c r="F696" s="30"/>
      <c r="G696" s="30"/>
      <c r="H696" s="30"/>
    </row>
    <row r="697" ht="15.75" customHeight="1">
      <c r="A697" s="30"/>
      <c r="B697" s="30"/>
      <c r="C697" s="30"/>
      <c r="D697" s="97"/>
      <c r="E697" s="30"/>
      <c r="F697" s="30"/>
      <c r="G697" s="30"/>
      <c r="H697" s="30"/>
    </row>
    <row r="698" ht="15.75" customHeight="1">
      <c r="A698" s="30"/>
      <c r="B698" s="30"/>
      <c r="C698" s="30"/>
      <c r="D698" s="97"/>
      <c r="E698" s="30"/>
      <c r="F698" s="30"/>
      <c r="G698" s="30"/>
      <c r="H698" s="30"/>
    </row>
    <row r="699" ht="15.75" customHeight="1">
      <c r="A699" s="30"/>
      <c r="B699" s="30"/>
      <c r="C699" s="30"/>
      <c r="D699" s="97"/>
      <c r="E699" s="30"/>
      <c r="F699" s="30"/>
      <c r="G699" s="30"/>
      <c r="H699" s="30"/>
    </row>
    <row r="700" ht="15.75" customHeight="1">
      <c r="A700" s="30"/>
      <c r="B700" s="30"/>
      <c r="C700" s="30"/>
      <c r="D700" s="97"/>
      <c r="E700" s="30"/>
      <c r="F700" s="30"/>
      <c r="G700" s="30"/>
      <c r="H700" s="30"/>
    </row>
    <row r="701" ht="15.75" customHeight="1">
      <c r="A701" s="30"/>
      <c r="B701" s="30"/>
      <c r="C701" s="30"/>
      <c r="D701" s="97"/>
      <c r="E701" s="30"/>
      <c r="F701" s="30"/>
      <c r="G701" s="30"/>
      <c r="H701" s="30"/>
    </row>
    <row r="702" ht="15.75" customHeight="1">
      <c r="A702" s="30"/>
      <c r="B702" s="30"/>
      <c r="C702" s="30"/>
      <c r="D702" s="97"/>
      <c r="E702" s="30"/>
      <c r="F702" s="30"/>
      <c r="G702" s="30"/>
      <c r="H702" s="30"/>
    </row>
    <row r="703" ht="15.75" customHeight="1">
      <c r="A703" s="30"/>
      <c r="B703" s="30"/>
      <c r="C703" s="30"/>
      <c r="D703" s="97"/>
      <c r="E703" s="30"/>
      <c r="F703" s="30"/>
      <c r="G703" s="30"/>
      <c r="H703" s="30"/>
    </row>
    <row r="704" ht="15.75" customHeight="1">
      <c r="A704" s="30"/>
      <c r="B704" s="30"/>
      <c r="C704" s="30"/>
      <c r="D704" s="97"/>
      <c r="E704" s="30"/>
      <c r="F704" s="30"/>
      <c r="G704" s="30"/>
      <c r="H704" s="30"/>
    </row>
    <row r="705" ht="15.75" customHeight="1">
      <c r="A705" s="30"/>
      <c r="B705" s="30"/>
      <c r="C705" s="30"/>
      <c r="D705" s="97"/>
      <c r="E705" s="30"/>
      <c r="F705" s="30"/>
      <c r="G705" s="30"/>
      <c r="H705" s="30"/>
    </row>
    <row r="706" ht="15.75" customHeight="1">
      <c r="A706" s="30"/>
      <c r="B706" s="30"/>
      <c r="C706" s="30"/>
      <c r="D706" s="97"/>
      <c r="E706" s="30"/>
      <c r="F706" s="30"/>
      <c r="G706" s="30"/>
      <c r="H706" s="30"/>
    </row>
    <row r="707" ht="15.75" customHeight="1">
      <c r="A707" s="30"/>
      <c r="B707" s="30"/>
      <c r="C707" s="30"/>
      <c r="D707" s="97"/>
      <c r="E707" s="30"/>
      <c r="F707" s="30"/>
      <c r="G707" s="30"/>
      <c r="H707" s="30"/>
    </row>
    <row r="708" ht="15.75" customHeight="1">
      <c r="A708" s="30"/>
      <c r="B708" s="30"/>
      <c r="C708" s="30"/>
      <c r="D708" s="97"/>
      <c r="E708" s="30"/>
      <c r="F708" s="30"/>
      <c r="G708" s="30"/>
      <c r="H708" s="30"/>
    </row>
    <row r="709" ht="15.75" customHeight="1">
      <c r="A709" s="30"/>
      <c r="B709" s="30"/>
      <c r="C709" s="30"/>
      <c r="D709" s="97"/>
      <c r="E709" s="30"/>
      <c r="F709" s="30"/>
      <c r="G709" s="30"/>
      <c r="H709" s="30"/>
    </row>
    <row r="710" ht="15.75" customHeight="1">
      <c r="A710" s="30"/>
      <c r="B710" s="30"/>
      <c r="C710" s="30"/>
      <c r="D710" s="97"/>
      <c r="E710" s="30"/>
      <c r="F710" s="30"/>
      <c r="G710" s="30"/>
      <c r="H710" s="30"/>
    </row>
    <row r="711" ht="15.75" customHeight="1">
      <c r="A711" s="30"/>
      <c r="B711" s="30"/>
      <c r="C711" s="30"/>
      <c r="D711" s="97"/>
      <c r="E711" s="30"/>
      <c r="F711" s="30"/>
      <c r="G711" s="30"/>
      <c r="H711" s="30"/>
    </row>
    <row r="712" ht="15.75" customHeight="1">
      <c r="A712" s="30"/>
      <c r="B712" s="30"/>
      <c r="C712" s="30"/>
      <c r="D712" s="97"/>
      <c r="E712" s="30"/>
      <c r="F712" s="30"/>
      <c r="G712" s="30"/>
      <c r="H712" s="30"/>
    </row>
    <row r="713" ht="15.75" customHeight="1">
      <c r="A713" s="30"/>
      <c r="B713" s="30"/>
      <c r="C713" s="30"/>
      <c r="D713" s="97"/>
      <c r="E713" s="30"/>
      <c r="F713" s="30"/>
      <c r="G713" s="30"/>
      <c r="H713" s="30"/>
    </row>
    <row r="714" ht="15.75" customHeight="1">
      <c r="A714" s="30"/>
      <c r="B714" s="30"/>
      <c r="C714" s="30"/>
      <c r="D714" s="97"/>
      <c r="E714" s="30"/>
      <c r="F714" s="30"/>
      <c r="G714" s="30"/>
      <c r="H714" s="30"/>
    </row>
    <row r="715" ht="15.75" customHeight="1">
      <c r="A715" s="30"/>
      <c r="B715" s="30"/>
      <c r="C715" s="30"/>
      <c r="D715" s="97"/>
      <c r="E715" s="30"/>
      <c r="F715" s="30"/>
      <c r="G715" s="30"/>
      <c r="H715" s="30"/>
    </row>
    <row r="716" ht="15.75" customHeight="1">
      <c r="A716" s="30"/>
      <c r="B716" s="30"/>
      <c r="C716" s="30"/>
      <c r="D716" s="97"/>
      <c r="E716" s="30"/>
      <c r="F716" s="30"/>
      <c r="G716" s="30"/>
      <c r="H716" s="30"/>
    </row>
    <row r="717" ht="15.75" customHeight="1">
      <c r="A717" s="30"/>
      <c r="B717" s="30"/>
      <c r="C717" s="30"/>
      <c r="D717" s="97"/>
      <c r="E717" s="30"/>
      <c r="F717" s="30"/>
      <c r="G717" s="30"/>
      <c r="H717" s="30"/>
    </row>
    <row r="718" ht="15.75" customHeight="1">
      <c r="A718" s="30"/>
      <c r="B718" s="30"/>
      <c r="C718" s="30"/>
      <c r="D718" s="97"/>
      <c r="E718" s="30"/>
      <c r="F718" s="30"/>
      <c r="G718" s="30"/>
      <c r="H718" s="30"/>
    </row>
    <row r="719" ht="15.75" customHeight="1">
      <c r="A719" s="30"/>
      <c r="B719" s="30"/>
      <c r="C719" s="30"/>
      <c r="D719" s="97"/>
      <c r="E719" s="30"/>
      <c r="F719" s="30"/>
      <c r="G719" s="30"/>
      <c r="H719" s="30"/>
    </row>
    <row r="720" ht="15.75" customHeight="1">
      <c r="A720" s="30"/>
      <c r="B720" s="30"/>
      <c r="C720" s="30"/>
      <c r="D720" s="97"/>
      <c r="E720" s="30"/>
      <c r="F720" s="30"/>
      <c r="G720" s="30"/>
      <c r="H720" s="30"/>
    </row>
    <row r="721" ht="15.75" customHeight="1">
      <c r="A721" s="30"/>
      <c r="B721" s="30"/>
      <c r="C721" s="30"/>
      <c r="D721" s="97"/>
      <c r="E721" s="30"/>
      <c r="F721" s="30"/>
      <c r="G721" s="30"/>
      <c r="H721" s="30"/>
    </row>
    <row r="722" ht="15.75" customHeight="1">
      <c r="A722" s="30"/>
      <c r="B722" s="30"/>
      <c r="C722" s="30"/>
      <c r="D722" s="97"/>
      <c r="E722" s="30"/>
      <c r="F722" s="30"/>
      <c r="G722" s="30"/>
      <c r="H722" s="30"/>
    </row>
    <row r="723" ht="15.75" customHeight="1">
      <c r="A723" s="30"/>
      <c r="B723" s="30"/>
      <c r="C723" s="30"/>
      <c r="D723" s="97"/>
      <c r="E723" s="30"/>
      <c r="F723" s="30"/>
      <c r="G723" s="30"/>
      <c r="H723" s="30"/>
    </row>
    <row r="724" ht="15.75" customHeight="1">
      <c r="A724" s="30"/>
      <c r="B724" s="30"/>
      <c r="C724" s="30"/>
      <c r="D724" s="97"/>
      <c r="E724" s="30"/>
      <c r="F724" s="30"/>
      <c r="G724" s="30"/>
      <c r="H724" s="30"/>
    </row>
    <row r="725" ht="15.75" customHeight="1">
      <c r="A725" s="30"/>
      <c r="B725" s="30"/>
      <c r="C725" s="30"/>
      <c r="D725" s="97"/>
      <c r="E725" s="30"/>
      <c r="F725" s="30"/>
      <c r="G725" s="30"/>
      <c r="H725" s="30"/>
    </row>
    <row r="726" ht="15.75" customHeight="1">
      <c r="A726" s="30"/>
      <c r="B726" s="30"/>
      <c r="C726" s="30"/>
      <c r="D726" s="97"/>
      <c r="E726" s="30"/>
      <c r="F726" s="30"/>
      <c r="G726" s="30"/>
      <c r="H726" s="30"/>
    </row>
    <row r="727" ht="15.75" customHeight="1">
      <c r="A727" s="30"/>
      <c r="B727" s="30"/>
      <c r="C727" s="30"/>
      <c r="D727" s="97"/>
      <c r="E727" s="30"/>
      <c r="F727" s="30"/>
      <c r="G727" s="30"/>
      <c r="H727" s="30"/>
    </row>
    <row r="728" ht="15.75" customHeight="1">
      <c r="A728" s="30"/>
      <c r="B728" s="30"/>
      <c r="C728" s="30"/>
      <c r="D728" s="97"/>
      <c r="E728" s="30"/>
      <c r="F728" s="30"/>
      <c r="G728" s="30"/>
      <c r="H728" s="30"/>
    </row>
    <row r="729" ht="15.75" customHeight="1">
      <c r="A729" s="30"/>
      <c r="B729" s="30"/>
      <c r="C729" s="30"/>
      <c r="D729" s="97"/>
      <c r="E729" s="30"/>
      <c r="F729" s="30"/>
      <c r="G729" s="30"/>
      <c r="H729" s="30"/>
    </row>
    <row r="730" ht="15.75" customHeight="1">
      <c r="A730" s="30"/>
      <c r="B730" s="30"/>
      <c r="C730" s="30"/>
      <c r="D730" s="97"/>
      <c r="E730" s="30"/>
      <c r="F730" s="30"/>
      <c r="G730" s="30"/>
      <c r="H730" s="30"/>
    </row>
    <row r="731" ht="15.75" customHeight="1">
      <c r="A731" s="30"/>
      <c r="B731" s="30"/>
      <c r="C731" s="30"/>
      <c r="D731" s="97"/>
      <c r="E731" s="30"/>
      <c r="F731" s="30"/>
      <c r="G731" s="30"/>
      <c r="H731" s="30"/>
    </row>
    <row r="732" ht="15.75" customHeight="1">
      <c r="A732" s="30"/>
      <c r="B732" s="30"/>
      <c r="C732" s="30"/>
      <c r="D732" s="97"/>
      <c r="E732" s="30"/>
      <c r="F732" s="30"/>
      <c r="G732" s="30"/>
      <c r="H732" s="30"/>
    </row>
    <row r="733" ht="15.75" customHeight="1">
      <c r="A733" s="30"/>
      <c r="B733" s="30"/>
      <c r="C733" s="30"/>
      <c r="D733" s="97"/>
      <c r="E733" s="30"/>
      <c r="F733" s="30"/>
      <c r="G733" s="30"/>
      <c r="H733" s="30"/>
    </row>
    <row r="734" ht="15.75" customHeight="1">
      <c r="A734" s="30"/>
      <c r="B734" s="30"/>
      <c r="C734" s="30"/>
      <c r="D734" s="97"/>
      <c r="E734" s="30"/>
      <c r="F734" s="30"/>
      <c r="G734" s="30"/>
      <c r="H734" s="30"/>
    </row>
    <row r="735" ht="15.75" customHeight="1">
      <c r="A735" s="30"/>
      <c r="B735" s="30"/>
      <c r="C735" s="30"/>
      <c r="D735" s="97"/>
      <c r="E735" s="30"/>
      <c r="F735" s="30"/>
      <c r="G735" s="30"/>
      <c r="H735" s="30"/>
    </row>
    <row r="736" ht="15.75" customHeight="1">
      <c r="A736" s="30"/>
      <c r="B736" s="30"/>
      <c r="C736" s="30"/>
      <c r="D736" s="97"/>
      <c r="E736" s="30"/>
      <c r="F736" s="30"/>
      <c r="G736" s="30"/>
      <c r="H736" s="30"/>
    </row>
    <row r="737" ht="15.75" customHeight="1">
      <c r="A737" s="30"/>
      <c r="B737" s="30"/>
      <c r="C737" s="30"/>
      <c r="D737" s="97"/>
      <c r="E737" s="30"/>
      <c r="F737" s="30"/>
      <c r="G737" s="30"/>
      <c r="H737" s="30"/>
    </row>
    <row r="738" ht="15.75" customHeight="1">
      <c r="A738" s="30"/>
      <c r="B738" s="30"/>
      <c r="C738" s="30"/>
      <c r="D738" s="97"/>
      <c r="E738" s="30"/>
      <c r="F738" s="30"/>
      <c r="G738" s="30"/>
      <c r="H738" s="30"/>
    </row>
    <row r="739" ht="15.75" customHeight="1">
      <c r="A739" s="30"/>
      <c r="B739" s="30"/>
      <c r="C739" s="30"/>
      <c r="D739" s="97"/>
      <c r="E739" s="30"/>
      <c r="F739" s="30"/>
      <c r="G739" s="30"/>
      <c r="H739" s="30"/>
    </row>
    <row r="740" ht="15.75" customHeight="1">
      <c r="A740" s="30"/>
      <c r="B740" s="30"/>
      <c r="C740" s="30"/>
      <c r="D740" s="97"/>
      <c r="E740" s="30"/>
      <c r="F740" s="30"/>
      <c r="G740" s="30"/>
      <c r="H740" s="30"/>
    </row>
    <row r="741" ht="15.75" customHeight="1">
      <c r="A741" s="30"/>
      <c r="B741" s="30"/>
      <c r="C741" s="30"/>
      <c r="D741" s="97"/>
      <c r="E741" s="30"/>
      <c r="F741" s="30"/>
      <c r="G741" s="30"/>
      <c r="H741" s="30"/>
    </row>
    <row r="742" ht="15.75" customHeight="1">
      <c r="A742" s="30"/>
      <c r="B742" s="30"/>
      <c r="C742" s="30"/>
      <c r="D742" s="97"/>
      <c r="E742" s="30"/>
      <c r="F742" s="30"/>
      <c r="G742" s="30"/>
      <c r="H742" s="30"/>
    </row>
    <row r="743" ht="15.75" customHeight="1">
      <c r="A743" s="30"/>
      <c r="B743" s="30"/>
      <c r="C743" s="30"/>
      <c r="D743" s="97"/>
      <c r="E743" s="30"/>
      <c r="F743" s="30"/>
      <c r="G743" s="30"/>
      <c r="H743" s="30"/>
    </row>
    <row r="744" ht="15.75" customHeight="1">
      <c r="A744" s="30"/>
      <c r="B744" s="30"/>
      <c r="C744" s="30"/>
      <c r="D744" s="97"/>
      <c r="E744" s="30"/>
      <c r="F744" s="30"/>
      <c r="G744" s="30"/>
      <c r="H744" s="30"/>
    </row>
    <row r="745" ht="15.75" customHeight="1">
      <c r="A745" s="30"/>
      <c r="B745" s="30"/>
      <c r="C745" s="30"/>
      <c r="D745" s="97"/>
      <c r="E745" s="30"/>
      <c r="F745" s="30"/>
      <c r="G745" s="30"/>
      <c r="H745" s="30"/>
    </row>
    <row r="746" ht="15.75" customHeight="1">
      <c r="A746" s="30"/>
      <c r="B746" s="30"/>
      <c r="C746" s="30"/>
      <c r="D746" s="97"/>
      <c r="E746" s="30"/>
      <c r="F746" s="30"/>
      <c r="G746" s="30"/>
      <c r="H746" s="30"/>
    </row>
    <row r="747" ht="15.75" customHeight="1">
      <c r="A747" s="30"/>
      <c r="B747" s="30"/>
      <c r="C747" s="30"/>
      <c r="D747" s="97"/>
      <c r="E747" s="30"/>
      <c r="F747" s="30"/>
      <c r="G747" s="30"/>
      <c r="H747" s="30"/>
    </row>
    <row r="748" ht="15.75" customHeight="1">
      <c r="A748" s="30"/>
      <c r="B748" s="30"/>
      <c r="C748" s="30"/>
      <c r="D748" s="97"/>
      <c r="E748" s="30"/>
      <c r="F748" s="30"/>
      <c r="G748" s="30"/>
      <c r="H748" s="30"/>
    </row>
    <row r="749" ht="15.75" customHeight="1">
      <c r="A749" s="30"/>
      <c r="B749" s="30"/>
      <c r="C749" s="30"/>
      <c r="D749" s="97"/>
      <c r="E749" s="30"/>
      <c r="F749" s="30"/>
      <c r="G749" s="30"/>
      <c r="H749" s="30"/>
    </row>
    <row r="750" ht="15.75" customHeight="1">
      <c r="A750" s="30"/>
      <c r="B750" s="30"/>
      <c r="C750" s="30"/>
      <c r="D750" s="97"/>
      <c r="E750" s="30"/>
      <c r="F750" s="30"/>
      <c r="G750" s="30"/>
      <c r="H750" s="30"/>
    </row>
    <row r="751" ht="15.75" customHeight="1">
      <c r="A751" s="30"/>
      <c r="B751" s="30"/>
      <c r="C751" s="30"/>
      <c r="D751" s="97"/>
      <c r="E751" s="30"/>
      <c r="F751" s="30"/>
      <c r="G751" s="30"/>
      <c r="H751" s="30"/>
    </row>
    <row r="752" ht="15.75" customHeight="1">
      <c r="A752" s="30"/>
      <c r="B752" s="30"/>
      <c r="C752" s="30"/>
      <c r="D752" s="97"/>
      <c r="E752" s="30"/>
      <c r="F752" s="30"/>
      <c r="G752" s="30"/>
      <c r="H752" s="30"/>
    </row>
    <row r="753" ht="15.75" customHeight="1">
      <c r="A753" s="30"/>
      <c r="B753" s="30"/>
      <c r="C753" s="30"/>
      <c r="D753" s="97"/>
      <c r="E753" s="30"/>
      <c r="F753" s="30"/>
      <c r="G753" s="30"/>
      <c r="H753" s="30"/>
    </row>
    <row r="754" ht="15.75" customHeight="1">
      <c r="A754" s="30"/>
      <c r="B754" s="30"/>
      <c r="C754" s="30"/>
      <c r="D754" s="97"/>
      <c r="E754" s="30"/>
      <c r="F754" s="30"/>
      <c r="G754" s="30"/>
      <c r="H754" s="30"/>
    </row>
    <row r="755" ht="15.75" customHeight="1">
      <c r="A755" s="30"/>
      <c r="B755" s="30"/>
      <c r="C755" s="30"/>
      <c r="D755" s="97"/>
      <c r="E755" s="30"/>
      <c r="F755" s="30"/>
      <c r="G755" s="30"/>
      <c r="H755" s="30"/>
    </row>
    <row r="756" ht="15.75" customHeight="1">
      <c r="A756" s="30"/>
      <c r="B756" s="30"/>
      <c r="C756" s="30"/>
      <c r="D756" s="97"/>
      <c r="E756" s="30"/>
      <c r="F756" s="30"/>
      <c r="G756" s="30"/>
      <c r="H756" s="30"/>
    </row>
    <row r="757" ht="15.75" customHeight="1">
      <c r="A757" s="30"/>
      <c r="B757" s="30"/>
      <c r="C757" s="30"/>
      <c r="D757" s="97"/>
      <c r="E757" s="30"/>
      <c r="F757" s="30"/>
      <c r="G757" s="30"/>
      <c r="H757" s="30"/>
    </row>
    <row r="758" ht="15.75" customHeight="1">
      <c r="A758" s="30"/>
      <c r="B758" s="30"/>
      <c r="C758" s="30"/>
      <c r="D758" s="97"/>
      <c r="E758" s="30"/>
      <c r="F758" s="30"/>
      <c r="G758" s="30"/>
      <c r="H758" s="30"/>
    </row>
    <row r="759" ht="15.75" customHeight="1">
      <c r="A759" s="30"/>
      <c r="B759" s="30"/>
      <c r="C759" s="30"/>
      <c r="D759" s="97"/>
      <c r="E759" s="30"/>
      <c r="F759" s="30"/>
      <c r="G759" s="30"/>
      <c r="H759" s="30"/>
    </row>
    <row r="760" ht="15.75" customHeight="1">
      <c r="A760" s="30"/>
      <c r="B760" s="30"/>
      <c r="C760" s="30"/>
      <c r="D760" s="97"/>
      <c r="E760" s="30"/>
      <c r="F760" s="30"/>
      <c r="G760" s="30"/>
      <c r="H760" s="30"/>
    </row>
    <row r="761" ht="15.75" customHeight="1">
      <c r="A761" s="30"/>
      <c r="B761" s="30"/>
      <c r="C761" s="30"/>
      <c r="D761" s="97"/>
      <c r="E761" s="30"/>
      <c r="F761" s="30"/>
      <c r="G761" s="30"/>
      <c r="H761" s="30"/>
    </row>
    <row r="762" ht="15.75" customHeight="1">
      <c r="A762" s="30"/>
      <c r="B762" s="30"/>
      <c r="C762" s="30"/>
      <c r="D762" s="97"/>
      <c r="E762" s="30"/>
      <c r="F762" s="30"/>
      <c r="G762" s="30"/>
      <c r="H762" s="30"/>
    </row>
    <row r="763" ht="15.75" customHeight="1">
      <c r="A763" s="30"/>
      <c r="B763" s="30"/>
      <c r="C763" s="30"/>
      <c r="D763" s="97"/>
      <c r="E763" s="30"/>
      <c r="F763" s="30"/>
      <c r="G763" s="30"/>
      <c r="H763" s="30"/>
    </row>
    <row r="764" ht="15.75" customHeight="1">
      <c r="A764" s="30"/>
      <c r="B764" s="30"/>
      <c r="C764" s="30"/>
      <c r="D764" s="97"/>
      <c r="E764" s="30"/>
      <c r="F764" s="30"/>
      <c r="G764" s="30"/>
      <c r="H764" s="30"/>
    </row>
    <row r="765" ht="15.75" customHeight="1">
      <c r="A765" s="30"/>
      <c r="B765" s="30"/>
      <c r="C765" s="30"/>
      <c r="D765" s="97"/>
      <c r="E765" s="30"/>
      <c r="F765" s="30"/>
      <c r="G765" s="30"/>
      <c r="H765" s="30"/>
    </row>
    <row r="766" ht="15.75" customHeight="1">
      <c r="A766" s="30"/>
      <c r="B766" s="30"/>
      <c r="C766" s="30"/>
      <c r="D766" s="97"/>
      <c r="E766" s="30"/>
      <c r="F766" s="30"/>
      <c r="G766" s="30"/>
      <c r="H766" s="30"/>
    </row>
    <row r="767" ht="15.75" customHeight="1">
      <c r="A767" s="30"/>
      <c r="B767" s="30"/>
      <c r="C767" s="30"/>
      <c r="D767" s="97"/>
      <c r="E767" s="30"/>
      <c r="F767" s="30"/>
      <c r="G767" s="30"/>
      <c r="H767" s="30"/>
    </row>
    <row r="768" ht="15.75" customHeight="1">
      <c r="A768" s="30"/>
      <c r="B768" s="30"/>
      <c r="C768" s="30"/>
      <c r="D768" s="97"/>
      <c r="E768" s="30"/>
      <c r="F768" s="30"/>
      <c r="G768" s="30"/>
      <c r="H768" s="30"/>
    </row>
    <row r="769" ht="15.75" customHeight="1">
      <c r="A769" s="30"/>
      <c r="B769" s="30"/>
      <c r="C769" s="30"/>
      <c r="D769" s="97"/>
      <c r="E769" s="30"/>
      <c r="F769" s="30"/>
      <c r="G769" s="30"/>
      <c r="H769" s="30"/>
    </row>
    <row r="770" ht="15.75" customHeight="1">
      <c r="A770" s="30"/>
      <c r="B770" s="30"/>
      <c r="C770" s="30"/>
      <c r="D770" s="97"/>
      <c r="E770" s="30"/>
      <c r="F770" s="30"/>
      <c r="G770" s="30"/>
      <c r="H770" s="30"/>
    </row>
    <row r="771" ht="15.75" customHeight="1">
      <c r="A771" s="30"/>
      <c r="B771" s="30"/>
      <c r="C771" s="30"/>
      <c r="D771" s="97"/>
      <c r="E771" s="30"/>
      <c r="F771" s="30"/>
      <c r="G771" s="30"/>
      <c r="H771" s="30"/>
    </row>
    <row r="772" ht="15.75" customHeight="1">
      <c r="A772" s="30"/>
      <c r="B772" s="30"/>
      <c r="C772" s="30"/>
      <c r="D772" s="97"/>
      <c r="E772" s="30"/>
      <c r="F772" s="30"/>
      <c r="G772" s="30"/>
      <c r="H772" s="30"/>
    </row>
    <row r="773" ht="15.75" customHeight="1">
      <c r="A773" s="30"/>
      <c r="B773" s="30"/>
      <c r="C773" s="30"/>
      <c r="D773" s="97"/>
      <c r="E773" s="30"/>
      <c r="F773" s="30"/>
      <c r="G773" s="30"/>
      <c r="H773" s="30"/>
    </row>
    <row r="774" ht="15.75" customHeight="1">
      <c r="A774" s="30"/>
      <c r="B774" s="30"/>
      <c r="C774" s="30"/>
      <c r="D774" s="97"/>
      <c r="E774" s="30"/>
      <c r="F774" s="30"/>
      <c r="G774" s="30"/>
      <c r="H774" s="30"/>
    </row>
    <row r="775" ht="15.75" customHeight="1">
      <c r="A775" s="30"/>
      <c r="B775" s="30"/>
      <c r="C775" s="30"/>
      <c r="D775" s="97"/>
      <c r="E775" s="30"/>
      <c r="F775" s="30"/>
      <c r="G775" s="30"/>
      <c r="H775" s="30"/>
    </row>
    <row r="776" ht="15.75" customHeight="1">
      <c r="A776" s="30"/>
      <c r="B776" s="30"/>
      <c r="C776" s="30"/>
      <c r="D776" s="97"/>
      <c r="E776" s="30"/>
      <c r="F776" s="30"/>
      <c r="G776" s="30"/>
      <c r="H776" s="30"/>
    </row>
    <row r="777" ht="15.75" customHeight="1">
      <c r="A777" s="30"/>
      <c r="B777" s="30"/>
      <c r="C777" s="30"/>
      <c r="D777" s="97"/>
      <c r="E777" s="30"/>
      <c r="F777" s="30"/>
      <c r="G777" s="30"/>
      <c r="H777" s="30"/>
    </row>
    <row r="778" ht="15.75" customHeight="1">
      <c r="A778" s="30"/>
      <c r="B778" s="30"/>
      <c r="C778" s="30"/>
      <c r="D778" s="97"/>
      <c r="E778" s="30"/>
      <c r="F778" s="30"/>
      <c r="G778" s="30"/>
      <c r="H778" s="30"/>
    </row>
    <row r="779" ht="15.75" customHeight="1">
      <c r="A779" s="30"/>
      <c r="B779" s="30"/>
      <c r="C779" s="30"/>
      <c r="D779" s="97"/>
      <c r="E779" s="30"/>
      <c r="F779" s="30"/>
      <c r="G779" s="30"/>
      <c r="H779" s="30"/>
    </row>
    <row r="780" ht="15.75" customHeight="1">
      <c r="A780" s="30"/>
      <c r="B780" s="30"/>
      <c r="C780" s="30"/>
      <c r="D780" s="97"/>
      <c r="E780" s="30"/>
      <c r="F780" s="30"/>
      <c r="G780" s="30"/>
      <c r="H780" s="30"/>
    </row>
    <row r="781" ht="15.75" customHeight="1">
      <c r="A781" s="30"/>
      <c r="B781" s="30"/>
      <c r="C781" s="30"/>
      <c r="D781" s="97"/>
      <c r="E781" s="30"/>
      <c r="F781" s="30"/>
      <c r="G781" s="30"/>
      <c r="H781" s="30"/>
    </row>
    <row r="782" ht="15.75" customHeight="1">
      <c r="A782" s="30"/>
      <c r="B782" s="30"/>
      <c r="C782" s="30"/>
      <c r="D782" s="97"/>
      <c r="E782" s="30"/>
      <c r="F782" s="30"/>
      <c r="G782" s="30"/>
      <c r="H782" s="30"/>
    </row>
    <row r="783" ht="15.75" customHeight="1">
      <c r="A783" s="30"/>
      <c r="B783" s="30"/>
      <c r="C783" s="30"/>
      <c r="D783" s="97"/>
      <c r="E783" s="30"/>
      <c r="F783" s="30"/>
      <c r="G783" s="30"/>
      <c r="H783" s="30"/>
    </row>
    <row r="784" ht="15.75" customHeight="1">
      <c r="A784" s="30"/>
      <c r="B784" s="30"/>
      <c r="C784" s="30"/>
      <c r="D784" s="97"/>
      <c r="E784" s="30"/>
      <c r="F784" s="30"/>
      <c r="G784" s="30"/>
      <c r="H784" s="30"/>
    </row>
    <row r="785" ht="15.75" customHeight="1">
      <c r="A785" s="30"/>
      <c r="B785" s="30"/>
      <c r="C785" s="30"/>
      <c r="D785" s="97"/>
      <c r="E785" s="30"/>
      <c r="F785" s="30"/>
      <c r="G785" s="30"/>
      <c r="H785" s="30"/>
    </row>
    <row r="786" ht="15.75" customHeight="1">
      <c r="A786" s="30"/>
      <c r="B786" s="30"/>
      <c r="C786" s="30"/>
      <c r="D786" s="97"/>
      <c r="E786" s="30"/>
      <c r="F786" s="30"/>
      <c r="G786" s="30"/>
      <c r="H786" s="30"/>
    </row>
    <row r="787" ht="15.75" customHeight="1">
      <c r="A787" s="30"/>
      <c r="B787" s="30"/>
      <c r="C787" s="30"/>
      <c r="D787" s="97"/>
      <c r="E787" s="30"/>
      <c r="F787" s="30"/>
      <c r="G787" s="30"/>
      <c r="H787" s="30"/>
    </row>
    <row r="788" ht="15.75" customHeight="1">
      <c r="A788" s="30"/>
      <c r="B788" s="30"/>
      <c r="C788" s="30"/>
      <c r="D788" s="97"/>
      <c r="E788" s="30"/>
      <c r="F788" s="30"/>
      <c r="G788" s="30"/>
      <c r="H788" s="30"/>
    </row>
    <row r="789" ht="15.75" customHeight="1">
      <c r="A789" s="30"/>
      <c r="B789" s="30"/>
      <c r="C789" s="30"/>
      <c r="D789" s="97"/>
      <c r="E789" s="30"/>
      <c r="F789" s="30"/>
      <c r="G789" s="30"/>
      <c r="H789" s="30"/>
    </row>
    <row r="790" ht="15.75" customHeight="1">
      <c r="A790" s="30"/>
      <c r="B790" s="30"/>
      <c r="C790" s="30"/>
      <c r="D790" s="97"/>
      <c r="E790" s="30"/>
      <c r="F790" s="30"/>
      <c r="G790" s="30"/>
      <c r="H790" s="30"/>
    </row>
    <row r="791" ht="15.75" customHeight="1">
      <c r="A791" s="30"/>
      <c r="B791" s="30"/>
      <c r="C791" s="30"/>
      <c r="D791" s="97"/>
      <c r="E791" s="30"/>
      <c r="F791" s="30"/>
      <c r="G791" s="30"/>
      <c r="H791" s="30"/>
    </row>
    <row r="792" ht="15.75" customHeight="1">
      <c r="A792" s="30"/>
      <c r="B792" s="30"/>
      <c r="C792" s="30"/>
      <c r="D792" s="97"/>
      <c r="E792" s="30"/>
      <c r="F792" s="30"/>
      <c r="G792" s="30"/>
      <c r="H792" s="30"/>
    </row>
    <row r="793" ht="15.75" customHeight="1">
      <c r="A793" s="30"/>
      <c r="B793" s="30"/>
      <c r="C793" s="30"/>
      <c r="D793" s="97"/>
      <c r="E793" s="30"/>
      <c r="F793" s="30"/>
      <c r="G793" s="30"/>
      <c r="H793" s="30"/>
    </row>
    <row r="794" ht="15.75" customHeight="1">
      <c r="A794" s="30"/>
      <c r="B794" s="30"/>
      <c r="C794" s="30"/>
      <c r="D794" s="97"/>
      <c r="E794" s="30"/>
      <c r="F794" s="30"/>
      <c r="G794" s="30"/>
      <c r="H794" s="30"/>
    </row>
    <row r="795" ht="15.75" customHeight="1">
      <c r="A795" s="30"/>
      <c r="B795" s="30"/>
      <c r="C795" s="30"/>
      <c r="D795" s="97"/>
      <c r="E795" s="30"/>
      <c r="F795" s="30"/>
      <c r="G795" s="30"/>
      <c r="H795" s="30"/>
    </row>
    <row r="796" ht="15.75" customHeight="1">
      <c r="A796" s="30"/>
      <c r="B796" s="30"/>
      <c r="C796" s="30"/>
      <c r="D796" s="97"/>
      <c r="E796" s="30"/>
      <c r="F796" s="30"/>
      <c r="G796" s="30"/>
      <c r="H796" s="30"/>
    </row>
    <row r="797" ht="15.75" customHeight="1">
      <c r="A797" s="30"/>
      <c r="B797" s="30"/>
      <c r="C797" s="30"/>
      <c r="D797" s="97"/>
      <c r="E797" s="30"/>
      <c r="F797" s="30"/>
      <c r="G797" s="30"/>
      <c r="H797" s="30"/>
    </row>
    <row r="798" ht="15.75" customHeight="1">
      <c r="A798" s="30"/>
      <c r="B798" s="30"/>
      <c r="C798" s="30"/>
      <c r="D798" s="97"/>
      <c r="E798" s="30"/>
      <c r="F798" s="30"/>
      <c r="G798" s="30"/>
      <c r="H798" s="30"/>
    </row>
    <row r="799" ht="15.75" customHeight="1">
      <c r="A799" s="30"/>
      <c r="B799" s="30"/>
      <c r="C799" s="30"/>
      <c r="D799" s="97"/>
      <c r="E799" s="30"/>
      <c r="F799" s="30"/>
      <c r="G799" s="30"/>
      <c r="H799" s="30"/>
    </row>
    <row r="800" ht="15.75" customHeight="1">
      <c r="A800" s="30"/>
      <c r="B800" s="30"/>
      <c r="C800" s="30"/>
      <c r="D800" s="97"/>
      <c r="E800" s="30"/>
      <c r="F800" s="30"/>
      <c r="G800" s="30"/>
      <c r="H800" s="30"/>
    </row>
    <row r="801" ht="15.75" customHeight="1">
      <c r="A801" s="30"/>
      <c r="B801" s="30"/>
      <c r="C801" s="30"/>
      <c r="D801" s="97"/>
      <c r="E801" s="30"/>
      <c r="F801" s="30"/>
      <c r="G801" s="30"/>
      <c r="H801" s="30"/>
    </row>
    <row r="802" ht="15.75" customHeight="1">
      <c r="A802" s="30"/>
      <c r="B802" s="30"/>
      <c r="C802" s="30"/>
      <c r="D802" s="97"/>
      <c r="E802" s="30"/>
      <c r="F802" s="30"/>
      <c r="G802" s="30"/>
      <c r="H802" s="30"/>
    </row>
    <row r="803" ht="15.75" customHeight="1">
      <c r="A803" s="30"/>
      <c r="B803" s="30"/>
      <c r="C803" s="30"/>
      <c r="D803" s="97"/>
      <c r="E803" s="30"/>
      <c r="F803" s="30"/>
      <c r="G803" s="30"/>
      <c r="H803" s="30"/>
    </row>
    <row r="804" ht="15.75" customHeight="1">
      <c r="A804" s="30"/>
      <c r="B804" s="30"/>
      <c r="C804" s="30"/>
      <c r="D804" s="97"/>
      <c r="E804" s="30"/>
      <c r="F804" s="30"/>
      <c r="G804" s="30"/>
      <c r="H804" s="30"/>
    </row>
    <row r="805" ht="15.75" customHeight="1">
      <c r="A805" s="30"/>
      <c r="B805" s="30"/>
      <c r="C805" s="30"/>
      <c r="D805" s="97"/>
      <c r="E805" s="30"/>
      <c r="F805" s="30"/>
      <c r="G805" s="30"/>
      <c r="H805" s="30"/>
    </row>
    <row r="806" ht="15.75" customHeight="1">
      <c r="A806" s="30"/>
      <c r="B806" s="30"/>
      <c r="C806" s="30"/>
      <c r="D806" s="97"/>
      <c r="E806" s="30"/>
      <c r="F806" s="30"/>
      <c r="G806" s="30"/>
      <c r="H806" s="30"/>
    </row>
    <row r="807" ht="15.75" customHeight="1">
      <c r="A807" s="30"/>
      <c r="B807" s="30"/>
      <c r="C807" s="30"/>
      <c r="D807" s="97"/>
      <c r="E807" s="30"/>
      <c r="F807" s="30"/>
      <c r="G807" s="30"/>
      <c r="H807" s="30"/>
    </row>
    <row r="808" ht="15.75" customHeight="1">
      <c r="A808" s="30"/>
      <c r="B808" s="30"/>
      <c r="C808" s="30"/>
      <c r="D808" s="97"/>
      <c r="E808" s="30"/>
      <c r="F808" s="30"/>
      <c r="G808" s="30"/>
      <c r="H808" s="30"/>
    </row>
    <row r="809" ht="15.75" customHeight="1">
      <c r="A809" s="30"/>
      <c r="B809" s="30"/>
      <c r="C809" s="30"/>
      <c r="D809" s="97"/>
      <c r="E809" s="30"/>
      <c r="F809" s="30"/>
      <c r="G809" s="30"/>
      <c r="H809" s="30"/>
    </row>
    <row r="810" ht="15.75" customHeight="1">
      <c r="A810" s="30"/>
      <c r="B810" s="30"/>
      <c r="C810" s="30"/>
      <c r="D810" s="97"/>
      <c r="E810" s="30"/>
      <c r="F810" s="30"/>
      <c r="G810" s="30"/>
      <c r="H810" s="30"/>
    </row>
    <row r="811" ht="15.75" customHeight="1">
      <c r="A811" s="30"/>
      <c r="B811" s="30"/>
      <c r="C811" s="30"/>
      <c r="D811" s="97"/>
      <c r="E811" s="30"/>
      <c r="F811" s="30"/>
      <c r="G811" s="30"/>
      <c r="H811" s="30"/>
    </row>
    <row r="812" ht="15.75" customHeight="1">
      <c r="A812" s="30"/>
      <c r="B812" s="30"/>
      <c r="C812" s="30"/>
      <c r="D812" s="97"/>
      <c r="E812" s="30"/>
      <c r="F812" s="30"/>
      <c r="G812" s="30"/>
      <c r="H812" s="30"/>
    </row>
    <row r="813" ht="15.75" customHeight="1">
      <c r="A813" s="30"/>
      <c r="B813" s="30"/>
      <c r="C813" s="30"/>
      <c r="D813" s="97"/>
      <c r="E813" s="30"/>
      <c r="F813" s="30"/>
      <c r="G813" s="30"/>
      <c r="H813" s="30"/>
    </row>
    <row r="814" ht="15.75" customHeight="1">
      <c r="A814" s="30"/>
      <c r="B814" s="30"/>
      <c r="C814" s="30"/>
      <c r="D814" s="97"/>
      <c r="E814" s="30"/>
      <c r="F814" s="30"/>
      <c r="G814" s="30"/>
      <c r="H814" s="30"/>
    </row>
    <row r="815" ht="15.75" customHeight="1">
      <c r="A815" s="30"/>
      <c r="B815" s="30"/>
      <c r="C815" s="30"/>
      <c r="D815" s="97"/>
      <c r="E815" s="30"/>
      <c r="F815" s="30"/>
      <c r="G815" s="30"/>
      <c r="H815" s="30"/>
    </row>
    <row r="816" ht="15.75" customHeight="1">
      <c r="A816" s="30"/>
      <c r="B816" s="30"/>
      <c r="C816" s="30"/>
      <c r="D816" s="97"/>
      <c r="E816" s="30"/>
      <c r="F816" s="30"/>
      <c r="G816" s="30"/>
      <c r="H816" s="30"/>
    </row>
    <row r="817" ht="15.75" customHeight="1">
      <c r="A817" s="30"/>
      <c r="B817" s="30"/>
      <c r="C817" s="30"/>
      <c r="D817" s="97"/>
      <c r="E817" s="30"/>
      <c r="F817" s="30"/>
      <c r="G817" s="30"/>
      <c r="H817" s="30"/>
    </row>
    <row r="818" ht="15.75" customHeight="1">
      <c r="A818" s="30"/>
      <c r="B818" s="30"/>
      <c r="C818" s="30"/>
      <c r="D818" s="97"/>
      <c r="E818" s="30"/>
      <c r="F818" s="30"/>
      <c r="G818" s="30"/>
      <c r="H818" s="30"/>
    </row>
    <row r="819" ht="15.75" customHeight="1">
      <c r="A819" s="30"/>
      <c r="B819" s="30"/>
      <c r="C819" s="30"/>
      <c r="D819" s="97"/>
      <c r="E819" s="30"/>
      <c r="F819" s="30"/>
      <c r="G819" s="30"/>
      <c r="H819" s="30"/>
    </row>
    <row r="820" ht="15.75" customHeight="1">
      <c r="A820" s="30"/>
      <c r="B820" s="30"/>
      <c r="C820" s="30"/>
      <c r="D820" s="97"/>
      <c r="E820" s="30"/>
      <c r="F820" s="30"/>
      <c r="G820" s="30"/>
      <c r="H820" s="30"/>
    </row>
    <row r="821" ht="15.75" customHeight="1">
      <c r="A821" s="30"/>
      <c r="B821" s="30"/>
      <c r="C821" s="30"/>
      <c r="D821" s="97"/>
      <c r="E821" s="30"/>
      <c r="F821" s="30"/>
      <c r="G821" s="30"/>
      <c r="H821" s="30"/>
    </row>
    <row r="822" ht="15.75" customHeight="1">
      <c r="A822" s="30"/>
      <c r="B822" s="30"/>
      <c r="C822" s="30"/>
      <c r="D822" s="97"/>
      <c r="E822" s="30"/>
      <c r="F822" s="30"/>
      <c r="G822" s="30"/>
      <c r="H822" s="30"/>
    </row>
    <row r="823" ht="15.75" customHeight="1">
      <c r="A823" s="30"/>
      <c r="B823" s="30"/>
      <c r="C823" s="30"/>
      <c r="D823" s="97"/>
      <c r="E823" s="30"/>
      <c r="F823" s="30"/>
      <c r="G823" s="30"/>
      <c r="H823" s="30"/>
    </row>
    <row r="824" ht="15.75" customHeight="1">
      <c r="A824" s="30"/>
      <c r="B824" s="30"/>
      <c r="C824" s="30"/>
      <c r="D824" s="97"/>
      <c r="E824" s="30"/>
      <c r="F824" s="30"/>
      <c r="G824" s="30"/>
      <c r="H824" s="30"/>
    </row>
    <row r="825" ht="15.75" customHeight="1">
      <c r="A825" s="30"/>
      <c r="B825" s="30"/>
      <c r="C825" s="30"/>
      <c r="D825" s="97"/>
      <c r="E825" s="30"/>
      <c r="F825" s="30"/>
      <c r="G825" s="30"/>
      <c r="H825" s="30"/>
    </row>
    <row r="826" ht="15.75" customHeight="1">
      <c r="A826" s="30"/>
      <c r="B826" s="30"/>
      <c r="C826" s="30"/>
      <c r="D826" s="97"/>
      <c r="E826" s="30"/>
      <c r="F826" s="30"/>
      <c r="G826" s="30"/>
      <c r="H826" s="30"/>
    </row>
    <row r="827" ht="15.75" customHeight="1">
      <c r="A827" s="30"/>
      <c r="B827" s="30"/>
      <c r="C827" s="30"/>
      <c r="D827" s="97"/>
      <c r="E827" s="30"/>
      <c r="F827" s="30"/>
      <c r="G827" s="30"/>
      <c r="H827" s="30"/>
    </row>
    <row r="828" ht="15.75" customHeight="1">
      <c r="A828" s="30"/>
      <c r="B828" s="30"/>
      <c r="C828" s="30"/>
      <c r="D828" s="97"/>
      <c r="E828" s="30"/>
      <c r="F828" s="30"/>
      <c r="G828" s="30"/>
      <c r="H828" s="30"/>
    </row>
    <row r="829" ht="15.75" customHeight="1">
      <c r="A829" s="30"/>
      <c r="B829" s="30"/>
      <c r="C829" s="30"/>
      <c r="D829" s="97"/>
      <c r="E829" s="30"/>
      <c r="F829" s="30"/>
      <c r="G829" s="30"/>
      <c r="H829" s="30"/>
    </row>
    <row r="830" ht="15.75" customHeight="1">
      <c r="A830" s="30"/>
      <c r="B830" s="30"/>
      <c r="C830" s="30"/>
      <c r="D830" s="97"/>
      <c r="E830" s="30"/>
      <c r="F830" s="30"/>
      <c r="G830" s="30"/>
      <c r="H830" s="30"/>
    </row>
    <row r="831" ht="15.75" customHeight="1">
      <c r="A831" s="30"/>
      <c r="B831" s="30"/>
      <c r="C831" s="30"/>
      <c r="D831" s="97"/>
      <c r="E831" s="30"/>
      <c r="F831" s="30"/>
      <c r="G831" s="30"/>
      <c r="H831" s="30"/>
    </row>
    <row r="832" ht="15.75" customHeight="1">
      <c r="A832" s="30"/>
      <c r="B832" s="30"/>
      <c r="C832" s="30"/>
      <c r="D832" s="97"/>
      <c r="E832" s="30"/>
      <c r="F832" s="30"/>
      <c r="G832" s="30"/>
      <c r="H832" s="30"/>
    </row>
    <row r="833" ht="15.75" customHeight="1">
      <c r="A833" s="30"/>
      <c r="B833" s="30"/>
      <c r="C833" s="30"/>
      <c r="D833" s="97"/>
      <c r="E833" s="30"/>
      <c r="F833" s="30"/>
      <c r="G833" s="30"/>
      <c r="H833" s="30"/>
    </row>
    <row r="834" ht="15.75" customHeight="1">
      <c r="A834" s="30"/>
      <c r="B834" s="30"/>
      <c r="C834" s="30"/>
      <c r="D834" s="97"/>
      <c r="E834" s="30"/>
      <c r="F834" s="30"/>
      <c r="G834" s="30"/>
      <c r="H834" s="30"/>
    </row>
    <row r="835" ht="15.75" customHeight="1">
      <c r="A835" s="30"/>
      <c r="B835" s="30"/>
      <c r="C835" s="30"/>
      <c r="D835" s="97"/>
      <c r="E835" s="30"/>
      <c r="F835" s="30"/>
      <c r="G835" s="30"/>
      <c r="H835" s="30"/>
    </row>
    <row r="836" ht="15.75" customHeight="1">
      <c r="A836" s="30"/>
      <c r="B836" s="30"/>
      <c r="C836" s="30"/>
      <c r="D836" s="97"/>
      <c r="E836" s="30"/>
      <c r="F836" s="30"/>
      <c r="G836" s="30"/>
      <c r="H836" s="30"/>
    </row>
    <row r="837" ht="15.75" customHeight="1">
      <c r="A837" s="30"/>
      <c r="B837" s="30"/>
      <c r="C837" s="30"/>
      <c r="D837" s="97"/>
      <c r="E837" s="30"/>
      <c r="F837" s="30"/>
      <c r="G837" s="30"/>
      <c r="H837" s="30"/>
    </row>
    <row r="838" ht="15.75" customHeight="1">
      <c r="A838" s="30"/>
      <c r="B838" s="30"/>
      <c r="C838" s="30"/>
      <c r="D838" s="97"/>
      <c r="E838" s="30"/>
      <c r="F838" s="30"/>
      <c r="G838" s="30"/>
      <c r="H838" s="30"/>
    </row>
    <row r="839" ht="15.75" customHeight="1">
      <c r="A839" s="30"/>
      <c r="B839" s="30"/>
      <c r="C839" s="30"/>
      <c r="D839" s="97"/>
      <c r="E839" s="30"/>
      <c r="F839" s="30"/>
      <c r="G839" s="30"/>
      <c r="H839" s="30"/>
    </row>
    <row r="840" ht="15.75" customHeight="1">
      <c r="A840" s="30"/>
      <c r="B840" s="30"/>
      <c r="C840" s="30"/>
      <c r="D840" s="97"/>
      <c r="E840" s="30"/>
      <c r="F840" s="30"/>
      <c r="G840" s="30"/>
      <c r="H840" s="30"/>
    </row>
    <row r="841" ht="15.75" customHeight="1">
      <c r="A841" s="30"/>
      <c r="B841" s="30"/>
      <c r="C841" s="30"/>
      <c r="D841" s="97"/>
      <c r="E841" s="30"/>
      <c r="F841" s="30"/>
      <c r="G841" s="30"/>
      <c r="H841" s="30"/>
    </row>
    <row r="842" ht="15.75" customHeight="1">
      <c r="A842" s="30"/>
      <c r="B842" s="30"/>
      <c r="C842" s="30"/>
      <c r="D842" s="97"/>
      <c r="E842" s="30"/>
      <c r="F842" s="30"/>
      <c r="G842" s="30"/>
      <c r="H842" s="30"/>
    </row>
    <row r="843" ht="15.75" customHeight="1">
      <c r="A843" s="30"/>
      <c r="B843" s="30"/>
      <c r="C843" s="30"/>
      <c r="D843" s="97"/>
      <c r="E843" s="30"/>
      <c r="F843" s="30"/>
      <c r="G843" s="30"/>
      <c r="H843" s="30"/>
    </row>
    <row r="844" ht="15.75" customHeight="1">
      <c r="A844" s="30"/>
      <c r="B844" s="30"/>
      <c r="C844" s="30"/>
      <c r="D844" s="97"/>
      <c r="E844" s="30"/>
      <c r="F844" s="30"/>
      <c r="G844" s="30"/>
      <c r="H844" s="30"/>
    </row>
    <row r="845" ht="15.75" customHeight="1">
      <c r="A845" s="30"/>
      <c r="B845" s="30"/>
      <c r="C845" s="30"/>
      <c r="D845" s="97"/>
      <c r="E845" s="30"/>
      <c r="F845" s="30"/>
      <c r="G845" s="30"/>
      <c r="H845" s="30"/>
    </row>
    <row r="846" ht="15.75" customHeight="1">
      <c r="A846" s="30"/>
      <c r="B846" s="30"/>
      <c r="C846" s="30"/>
      <c r="D846" s="97"/>
      <c r="E846" s="30"/>
      <c r="F846" s="30"/>
      <c r="G846" s="30"/>
      <c r="H846" s="30"/>
    </row>
    <row r="847" ht="15.75" customHeight="1">
      <c r="A847" s="30"/>
      <c r="B847" s="30"/>
      <c r="C847" s="30"/>
      <c r="D847" s="97"/>
      <c r="E847" s="30"/>
      <c r="F847" s="30"/>
      <c r="G847" s="30"/>
      <c r="H847" s="30"/>
    </row>
    <row r="848" ht="15.75" customHeight="1">
      <c r="A848" s="30"/>
      <c r="B848" s="30"/>
      <c r="C848" s="30"/>
      <c r="D848" s="97"/>
      <c r="E848" s="30"/>
      <c r="F848" s="30"/>
      <c r="G848" s="30"/>
      <c r="H848" s="30"/>
    </row>
    <row r="849" ht="15.75" customHeight="1">
      <c r="A849" s="30"/>
      <c r="B849" s="30"/>
      <c r="C849" s="30"/>
      <c r="D849" s="97"/>
      <c r="E849" s="30"/>
      <c r="F849" s="30"/>
      <c r="G849" s="30"/>
      <c r="H849" s="30"/>
    </row>
    <row r="850" ht="15.75" customHeight="1">
      <c r="A850" s="30"/>
      <c r="B850" s="30"/>
      <c r="C850" s="30"/>
      <c r="D850" s="97"/>
      <c r="E850" s="30"/>
      <c r="F850" s="30"/>
      <c r="G850" s="30"/>
      <c r="H850" s="30"/>
    </row>
    <row r="851" ht="15.75" customHeight="1">
      <c r="A851" s="30"/>
      <c r="B851" s="30"/>
      <c r="C851" s="30"/>
      <c r="D851" s="97"/>
      <c r="E851" s="30"/>
      <c r="F851" s="30"/>
      <c r="G851" s="30"/>
      <c r="H851" s="30"/>
    </row>
    <row r="852" ht="15.75" customHeight="1">
      <c r="A852" s="30"/>
      <c r="B852" s="30"/>
      <c r="C852" s="30"/>
      <c r="D852" s="97"/>
      <c r="E852" s="30"/>
      <c r="F852" s="30"/>
      <c r="G852" s="30"/>
      <c r="H852" s="30"/>
    </row>
    <row r="853" ht="15.75" customHeight="1">
      <c r="A853" s="30"/>
      <c r="B853" s="30"/>
      <c r="C853" s="30"/>
      <c r="D853" s="97"/>
      <c r="E853" s="30"/>
      <c r="F853" s="30"/>
      <c r="G853" s="30"/>
      <c r="H853" s="30"/>
    </row>
    <row r="854" ht="15.75" customHeight="1">
      <c r="A854" s="30"/>
      <c r="B854" s="30"/>
      <c r="C854" s="30"/>
      <c r="D854" s="97"/>
      <c r="E854" s="30"/>
      <c r="F854" s="30"/>
      <c r="G854" s="30"/>
      <c r="H854" s="30"/>
    </row>
    <row r="855" ht="15.75" customHeight="1">
      <c r="A855" s="30"/>
      <c r="B855" s="30"/>
      <c r="C855" s="30"/>
      <c r="D855" s="97"/>
      <c r="E855" s="30"/>
      <c r="F855" s="30"/>
      <c r="G855" s="30"/>
      <c r="H855" s="30"/>
    </row>
    <row r="856" ht="15.75" customHeight="1">
      <c r="A856" s="30"/>
      <c r="B856" s="30"/>
      <c r="C856" s="30"/>
      <c r="D856" s="97"/>
      <c r="E856" s="30"/>
      <c r="F856" s="30"/>
      <c r="G856" s="30"/>
      <c r="H856" s="30"/>
    </row>
    <row r="857" ht="15.75" customHeight="1">
      <c r="A857" s="30"/>
      <c r="B857" s="30"/>
      <c r="C857" s="30"/>
      <c r="D857" s="97"/>
      <c r="E857" s="30"/>
      <c r="F857" s="30"/>
      <c r="G857" s="30"/>
      <c r="H857" s="30"/>
    </row>
    <row r="858" ht="15.75" customHeight="1">
      <c r="A858" s="30"/>
      <c r="B858" s="30"/>
      <c r="C858" s="30"/>
      <c r="D858" s="97"/>
      <c r="E858" s="30"/>
      <c r="F858" s="30"/>
      <c r="G858" s="30"/>
      <c r="H858" s="30"/>
    </row>
    <row r="859" ht="15.75" customHeight="1">
      <c r="A859" s="30"/>
      <c r="B859" s="30"/>
      <c r="C859" s="30"/>
      <c r="D859" s="97"/>
      <c r="E859" s="30"/>
      <c r="F859" s="30"/>
      <c r="G859" s="30"/>
      <c r="H859" s="30"/>
    </row>
    <row r="860" ht="15.75" customHeight="1">
      <c r="A860" s="30"/>
      <c r="B860" s="30"/>
      <c r="C860" s="30"/>
      <c r="D860" s="97"/>
      <c r="E860" s="30"/>
      <c r="F860" s="30"/>
      <c r="G860" s="30"/>
      <c r="H860" s="30"/>
    </row>
    <row r="861" ht="15.75" customHeight="1">
      <c r="A861" s="30"/>
      <c r="B861" s="30"/>
      <c r="C861" s="30"/>
      <c r="D861" s="97"/>
      <c r="E861" s="30"/>
      <c r="F861" s="30"/>
      <c r="G861" s="30"/>
      <c r="H861" s="30"/>
    </row>
    <row r="862" ht="15.75" customHeight="1">
      <c r="A862" s="30"/>
      <c r="B862" s="30"/>
      <c r="C862" s="30"/>
      <c r="D862" s="97"/>
      <c r="E862" s="30"/>
      <c r="F862" s="30"/>
      <c r="G862" s="30"/>
      <c r="H862" s="30"/>
    </row>
    <row r="863" ht="15.75" customHeight="1">
      <c r="A863" s="30"/>
      <c r="B863" s="30"/>
      <c r="C863" s="30"/>
      <c r="D863" s="97"/>
      <c r="E863" s="30"/>
      <c r="F863" s="30"/>
      <c r="G863" s="30"/>
      <c r="H863" s="30"/>
    </row>
    <row r="864" ht="15.75" customHeight="1">
      <c r="A864" s="30"/>
      <c r="B864" s="30"/>
      <c r="C864" s="30"/>
      <c r="D864" s="97"/>
      <c r="E864" s="30"/>
      <c r="F864" s="30"/>
      <c r="G864" s="30"/>
      <c r="H864" s="30"/>
    </row>
    <row r="865" ht="15.75" customHeight="1">
      <c r="A865" s="30"/>
      <c r="B865" s="30"/>
      <c r="C865" s="30"/>
      <c r="D865" s="97"/>
      <c r="E865" s="30"/>
      <c r="F865" s="30"/>
      <c r="G865" s="30"/>
      <c r="H865" s="30"/>
    </row>
    <row r="866" ht="15.75" customHeight="1">
      <c r="A866" s="30"/>
      <c r="B866" s="30"/>
      <c r="C866" s="30"/>
      <c r="D866" s="97"/>
      <c r="E866" s="30"/>
      <c r="F866" s="30"/>
      <c r="G866" s="30"/>
      <c r="H866" s="30"/>
    </row>
    <row r="867" ht="15.75" customHeight="1">
      <c r="A867" s="30"/>
      <c r="B867" s="30"/>
      <c r="C867" s="30"/>
      <c r="D867" s="97"/>
      <c r="E867" s="30"/>
      <c r="F867" s="30"/>
      <c r="G867" s="30"/>
      <c r="H867" s="30"/>
    </row>
    <row r="868" ht="15.75" customHeight="1">
      <c r="A868" s="30"/>
      <c r="B868" s="30"/>
      <c r="C868" s="30"/>
      <c r="D868" s="97"/>
      <c r="E868" s="30"/>
      <c r="F868" s="30"/>
      <c r="G868" s="30"/>
      <c r="H868" s="30"/>
    </row>
    <row r="869" ht="15.75" customHeight="1">
      <c r="A869" s="30"/>
      <c r="B869" s="30"/>
      <c r="C869" s="30"/>
      <c r="D869" s="97"/>
      <c r="E869" s="30"/>
      <c r="F869" s="30"/>
      <c r="G869" s="30"/>
      <c r="H869" s="30"/>
    </row>
    <row r="870" ht="15.75" customHeight="1">
      <c r="A870" s="30"/>
      <c r="B870" s="30"/>
      <c r="C870" s="30"/>
      <c r="D870" s="97"/>
      <c r="E870" s="30"/>
      <c r="F870" s="30"/>
      <c r="G870" s="30"/>
      <c r="H870" s="30"/>
    </row>
    <row r="871" ht="15.75" customHeight="1">
      <c r="A871" s="30"/>
      <c r="B871" s="30"/>
      <c r="C871" s="30"/>
      <c r="D871" s="97"/>
      <c r="E871" s="30"/>
      <c r="F871" s="30"/>
      <c r="G871" s="30"/>
      <c r="H871" s="30"/>
    </row>
    <row r="872" ht="15.75" customHeight="1">
      <c r="A872" s="30"/>
      <c r="B872" s="30"/>
      <c r="C872" s="30"/>
      <c r="D872" s="97"/>
      <c r="E872" s="30"/>
      <c r="F872" s="30"/>
      <c r="G872" s="30"/>
      <c r="H872" s="30"/>
    </row>
    <row r="873" ht="15.75" customHeight="1">
      <c r="A873" s="30"/>
      <c r="B873" s="30"/>
      <c r="C873" s="30"/>
      <c r="D873" s="97"/>
      <c r="E873" s="30"/>
      <c r="F873" s="30"/>
      <c r="G873" s="30"/>
      <c r="H873" s="30"/>
    </row>
    <row r="874" ht="15.75" customHeight="1">
      <c r="A874" s="30"/>
      <c r="B874" s="30"/>
      <c r="C874" s="30"/>
      <c r="D874" s="97"/>
      <c r="E874" s="30"/>
      <c r="F874" s="30"/>
      <c r="G874" s="30"/>
      <c r="H874" s="30"/>
    </row>
    <row r="875" ht="15.75" customHeight="1">
      <c r="A875" s="30"/>
      <c r="B875" s="30"/>
      <c r="C875" s="30"/>
      <c r="D875" s="97"/>
      <c r="E875" s="30"/>
      <c r="F875" s="30"/>
      <c r="G875" s="30"/>
      <c r="H875" s="30"/>
    </row>
    <row r="876" ht="15.75" customHeight="1">
      <c r="A876" s="30"/>
      <c r="B876" s="30"/>
      <c r="C876" s="30"/>
      <c r="D876" s="97"/>
      <c r="E876" s="30"/>
      <c r="F876" s="30"/>
      <c r="G876" s="30"/>
      <c r="H876" s="30"/>
    </row>
    <row r="877" ht="15.75" customHeight="1">
      <c r="A877" s="30"/>
      <c r="B877" s="30"/>
      <c r="C877" s="30"/>
      <c r="D877" s="97"/>
      <c r="E877" s="30"/>
      <c r="F877" s="30"/>
      <c r="G877" s="30"/>
      <c r="H877" s="30"/>
    </row>
    <row r="878" ht="15.75" customHeight="1">
      <c r="A878" s="30"/>
      <c r="B878" s="30"/>
      <c r="C878" s="30"/>
      <c r="D878" s="97"/>
      <c r="E878" s="30"/>
      <c r="F878" s="30"/>
      <c r="G878" s="30"/>
      <c r="H878" s="30"/>
    </row>
    <row r="879" ht="15.75" customHeight="1">
      <c r="A879" s="30"/>
      <c r="B879" s="30"/>
      <c r="C879" s="30"/>
      <c r="D879" s="97"/>
      <c r="E879" s="30"/>
      <c r="F879" s="30"/>
      <c r="G879" s="30"/>
      <c r="H879" s="30"/>
    </row>
    <row r="880" ht="15.75" customHeight="1">
      <c r="A880" s="30"/>
      <c r="B880" s="30"/>
      <c r="C880" s="30"/>
      <c r="D880" s="97"/>
      <c r="E880" s="30"/>
      <c r="F880" s="30"/>
      <c r="G880" s="30"/>
      <c r="H880" s="30"/>
    </row>
    <row r="881" ht="15.75" customHeight="1">
      <c r="A881" s="30"/>
      <c r="B881" s="30"/>
      <c r="C881" s="30"/>
      <c r="D881" s="97"/>
      <c r="E881" s="30"/>
      <c r="F881" s="30"/>
      <c r="G881" s="30"/>
      <c r="H881" s="30"/>
    </row>
    <row r="882" ht="15.75" customHeight="1">
      <c r="A882" s="30"/>
      <c r="B882" s="30"/>
      <c r="C882" s="30"/>
      <c r="D882" s="97"/>
      <c r="E882" s="30"/>
      <c r="F882" s="30"/>
      <c r="G882" s="30"/>
      <c r="H882" s="30"/>
    </row>
    <row r="883" ht="15.75" customHeight="1">
      <c r="A883" s="30"/>
      <c r="B883" s="30"/>
      <c r="C883" s="30"/>
      <c r="D883" s="97"/>
      <c r="E883" s="30"/>
      <c r="F883" s="30"/>
      <c r="G883" s="30"/>
      <c r="H883" s="30"/>
    </row>
    <row r="884" ht="15.75" customHeight="1">
      <c r="A884" s="30"/>
      <c r="B884" s="30"/>
      <c r="C884" s="30"/>
      <c r="D884" s="97"/>
      <c r="E884" s="30"/>
      <c r="F884" s="30"/>
      <c r="G884" s="30"/>
      <c r="H884" s="30"/>
    </row>
    <row r="885" ht="15.75" customHeight="1">
      <c r="A885" s="30"/>
      <c r="B885" s="30"/>
      <c r="C885" s="30"/>
      <c r="D885" s="97"/>
      <c r="E885" s="30"/>
      <c r="F885" s="30"/>
      <c r="G885" s="30"/>
      <c r="H885" s="30"/>
    </row>
    <row r="886" ht="15.75" customHeight="1">
      <c r="A886" s="30"/>
      <c r="B886" s="30"/>
      <c r="C886" s="30"/>
      <c r="D886" s="97"/>
      <c r="E886" s="30"/>
      <c r="F886" s="30"/>
      <c r="G886" s="30"/>
      <c r="H886" s="30"/>
    </row>
    <row r="887" ht="15.75" customHeight="1">
      <c r="A887" s="30"/>
      <c r="B887" s="30"/>
      <c r="C887" s="30"/>
      <c r="D887" s="97"/>
      <c r="E887" s="30"/>
      <c r="F887" s="30"/>
      <c r="G887" s="30"/>
      <c r="H887" s="30"/>
    </row>
    <row r="888" ht="15.75" customHeight="1">
      <c r="A888" s="30"/>
      <c r="B888" s="30"/>
      <c r="C888" s="30"/>
      <c r="D888" s="97"/>
      <c r="E888" s="30"/>
      <c r="F888" s="30"/>
      <c r="G888" s="30"/>
      <c r="H888" s="30"/>
    </row>
    <row r="889" ht="15.75" customHeight="1">
      <c r="A889" s="30"/>
      <c r="B889" s="30"/>
      <c r="C889" s="30"/>
      <c r="D889" s="97"/>
      <c r="E889" s="30"/>
      <c r="F889" s="30"/>
      <c r="G889" s="30"/>
      <c r="H889" s="30"/>
    </row>
    <row r="890" ht="15.75" customHeight="1">
      <c r="A890" s="30"/>
      <c r="B890" s="30"/>
      <c r="C890" s="30"/>
      <c r="D890" s="97"/>
      <c r="E890" s="30"/>
      <c r="F890" s="30"/>
      <c r="G890" s="30"/>
      <c r="H890" s="30"/>
    </row>
    <row r="891" ht="15.75" customHeight="1">
      <c r="A891" s="30"/>
      <c r="B891" s="30"/>
      <c r="C891" s="30"/>
      <c r="D891" s="97"/>
      <c r="E891" s="30"/>
      <c r="F891" s="30"/>
      <c r="G891" s="30"/>
      <c r="H891" s="30"/>
    </row>
    <row r="892" ht="15.75" customHeight="1">
      <c r="A892" s="30"/>
      <c r="B892" s="30"/>
      <c r="C892" s="30"/>
      <c r="D892" s="97"/>
      <c r="E892" s="30"/>
      <c r="F892" s="30"/>
      <c r="G892" s="30"/>
      <c r="H892" s="30"/>
    </row>
    <row r="893" ht="15.75" customHeight="1">
      <c r="A893" s="30"/>
      <c r="B893" s="30"/>
      <c r="C893" s="30"/>
      <c r="D893" s="97"/>
      <c r="E893" s="30"/>
      <c r="F893" s="30"/>
      <c r="G893" s="30"/>
      <c r="H893" s="30"/>
    </row>
    <row r="894" ht="15.75" customHeight="1">
      <c r="A894" s="30"/>
      <c r="B894" s="30"/>
      <c r="C894" s="30"/>
      <c r="D894" s="97"/>
      <c r="E894" s="30"/>
      <c r="F894" s="30"/>
      <c r="G894" s="30"/>
      <c r="H894" s="30"/>
    </row>
    <row r="895" ht="15.75" customHeight="1">
      <c r="A895" s="30"/>
      <c r="B895" s="30"/>
      <c r="C895" s="30"/>
      <c r="D895" s="97"/>
      <c r="E895" s="30"/>
      <c r="F895" s="30"/>
      <c r="G895" s="30"/>
      <c r="H895" s="30"/>
    </row>
    <row r="896" ht="15.75" customHeight="1">
      <c r="A896" s="30"/>
      <c r="B896" s="30"/>
      <c r="C896" s="30"/>
      <c r="D896" s="97"/>
      <c r="E896" s="30"/>
      <c r="F896" s="30"/>
      <c r="G896" s="30"/>
      <c r="H896" s="30"/>
    </row>
    <row r="897" ht="15.75" customHeight="1">
      <c r="A897" s="30"/>
      <c r="B897" s="30"/>
      <c r="C897" s="30"/>
      <c r="D897" s="97"/>
      <c r="E897" s="30"/>
      <c r="F897" s="30"/>
      <c r="G897" s="30"/>
      <c r="H897" s="30"/>
    </row>
    <row r="898" ht="15.75" customHeight="1">
      <c r="A898" s="30"/>
      <c r="B898" s="30"/>
      <c r="C898" s="30"/>
      <c r="D898" s="97"/>
      <c r="E898" s="30"/>
      <c r="F898" s="30"/>
      <c r="G898" s="30"/>
      <c r="H898" s="30"/>
    </row>
    <row r="899" ht="15.75" customHeight="1">
      <c r="A899" s="30"/>
      <c r="B899" s="30"/>
      <c r="C899" s="30"/>
      <c r="D899" s="97"/>
      <c r="E899" s="30"/>
      <c r="F899" s="30"/>
      <c r="G899" s="30"/>
      <c r="H899" s="30"/>
    </row>
    <row r="900" ht="15.75" customHeight="1">
      <c r="A900" s="30"/>
      <c r="B900" s="30"/>
      <c r="C900" s="30"/>
      <c r="D900" s="97"/>
      <c r="E900" s="30"/>
      <c r="F900" s="30"/>
      <c r="G900" s="30"/>
      <c r="H900" s="30"/>
    </row>
    <row r="901" ht="15.75" customHeight="1">
      <c r="A901" s="30"/>
      <c r="B901" s="30"/>
      <c r="C901" s="30"/>
      <c r="D901" s="97"/>
      <c r="E901" s="30"/>
      <c r="F901" s="30"/>
      <c r="G901" s="30"/>
      <c r="H901" s="30"/>
    </row>
    <row r="902" ht="15.75" customHeight="1">
      <c r="A902" s="30"/>
      <c r="B902" s="30"/>
      <c r="C902" s="30"/>
      <c r="D902" s="97"/>
      <c r="E902" s="30"/>
      <c r="F902" s="30"/>
      <c r="G902" s="30"/>
      <c r="H902" s="30"/>
    </row>
    <row r="903" ht="15.75" customHeight="1">
      <c r="A903" s="30"/>
      <c r="B903" s="30"/>
      <c r="C903" s="30"/>
      <c r="D903" s="97"/>
      <c r="E903" s="30"/>
      <c r="F903" s="30"/>
      <c r="G903" s="30"/>
      <c r="H903" s="30"/>
    </row>
    <row r="904" ht="15.75" customHeight="1">
      <c r="A904" s="30"/>
      <c r="B904" s="30"/>
      <c r="C904" s="30"/>
      <c r="D904" s="97"/>
      <c r="E904" s="30"/>
      <c r="F904" s="30"/>
      <c r="G904" s="30"/>
      <c r="H904" s="30"/>
    </row>
    <row r="905" ht="15.75" customHeight="1">
      <c r="A905" s="30"/>
      <c r="B905" s="30"/>
      <c r="C905" s="30"/>
      <c r="D905" s="97"/>
      <c r="E905" s="30"/>
      <c r="F905" s="30"/>
      <c r="G905" s="30"/>
      <c r="H905" s="30"/>
    </row>
    <row r="906" ht="15.75" customHeight="1">
      <c r="A906" s="30"/>
      <c r="B906" s="30"/>
      <c r="C906" s="30"/>
      <c r="D906" s="97"/>
      <c r="E906" s="30"/>
      <c r="F906" s="30"/>
      <c r="G906" s="30"/>
      <c r="H906" s="30"/>
    </row>
    <row r="907" ht="15.75" customHeight="1">
      <c r="A907" s="30"/>
      <c r="B907" s="30"/>
      <c r="C907" s="30"/>
      <c r="D907" s="97"/>
      <c r="E907" s="30"/>
      <c r="F907" s="30"/>
      <c r="G907" s="30"/>
      <c r="H907" s="30"/>
    </row>
    <row r="908" ht="15.75" customHeight="1">
      <c r="A908" s="30"/>
      <c r="B908" s="30"/>
      <c r="C908" s="30"/>
      <c r="D908" s="97"/>
      <c r="E908" s="30"/>
      <c r="F908" s="30"/>
      <c r="G908" s="30"/>
      <c r="H908" s="30"/>
    </row>
    <row r="909" ht="15.75" customHeight="1">
      <c r="A909" s="30"/>
      <c r="B909" s="30"/>
      <c r="C909" s="30"/>
      <c r="D909" s="97"/>
      <c r="E909" s="30"/>
      <c r="F909" s="30"/>
      <c r="G909" s="30"/>
      <c r="H909" s="30"/>
    </row>
    <row r="910" ht="15.75" customHeight="1">
      <c r="A910" s="30"/>
      <c r="B910" s="30"/>
      <c r="C910" s="30"/>
      <c r="D910" s="97"/>
      <c r="E910" s="30"/>
      <c r="F910" s="30"/>
      <c r="G910" s="30"/>
      <c r="H910" s="30"/>
    </row>
    <row r="911" ht="15.75" customHeight="1">
      <c r="A911" s="30"/>
      <c r="B911" s="30"/>
      <c r="C911" s="30"/>
      <c r="D911" s="97"/>
      <c r="E911" s="30"/>
      <c r="F911" s="30"/>
      <c r="G911" s="30"/>
      <c r="H911" s="30"/>
    </row>
    <row r="912" ht="15.75" customHeight="1">
      <c r="A912" s="30"/>
      <c r="B912" s="30"/>
      <c r="C912" s="30"/>
      <c r="D912" s="97"/>
      <c r="E912" s="30"/>
      <c r="F912" s="30"/>
      <c r="G912" s="30"/>
      <c r="H912" s="30"/>
    </row>
    <row r="913" ht="15.75" customHeight="1">
      <c r="A913" s="30"/>
      <c r="B913" s="30"/>
      <c r="C913" s="30"/>
      <c r="D913" s="97"/>
      <c r="E913" s="30"/>
      <c r="F913" s="30"/>
      <c r="G913" s="30"/>
      <c r="H913" s="30"/>
    </row>
    <row r="914" ht="15.75" customHeight="1">
      <c r="A914" s="30"/>
      <c r="B914" s="30"/>
      <c r="C914" s="30"/>
      <c r="D914" s="97"/>
      <c r="E914" s="30"/>
      <c r="F914" s="30"/>
      <c r="G914" s="30"/>
      <c r="H914" s="30"/>
    </row>
    <row r="915" ht="15.75" customHeight="1">
      <c r="A915" s="30"/>
      <c r="B915" s="30"/>
      <c r="C915" s="30"/>
      <c r="D915" s="97"/>
      <c r="E915" s="30"/>
      <c r="F915" s="30"/>
      <c r="G915" s="30"/>
      <c r="H915" s="30"/>
    </row>
    <row r="916" ht="15.75" customHeight="1">
      <c r="A916" s="30"/>
      <c r="B916" s="30"/>
      <c r="C916" s="30"/>
      <c r="D916" s="97"/>
      <c r="E916" s="30"/>
      <c r="F916" s="30"/>
      <c r="G916" s="30"/>
      <c r="H916" s="30"/>
    </row>
    <row r="917" ht="15.75" customHeight="1">
      <c r="A917" s="30"/>
      <c r="B917" s="30"/>
      <c r="C917" s="30"/>
      <c r="D917" s="97"/>
      <c r="E917" s="30"/>
      <c r="F917" s="30"/>
      <c r="G917" s="30"/>
      <c r="H917" s="30"/>
    </row>
    <row r="918" ht="15.75" customHeight="1">
      <c r="A918" s="30"/>
      <c r="B918" s="30"/>
      <c r="C918" s="30"/>
      <c r="D918" s="97"/>
      <c r="E918" s="30"/>
      <c r="F918" s="30"/>
      <c r="G918" s="30"/>
      <c r="H918" s="30"/>
    </row>
    <row r="919" ht="15.75" customHeight="1">
      <c r="A919" s="30"/>
      <c r="B919" s="30"/>
      <c r="C919" s="30"/>
      <c r="D919" s="97"/>
      <c r="E919" s="30"/>
      <c r="F919" s="30"/>
      <c r="G919" s="30"/>
      <c r="H919" s="30"/>
    </row>
    <row r="920" ht="15.75" customHeight="1">
      <c r="A920" s="30"/>
      <c r="B920" s="30"/>
      <c r="C920" s="30"/>
      <c r="D920" s="97"/>
      <c r="E920" s="30"/>
      <c r="F920" s="30"/>
      <c r="G920" s="30"/>
      <c r="H920" s="30"/>
    </row>
    <row r="921" ht="15.75" customHeight="1">
      <c r="A921" s="30"/>
      <c r="B921" s="30"/>
      <c r="C921" s="30"/>
      <c r="D921" s="97"/>
      <c r="E921" s="30"/>
      <c r="F921" s="30"/>
      <c r="G921" s="30"/>
      <c r="H921" s="30"/>
    </row>
    <row r="922" ht="15.75" customHeight="1">
      <c r="A922" s="30"/>
      <c r="B922" s="30"/>
      <c r="C922" s="30"/>
      <c r="D922" s="97"/>
      <c r="E922" s="30"/>
      <c r="F922" s="30"/>
      <c r="G922" s="30"/>
      <c r="H922" s="30"/>
    </row>
    <row r="923" ht="15.75" customHeight="1">
      <c r="A923" s="30"/>
      <c r="B923" s="30"/>
      <c r="C923" s="30"/>
      <c r="D923" s="97"/>
      <c r="E923" s="30"/>
      <c r="F923" s="30"/>
      <c r="G923" s="30"/>
      <c r="H923" s="30"/>
    </row>
    <row r="924" ht="15.75" customHeight="1">
      <c r="A924" s="30"/>
      <c r="B924" s="30"/>
      <c r="C924" s="30"/>
      <c r="D924" s="97"/>
      <c r="E924" s="30"/>
      <c r="F924" s="30"/>
      <c r="G924" s="30"/>
      <c r="H924" s="30"/>
    </row>
    <row r="925" ht="15.75" customHeight="1">
      <c r="A925" s="30"/>
      <c r="B925" s="30"/>
      <c r="C925" s="30"/>
      <c r="D925" s="97"/>
      <c r="E925" s="30"/>
      <c r="F925" s="30"/>
      <c r="G925" s="30"/>
      <c r="H925" s="30"/>
    </row>
    <row r="926" ht="15.75" customHeight="1">
      <c r="A926" s="30"/>
      <c r="B926" s="30"/>
      <c r="C926" s="30"/>
      <c r="D926" s="97"/>
      <c r="E926" s="30"/>
      <c r="F926" s="30"/>
      <c r="G926" s="30"/>
      <c r="H926" s="30"/>
    </row>
    <row r="927" ht="15.75" customHeight="1">
      <c r="A927" s="30"/>
      <c r="B927" s="30"/>
      <c r="C927" s="30"/>
      <c r="D927" s="97"/>
      <c r="E927" s="30"/>
      <c r="F927" s="30"/>
      <c r="G927" s="30"/>
      <c r="H927" s="30"/>
    </row>
    <row r="928" ht="15.75" customHeight="1">
      <c r="A928" s="30"/>
      <c r="B928" s="30"/>
      <c r="C928" s="30"/>
      <c r="D928" s="97"/>
      <c r="E928" s="30"/>
      <c r="F928" s="30"/>
      <c r="G928" s="30"/>
      <c r="H928" s="30"/>
    </row>
    <row r="929" ht="15.75" customHeight="1">
      <c r="A929" s="30"/>
      <c r="B929" s="30"/>
      <c r="C929" s="30"/>
      <c r="D929" s="97"/>
      <c r="E929" s="30"/>
      <c r="F929" s="30"/>
      <c r="G929" s="30"/>
      <c r="H929" s="30"/>
    </row>
    <row r="930" ht="15.75" customHeight="1">
      <c r="A930" s="30"/>
      <c r="B930" s="30"/>
      <c r="C930" s="30"/>
      <c r="D930" s="97"/>
      <c r="E930" s="30"/>
      <c r="F930" s="30"/>
      <c r="G930" s="30"/>
      <c r="H930" s="30"/>
    </row>
    <row r="931" ht="15.75" customHeight="1">
      <c r="A931" s="30"/>
      <c r="B931" s="30"/>
      <c r="C931" s="30"/>
      <c r="D931" s="97"/>
      <c r="E931" s="30"/>
      <c r="F931" s="30"/>
      <c r="G931" s="30"/>
      <c r="H931" s="30"/>
    </row>
    <row r="932" ht="15.75" customHeight="1">
      <c r="A932" s="30"/>
      <c r="B932" s="30"/>
      <c r="C932" s="30"/>
      <c r="D932" s="97"/>
      <c r="E932" s="30"/>
      <c r="F932" s="30"/>
      <c r="G932" s="30"/>
      <c r="H932" s="30"/>
    </row>
    <row r="933" ht="15.75" customHeight="1">
      <c r="A933" s="30"/>
      <c r="B933" s="30"/>
      <c r="C933" s="30"/>
      <c r="D933" s="97"/>
      <c r="E933" s="30"/>
      <c r="F933" s="30"/>
      <c r="G933" s="30"/>
      <c r="H933" s="30"/>
    </row>
    <row r="934" ht="15.75" customHeight="1">
      <c r="A934" s="30"/>
      <c r="B934" s="30"/>
      <c r="C934" s="30"/>
      <c r="D934" s="97"/>
      <c r="E934" s="30"/>
      <c r="F934" s="30"/>
      <c r="G934" s="30"/>
      <c r="H934" s="30"/>
    </row>
    <row r="935" ht="15.75" customHeight="1">
      <c r="A935" s="30"/>
      <c r="B935" s="30"/>
      <c r="C935" s="30"/>
      <c r="D935" s="97"/>
      <c r="E935" s="30"/>
      <c r="F935" s="30"/>
      <c r="G935" s="30"/>
      <c r="H935" s="30"/>
    </row>
    <row r="936" ht="15.75" customHeight="1">
      <c r="A936" s="30"/>
      <c r="B936" s="30"/>
      <c r="C936" s="30"/>
      <c r="D936" s="97"/>
      <c r="E936" s="30"/>
      <c r="F936" s="30"/>
      <c r="G936" s="30"/>
      <c r="H936" s="30"/>
    </row>
    <row r="937" ht="15.75" customHeight="1">
      <c r="A937" s="30"/>
      <c r="B937" s="30"/>
      <c r="C937" s="30"/>
      <c r="D937" s="97"/>
      <c r="E937" s="30"/>
      <c r="F937" s="30"/>
      <c r="G937" s="30"/>
      <c r="H937" s="30"/>
    </row>
    <row r="938" ht="15.75" customHeight="1">
      <c r="A938" s="30"/>
      <c r="B938" s="30"/>
      <c r="C938" s="30"/>
      <c r="D938" s="97"/>
      <c r="E938" s="30"/>
      <c r="F938" s="30"/>
      <c r="G938" s="30"/>
      <c r="H938" s="30"/>
    </row>
    <row r="939" ht="15.75" customHeight="1">
      <c r="A939" s="30"/>
      <c r="B939" s="30"/>
      <c r="C939" s="30"/>
      <c r="D939" s="97"/>
      <c r="E939" s="30"/>
      <c r="F939" s="30"/>
      <c r="G939" s="30"/>
      <c r="H939" s="30"/>
    </row>
    <row r="940" ht="15.75" customHeight="1">
      <c r="A940" s="30"/>
      <c r="B940" s="30"/>
      <c r="C940" s="30"/>
      <c r="D940" s="97"/>
      <c r="E940" s="30"/>
      <c r="F940" s="30"/>
      <c r="G940" s="30"/>
      <c r="H940" s="30"/>
    </row>
    <row r="941" ht="15.75" customHeight="1">
      <c r="A941" s="30"/>
      <c r="B941" s="30"/>
      <c r="C941" s="30"/>
      <c r="D941" s="97"/>
      <c r="E941" s="30"/>
      <c r="F941" s="30"/>
      <c r="G941" s="30"/>
      <c r="H941" s="30"/>
    </row>
    <row r="942" ht="15.75" customHeight="1">
      <c r="A942" s="30"/>
      <c r="B942" s="30"/>
      <c r="C942" s="30"/>
      <c r="D942" s="97"/>
      <c r="E942" s="30"/>
      <c r="F942" s="30"/>
      <c r="G942" s="30"/>
      <c r="H942" s="30"/>
    </row>
    <row r="943" ht="15.75" customHeight="1">
      <c r="A943" s="30"/>
      <c r="B943" s="30"/>
      <c r="C943" s="30"/>
      <c r="D943" s="97"/>
      <c r="E943" s="30"/>
      <c r="F943" s="30"/>
      <c r="G943" s="30"/>
      <c r="H943" s="30"/>
    </row>
    <row r="944" ht="15.75" customHeight="1">
      <c r="A944" s="30"/>
      <c r="B944" s="30"/>
      <c r="C944" s="30"/>
      <c r="D944" s="97"/>
      <c r="E944" s="30"/>
      <c r="F944" s="30"/>
      <c r="G944" s="30"/>
      <c r="H944" s="30"/>
    </row>
    <row r="945" ht="15.75" customHeight="1">
      <c r="A945" s="30"/>
      <c r="B945" s="30"/>
      <c r="C945" s="30"/>
      <c r="D945" s="97"/>
      <c r="E945" s="30"/>
      <c r="F945" s="30"/>
      <c r="G945" s="30"/>
      <c r="H945" s="30"/>
    </row>
    <row r="946" ht="15.75" customHeight="1">
      <c r="A946" s="30"/>
      <c r="B946" s="30"/>
      <c r="C946" s="30"/>
      <c r="D946" s="97"/>
      <c r="E946" s="30"/>
      <c r="F946" s="30"/>
      <c r="G946" s="30"/>
      <c r="H946" s="30"/>
    </row>
    <row r="947" ht="15.75" customHeight="1">
      <c r="A947" s="30"/>
      <c r="B947" s="30"/>
      <c r="C947" s="30"/>
      <c r="D947" s="97"/>
      <c r="E947" s="30"/>
      <c r="F947" s="30"/>
      <c r="G947" s="30"/>
      <c r="H947" s="30"/>
    </row>
    <row r="948" ht="15.75" customHeight="1">
      <c r="A948" s="30"/>
      <c r="B948" s="30"/>
      <c r="C948" s="30"/>
      <c r="D948" s="97"/>
      <c r="E948" s="30"/>
      <c r="F948" s="30"/>
      <c r="G948" s="30"/>
      <c r="H948" s="30"/>
    </row>
    <row r="949" ht="15.75" customHeight="1">
      <c r="A949" s="30"/>
      <c r="B949" s="30"/>
      <c r="C949" s="30"/>
      <c r="D949" s="97"/>
      <c r="E949" s="30"/>
      <c r="F949" s="30"/>
      <c r="G949" s="30"/>
      <c r="H949" s="30"/>
    </row>
    <row r="950" ht="15.75" customHeight="1">
      <c r="A950" s="30"/>
      <c r="B950" s="30"/>
      <c r="C950" s="30"/>
      <c r="D950" s="97"/>
      <c r="E950" s="30"/>
      <c r="F950" s="30"/>
      <c r="G950" s="30"/>
      <c r="H950" s="30"/>
    </row>
    <row r="951" ht="15.75" customHeight="1">
      <c r="A951" s="30"/>
      <c r="B951" s="30"/>
      <c r="C951" s="30"/>
      <c r="D951" s="97"/>
      <c r="E951" s="30"/>
      <c r="F951" s="30"/>
      <c r="G951" s="30"/>
      <c r="H951" s="30"/>
    </row>
    <row r="952" ht="15.75" customHeight="1">
      <c r="A952" s="30"/>
      <c r="B952" s="30"/>
      <c r="C952" s="30"/>
      <c r="D952" s="97"/>
      <c r="E952" s="30"/>
      <c r="F952" s="30"/>
      <c r="G952" s="30"/>
      <c r="H952" s="30"/>
    </row>
    <row r="953" ht="15.75" customHeight="1">
      <c r="A953" s="30"/>
      <c r="B953" s="30"/>
      <c r="C953" s="30"/>
      <c r="D953" s="97"/>
      <c r="E953" s="30"/>
      <c r="F953" s="30"/>
      <c r="G953" s="30"/>
      <c r="H953" s="30"/>
    </row>
    <row r="954" ht="15.75" customHeight="1">
      <c r="A954" s="30"/>
      <c r="B954" s="30"/>
      <c r="C954" s="30"/>
      <c r="D954" s="97"/>
      <c r="E954" s="30"/>
      <c r="F954" s="30"/>
      <c r="G954" s="30"/>
      <c r="H954" s="30"/>
    </row>
    <row r="955" ht="15.75" customHeight="1">
      <c r="A955" s="30"/>
      <c r="B955" s="30"/>
      <c r="C955" s="30"/>
      <c r="D955" s="97"/>
      <c r="E955" s="30"/>
      <c r="F955" s="30"/>
      <c r="G955" s="30"/>
      <c r="H955" s="30"/>
    </row>
    <row r="956" ht="15.75" customHeight="1">
      <c r="A956" s="30"/>
      <c r="B956" s="30"/>
      <c r="C956" s="30"/>
      <c r="D956" s="97"/>
      <c r="E956" s="30"/>
      <c r="F956" s="30"/>
      <c r="G956" s="30"/>
      <c r="H956" s="30"/>
    </row>
    <row r="957" ht="15.75" customHeight="1">
      <c r="A957" s="30"/>
      <c r="B957" s="30"/>
      <c r="C957" s="30"/>
      <c r="D957" s="97"/>
      <c r="E957" s="30"/>
      <c r="F957" s="30"/>
      <c r="G957" s="30"/>
      <c r="H957" s="30"/>
    </row>
    <row r="958" ht="15.75" customHeight="1">
      <c r="A958" s="30"/>
      <c r="B958" s="30"/>
      <c r="C958" s="30"/>
      <c r="D958" s="97"/>
      <c r="E958" s="30"/>
      <c r="F958" s="30"/>
      <c r="G958" s="30"/>
      <c r="H958" s="30"/>
    </row>
    <row r="959" ht="15.75" customHeight="1">
      <c r="A959" s="30"/>
      <c r="B959" s="30"/>
      <c r="C959" s="30"/>
      <c r="D959" s="97"/>
      <c r="E959" s="30"/>
      <c r="F959" s="30"/>
      <c r="G959" s="30"/>
      <c r="H959" s="30"/>
    </row>
    <row r="960" ht="15.75" customHeight="1">
      <c r="A960" s="30"/>
      <c r="B960" s="30"/>
      <c r="C960" s="30"/>
      <c r="D960" s="97"/>
      <c r="E960" s="30"/>
      <c r="F960" s="30"/>
      <c r="G960" s="30"/>
      <c r="H960" s="30"/>
    </row>
    <row r="961" ht="15.75" customHeight="1">
      <c r="A961" s="30"/>
      <c r="B961" s="30"/>
      <c r="C961" s="30"/>
      <c r="D961" s="97"/>
      <c r="E961" s="30"/>
      <c r="F961" s="30"/>
      <c r="G961" s="30"/>
      <c r="H961" s="30"/>
    </row>
    <row r="962" ht="15.75" customHeight="1">
      <c r="A962" s="30"/>
      <c r="B962" s="30"/>
      <c r="C962" s="30"/>
      <c r="D962" s="97"/>
      <c r="E962" s="30"/>
      <c r="F962" s="30"/>
      <c r="G962" s="30"/>
      <c r="H962" s="30"/>
    </row>
    <row r="963" ht="15.75" customHeight="1">
      <c r="A963" s="30"/>
      <c r="B963" s="30"/>
      <c r="C963" s="30"/>
      <c r="D963" s="97"/>
      <c r="E963" s="30"/>
      <c r="F963" s="30"/>
      <c r="G963" s="30"/>
      <c r="H963" s="30"/>
    </row>
    <row r="964" ht="15.75" customHeight="1">
      <c r="A964" s="30"/>
      <c r="B964" s="30"/>
      <c r="C964" s="30"/>
      <c r="D964" s="97"/>
      <c r="E964" s="30"/>
      <c r="F964" s="30"/>
      <c r="G964" s="30"/>
      <c r="H964" s="30"/>
    </row>
    <row r="965" ht="15.75" customHeight="1">
      <c r="A965" s="30"/>
      <c r="B965" s="30"/>
      <c r="C965" s="30"/>
      <c r="D965" s="97"/>
      <c r="E965" s="30"/>
      <c r="F965" s="30"/>
      <c r="G965" s="30"/>
      <c r="H965" s="30"/>
    </row>
    <row r="966" ht="15.75" customHeight="1">
      <c r="A966" s="30"/>
      <c r="B966" s="30"/>
      <c r="C966" s="30"/>
      <c r="D966" s="97"/>
      <c r="E966" s="30"/>
      <c r="F966" s="30"/>
      <c r="G966" s="30"/>
      <c r="H966" s="30"/>
    </row>
    <row r="967" ht="15.75" customHeight="1">
      <c r="A967" s="30"/>
      <c r="B967" s="30"/>
      <c r="C967" s="30"/>
      <c r="D967" s="97"/>
      <c r="E967" s="30"/>
      <c r="F967" s="30"/>
      <c r="G967" s="30"/>
      <c r="H967" s="30"/>
    </row>
    <row r="968" ht="15.75" customHeight="1">
      <c r="A968" s="30"/>
      <c r="B968" s="30"/>
      <c r="C968" s="30"/>
      <c r="D968" s="97"/>
      <c r="E968" s="30"/>
      <c r="F968" s="30"/>
      <c r="G968" s="30"/>
      <c r="H968" s="30"/>
    </row>
    <row r="969" ht="15.75" customHeight="1">
      <c r="A969" s="30"/>
      <c r="B969" s="30"/>
      <c r="C969" s="30"/>
      <c r="D969" s="97"/>
      <c r="E969" s="30"/>
      <c r="F969" s="30"/>
      <c r="G969" s="30"/>
      <c r="H969" s="30"/>
    </row>
    <row r="970" ht="15.75" customHeight="1">
      <c r="A970" s="30"/>
      <c r="B970" s="30"/>
      <c r="C970" s="30"/>
      <c r="D970" s="97"/>
      <c r="E970" s="30"/>
      <c r="F970" s="30"/>
      <c r="G970" s="30"/>
      <c r="H970" s="30"/>
    </row>
    <row r="971" ht="15.75" customHeight="1">
      <c r="A971" s="30"/>
      <c r="B971" s="30"/>
      <c r="C971" s="30"/>
      <c r="D971" s="97"/>
      <c r="E971" s="30"/>
      <c r="F971" s="30"/>
      <c r="G971" s="30"/>
      <c r="H971" s="30"/>
    </row>
    <row r="972" ht="15.75" customHeight="1">
      <c r="A972" s="30"/>
      <c r="B972" s="30"/>
      <c r="C972" s="30"/>
      <c r="D972" s="97"/>
      <c r="E972" s="30"/>
      <c r="F972" s="30"/>
      <c r="G972" s="30"/>
      <c r="H972" s="30"/>
    </row>
    <row r="973" ht="15.75" customHeight="1">
      <c r="A973" s="30"/>
      <c r="B973" s="30"/>
      <c r="C973" s="30"/>
      <c r="D973" s="97"/>
      <c r="E973" s="30"/>
      <c r="F973" s="30"/>
      <c r="G973" s="30"/>
      <c r="H973" s="30"/>
    </row>
    <row r="974" ht="15.75" customHeight="1">
      <c r="A974" s="30"/>
      <c r="B974" s="30"/>
      <c r="C974" s="30"/>
      <c r="D974" s="97"/>
      <c r="E974" s="30"/>
      <c r="F974" s="30"/>
      <c r="G974" s="30"/>
      <c r="H974" s="30"/>
    </row>
    <row r="975" ht="15.75" customHeight="1">
      <c r="A975" s="30"/>
      <c r="B975" s="30"/>
      <c r="C975" s="30"/>
      <c r="D975" s="97"/>
      <c r="E975" s="30"/>
      <c r="F975" s="30"/>
      <c r="G975" s="30"/>
      <c r="H975" s="30"/>
    </row>
    <row r="976" ht="15.75" customHeight="1">
      <c r="A976" s="30"/>
      <c r="B976" s="30"/>
      <c r="C976" s="30"/>
      <c r="D976" s="97"/>
      <c r="E976" s="30"/>
      <c r="F976" s="30"/>
      <c r="G976" s="30"/>
      <c r="H976" s="30"/>
    </row>
    <row r="977" ht="15.75" customHeight="1">
      <c r="A977" s="30"/>
      <c r="B977" s="30"/>
      <c r="C977" s="30"/>
      <c r="D977" s="97"/>
      <c r="E977" s="30"/>
      <c r="F977" s="30"/>
      <c r="G977" s="30"/>
      <c r="H977" s="30"/>
    </row>
    <row r="978" ht="15.75" customHeight="1">
      <c r="A978" s="30"/>
      <c r="B978" s="30"/>
      <c r="C978" s="30"/>
      <c r="D978" s="97"/>
      <c r="E978" s="30"/>
      <c r="F978" s="30"/>
      <c r="G978" s="30"/>
      <c r="H978" s="30"/>
    </row>
    <row r="979" ht="15.75" customHeight="1">
      <c r="A979" s="30"/>
      <c r="B979" s="30"/>
      <c r="C979" s="30"/>
      <c r="D979" s="97"/>
      <c r="E979" s="30"/>
      <c r="F979" s="30"/>
      <c r="G979" s="30"/>
      <c r="H979" s="30"/>
    </row>
    <row r="980" ht="15.75" customHeight="1">
      <c r="A980" s="30"/>
      <c r="B980" s="30"/>
      <c r="C980" s="30"/>
      <c r="D980" s="97"/>
      <c r="E980" s="30"/>
      <c r="F980" s="30"/>
      <c r="G980" s="30"/>
      <c r="H980" s="30"/>
    </row>
    <row r="981" ht="15.75" customHeight="1">
      <c r="A981" s="30"/>
      <c r="B981" s="30"/>
      <c r="C981" s="30"/>
      <c r="D981" s="97"/>
      <c r="E981" s="30"/>
      <c r="F981" s="30"/>
      <c r="G981" s="30"/>
      <c r="H981" s="30"/>
    </row>
    <row r="982" ht="15.75" customHeight="1">
      <c r="A982" s="30"/>
      <c r="B982" s="30"/>
      <c r="C982" s="30"/>
      <c r="D982" s="97"/>
      <c r="E982" s="30"/>
      <c r="F982" s="30"/>
      <c r="G982" s="30"/>
      <c r="H982" s="30"/>
    </row>
    <row r="983" ht="15.75" customHeight="1">
      <c r="A983" s="30"/>
      <c r="B983" s="30"/>
      <c r="C983" s="30"/>
      <c r="D983" s="97"/>
      <c r="E983" s="30"/>
      <c r="F983" s="30"/>
      <c r="G983" s="30"/>
      <c r="H983" s="30"/>
    </row>
    <row r="984" ht="15.75" customHeight="1">
      <c r="A984" s="30"/>
      <c r="B984" s="30"/>
      <c r="C984" s="30"/>
      <c r="D984" s="97"/>
      <c r="E984" s="30"/>
      <c r="F984" s="30"/>
      <c r="G984" s="30"/>
      <c r="H984" s="30"/>
    </row>
    <row r="985" ht="15.75" customHeight="1">
      <c r="A985" s="30"/>
      <c r="B985" s="30"/>
      <c r="C985" s="30"/>
      <c r="D985" s="97"/>
      <c r="E985" s="30"/>
      <c r="F985" s="30"/>
      <c r="G985" s="30"/>
      <c r="H985" s="30"/>
    </row>
    <row r="986" ht="15.75" customHeight="1">
      <c r="A986" s="30"/>
      <c r="B986" s="30"/>
      <c r="C986" s="30"/>
      <c r="D986" s="97"/>
      <c r="E986" s="30"/>
      <c r="F986" s="30"/>
      <c r="G986" s="30"/>
      <c r="H986" s="30"/>
    </row>
    <row r="987" ht="15.75" customHeight="1">
      <c r="A987" s="30"/>
      <c r="B987" s="30"/>
      <c r="C987" s="30"/>
      <c r="D987" s="97"/>
      <c r="E987" s="30"/>
      <c r="F987" s="30"/>
      <c r="G987" s="30"/>
      <c r="H987" s="30"/>
    </row>
    <row r="988" ht="15.75" customHeight="1">
      <c r="A988" s="30"/>
      <c r="B988" s="30"/>
      <c r="C988" s="30"/>
      <c r="D988" s="97"/>
      <c r="E988" s="30"/>
      <c r="F988" s="30"/>
      <c r="G988" s="30"/>
      <c r="H988" s="30"/>
    </row>
    <row r="989" ht="15.75" customHeight="1">
      <c r="A989" s="30"/>
      <c r="B989" s="30"/>
      <c r="C989" s="30"/>
      <c r="D989" s="97"/>
      <c r="E989" s="30"/>
      <c r="F989" s="30"/>
      <c r="G989" s="30"/>
      <c r="H989" s="30"/>
    </row>
    <row r="990" ht="15.75" customHeight="1">
      <c r="A990" s="30"/>
      <c r="B990" s="30"/>
      <c r="C990" s="30"/>
      <c r="D990" s="97"/>
      <c r="E990" s="30"/>
      <c r="F990" s="30"/>
      <c r="G990" s="30"/>
      <c r="H990" s="30"/>
    </row>
    <row r="991" ht="15.75" customHeight="1">
      <c r="A991" s="30"/>
      <c r="B991" s="30"/>
      <c r="C991" s="30"/>
      <c r="D991" s="97"/>
      <c r="E991" s="30"/>
      <c r="F991" s="30"/>
      <c r="G991" s="30"/>
      <c r="H991" s="30"/>
    </row>
    <row r="992" ht="15.75" customHeight="1">
      <c r="A992" s="30"/>
      <c r="B992" s="30"/>
      <c r="C992" s="30"/>
      <c r="D992" s="97"/>
      <c r="E992" s="30"/>
      <c r="F992" s="30"/>
      <c r="G992" s="30"/>
      <c r="H992" s="30"/>
    </row>
    <row r="993" ht="15.75" customHeight="1">
      <c r="A993" s="30"/>
      <c r="B993" s="30"/>
      <c r="C993" s="30"/>
      <c r="D993" s="97"/>
      <c r="E993" s="30"/>
      <c r="F993" s="30"/>
      <c r="G993" s="30"/>
      <c r="H993" s="30"/>
    </row>
    <row r="994" ht="15.75" customHeight="1">
      <c r="A994" s="30"/>
      <c r="B994" s="30"/>
      <c r="C994" s="30"/>
      <c r="D994" s="97"/>
      <c r="E994" s="30"/>
      <c r="F994" s="30"/>
      <c r="G994" s="30"/>
      <c r="H994" s="30"/>
    </row>
    <row r="995" ht="15.75" customHeight="1">
      <c r="A995" s="30"/>
      <c r="B995" s="30"/>
      <c r="C995" s="30"/>
      <c r="D995" s="97"/>
      <c r="E995" s="30"/>
      <c r="F995" s="30"/>
      <c r="G995" s="30"/>
      <c r="H995" s="30"/>
    </row>
    <row r="996" ht="15.75" customHeight="1">
      <c r="A996" s="30"/>
      <c r="B996" s="30"/>
      <c r="C996" s="30"/>
      <c r="D996" s="97"/>
      <c r="E996" s="30"/>
      <c r="F996" s="30"/>
      <c r="G996" s="30"/>
      <c r="H996" s="30"/>
    </row>
    <row r="997" ht="15.75" customHeight="1">
      <c r="A997" s="30"/>
      <c r="B997" s="30"/>
      <c r="C997" s="30"/>
      <c r="D997" s="97"/>
      <c r="E997" s="30"/>
      <c r="F997" s="30"/>
      <c r="G997" s="30"/>
      <c r="H997" s="30"/>
    </row>
    <row r="998" ht="15.75" customHeight="1">
      <c r="A998" s="30"/>
      <c r="B998" s="30"/>
      <c r="C998" s="30"/>
      <c r="D998" s="97"/>
      <c r="E998" s="30"/>
      <c r="F998" s="30"/>
      <c r="G998" s="30"/>
      <c r="H998" s="30"/>
    </row>
    <row r="999" ht="15.75" customHeight="1">
      <c r="A999" s="30"/>
      <c r="B999" s="30"/>
      <c r="C999" s="30"/>
      <c r="D999" s="97"/>
      <c r="E999" s="30"/>
      <c r="F999" s="30"/>
      <c r="G999" s="30"/>
      <c r="H999" s="30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showGridLines="0" workbookViewId="0"/>
  </sheetViews>
  <sheetFormatPr customHeight="1" defaultColWidth="14.43" defaultRowHeight="15.0"/>
  <cols>
    <col customWidth="1" min="1" max="1" width="33.43"/>
    <col customWidth="1" min="2" max="2" width="15.29"/>
    <col customWidth="1" min="3" max="3" width="14.43"/>
    <col customWidth="1" min="4" max="4" width="62.71"/>
    <col customWidth="1" min="5" max="5" width="32.0"/>
    <col customWidth="1" min="6" max="16" width="8.71"/>
  </cols>
  <sheetData>
    <row r="1" ht="36.0" customHeight="1">
      <c r="A1" s="1" t="s">
        <v>319</v>
      </c>
      <c r="B1" s="2"/>
      <c r="C1" s="2"/>
      <c r="D1" s="2"/>
      <c r="E1" s="3"/>
    </row>
    <row r="2" ht="19.5" customHeight="1">
      <c r="A2" s="5" t="s">
        <v>320</v>
      </c>
      <c r="B2" s="2"/>
      <c r="C2" s="2"/>
      <c r="D2" s="2"/>
      <c r="E2" s="3"/>
    </row>
    <row r="3" ht="24.0" customHeight="1">
      <c r="A3" s="98" t="s">
        <v>321</v>
      </c>
      <c r="B3" s="2"/>
      <c r="C3" s="2"/>
      <c r="D3" s="2"/>
      <c r="E3" s="3"/>
    </row>
    <row r="4" ht="27.75" customHeight="1">
      <c r="A4" s="7" t="s">
        <v>322</v>
      </c>
      <c r="B4" s="7" t="s">
        <v>323</v>
      </c>
      <c r="C4" s="7" t="s">
        <v>324</v>
      </c>
      <c r="D4" s="7" t="s">
        <v>325</v>
      </c>
      <c r="E4" s="7" t="s">
        <v>326</v>
      </c>
    </row>
    <row r="5" ht="25.5" customHeight="1">
      <c r="A5" s="99" t="s">
        <v>327</v>
      </c>
      <c r="B5" s="100">
        <v>0.05</v>
      </c>
      <c r="C5" s="101" t="s">
        <v>328</v>
      </c>
      <c r="D5" s="102" t="s">
        <v>329</v>
      </c>
      <c r="E5" s="102" t="s">
        <v>330</v>
      </c>
    </row>
    <row r="6" ht="25.5" customHeight="1">
      <c r="A6" s="103" t="s">
        <v>331</v>
      </c>
      <c r="B6" s="100">
        <v>0.02</v>
      </c>
      <c r="C6" s="104" t="s">
        <v>328</v>
      </c>
      <c r="D6" s="105" t="s">
        <v>332</v>
      </c>
      <c r="E6" s="105" t="s">
        <v>43</v>
      </c>
    </row>
    <row r="7" ht="25.5" customHeight="1">
      <c r="A7" s="99" t="s">
        <v>333</v>
      </c>
      <c r="B7" s="100">
        <v>0.4</v>
      </c>
      <c r="C7" s="101" t="s">
        <v>328</v>
      </c>
      <c r="D7" s="102" t="s">
        <v>334</v>
      </c>
      <c r="E7" s="102" t="s">
        <v>335</v>
      </c>
    </row>
    <row r="8" ht="25.5" customHeight="1">
      <c r="A8" s="103" t="s">
        <v>336</v>
      </c>
      <c r="B8" s="100">
        <v>0.15</v>
      </c>
      <c r="C8" s="104" t="s">
        <v>328</v>
      </c>
      <c r="D8" s="105" t="s">
        <v>337</v>
      </c>
      <c r="E8" s="105" t="s">
        <v>338</v>
      </c>
    </row>
    <row r="9" ht="25.5" customHeight="1">
      <c r="A9" s="99" t="s">
        <v>339</v>
      </c>
      <c r="B9" s="100">
        <v>0.1</v>
      </c>
      <c r="C9" s="101" t="s">
        <v>328</v>
      </c>
      <c r="D9" s="102" t="s">
        <v>340</v>
      </c>
      <c r="E9" s="102" t="s">
        <v>36</v>
      </c>
    </row>
    <row r="10" ht="25.5" customHeight="1">
      <c r="A10" s="103" t="s">
        <v>341</v>
      </c>
      <c r="B10" s="100">
        <v>0.05</v>
      </c>
      <c r="C10" s="104" t="s">
        <v>328</v>
      </c>
      <c r="D10" s="105" t="s">
        <v>342</v>
      </c>
      <c r="E10" s="105" t="s">
        <v>36</v>
      </c>
    </row>
    <row r="11" ht="25.5" customHeight="1">
      <c r="A11" s="99" t="s">
        <v>343</v>
      </c>
      <c r="B11" s="106">
        <v>0.4</v>
      </c>
      <c r="C11" s="101" t="s">
        <v>344</v>
      </c>
      <c r="D11" s="102" t="s">
        <v>345</v>
      </c>
      <c r="E11" s="102" t="s">
        <v>68</v>
      </c>
    </row>
    <row r="12" ht="25.5" customHeight="1">
      <c r="A12" s="103" t="s">
        <v>346</v>
      </c>
      <c r="B12" s="106">
        <v>0.3</v>
      </c>
      <c r="C12" s="104" t="s">
        <v>344</v>
      </c>
      <c r="D12" s="105" t="s">
        <v>347</v>
      </c>
      <c r="E12" s="105" t="s">
        <v>68</v>
      </c>
    </row>
    <row r="13" ht="25.5" customHeight="1">
      <c r="A13" s="99" t="s">
        <v>348</v>
      </c>
      <c r="B13" s="106">
        <f>IFERROR(1-B11-B12,0)</f>
        <v>0.3</v>
      </c>
      <c r="C13" s="101" t="s">
        <v>344</v>
      </c>
      <c r="D13" s="102" t="s">
        <v>349</v>
      </c>
      <c r="E13" s="102" t="s">
        <v>68</v>
      </c>
    </row>
    <row r="14" ht="21.75" customHeight="1">
      <c r="A14" s="6"/>
      <c r="B14" s="2"/>
      <c r="C14" s="2"/>
      <c r="D14" s="2"/>
      <c r="E14" s="3"/>
    </row>
    <row r="15" ht="27.75" customHeight="1">
      <c r="A15" s="107" t="s">
        <v>350</v>
      </c>
      <c r="B15" s="108"/>
      <c r="C15" s="108"/>
      <c r="D15" s="108"/>
      <c r="E15" s="109"/>
    </row>
    <row r="16" ht="29.25" customHeight="1">
      <c r="A16" s="110" t="str">
        <f>IF(ABS(B11+B12+B13-1)&lt;0.001,"✅  DISTRIBUSI VALID — Total = 100%","🚨  ERROR: Total = "&amp;TEXT(B11+B12+B13,"0%")&amp;" — Harus tepat 100%!")</f>
        <v>✅  DISTRIBUSI VALID — Total = 100%</v>
      </c>
      <c r="B16" s="2"/>
      <c r="C16" s="2"/>
      <c r="D16" s="2"/>
      <c r="E16" s="3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</row>
    <row r="17">
      <c r="A17" s="30"/>
      <c r="B17" s="30"/>
      <c r="C17" s="97"/>
      <c r="D17" s="30"/>
      <c r="E17" s="30"/>
    </row>
    <row r="18">
      <c r="A18" s="30"/>
      <c r="B18" s="30"/>
      <c r="C18" s="97"/>
      <c r="D18" s="30"/>
      <c r="E18" s="30"/>
    </row>
    <row r="19" ht="15.75" customHeight="1">
      <c r="A19" s="30"/>
      <c r="B19" s="30"/>
      <c r="C19" s="97"/>
      <c r="D19" s="30"/>
      <c r="E19" s="30"/>
    </row>
    <row r="20" ht="15.75" customHeight="1">
      <c r="A20" s="30"/>
      <c r="B20" s="30"/>
      <c r="C20" s="97"/>
      <c r="D20" s="30"/>
      <c r="E20" s="30"/>
    </row>
    <row r="21" ht="15.75" customHeight="1">
      <c r="A21" s="30"/>
      <c r="B21" s="30"/>
      <c r="C21" s="97"/>
      <c r="D21" s="30"/>
      <c r="E21" s="30"/>
    </row>
    <row r="22" ht="15.75" customHeight="1">
      <c r="A22" s="30"/>
      <c r="B22" s="30"/>
      <c r="C22" s="97"/>
      <c r="D22" s="30"/>
      <c r="E22" s="30"/>
    </row>
    <row r="23" ht="15.75" customHeight="1">
      <c r="A23" s="30"/>
      <c r="B23" s="30"/>
      <c r="C23" s="97"/>
      <c r="D23" s="30"/>
      <c r="E23" s="30"/>
    </row>
    <row r="24" ht="15.75" customHeight="1">
      <c r="A24" s="30"/>
      <c r="B24" s="30"/>
      <c r="C24" s="97"/>
      <c r="D24" s="30"/>
      <c r="E24" s="30"/>
    </row>
    <row r="25" ht="15.75" customHeight="1">
      <c r="A25" s="30"/>
      <c r="B25" s="30"/>
      <c r="C25" s="97"/>
      <c r="D25" s="30"/>
      <c r="E25" s="30"/>
    </row>
    <row r="26" ht="15.75" customHeight="1">
      <c r="A26" s="30"/>
      <c r="B26" s="30"/>
      <c r="C26" s="97"/>
      <c r="D26" s="30"/>
      <c r="E26" s="30"/>
    </row>
    <row r="27" ht="15.75" customHeight="1">
      <c r="A27" s="30"/>
      <c r="B27" s="30"/>
      <c r="C27" s="97"/>
      <c r="D27" s="30"/>
      <c r="E27" s="30"/>
    </row>
    <row r="28" ht="15.75" customHeight="1">
      <c r="A28" s="30"/>
      <c r="B28" s="30"/>
      <c r="C28" s="97"/>
      <c r="D28" s="30"/>
      <c r="E28" s="30"/>
    </row>
    <row r="29" ht="15.75" customHeight="1">
      <c r="A29" s="30"/>
      <c r="B29" s="30"/>
      <c r="C29" s="97"/>
      <c r="D29" s="30"/>
      <c r="E29" s="30"/>
    </row>
    <row r="30" ht="15.75" customHeight="1">
      <c r="A30" s="30"/>
      <c r="B30" s="30"/>
      <c r="C30" s="97"/>
      <c r="D30" s="30"/>
      <c r="E30" s="30"/>
    </row>
    <row r="31" ht="15.75" customHeight="1">
      <c r="A31" s="30"/>
      <c r="B31" s="30"/>
      <c r="C31" s="97"/>
      <c r="D31" s="30"/>
      <c r="E31" s="30"/>
    </row>
    <row r="32" ht="15.75" customHeight="1">
      <c r="A32" s="30"/>
      <c r="B32" s="30"/>
      <c r="C32" s="97"/>
      <c r="D32" s="30"/>
      <c r="E32" s="30"/>
    </row>
    <row r="33" ht="15.75" customHeight="1">
      <c r="A33" s="30"/>
      <c r="B33" s="30"/>
      <c r="C33" s="97"/>
      <c r="D33" s="30"/>
      <c r="E33" s="30"/>
    </row>
    <row r="34" ht="15.75" customHeight="1">
      <c r="A34" s="30"/>
      <c r="B34" s="30"/>
      <c r="C34" s="97"/>
      <c r="D34" s="30"/>
      <c r="E34" s="30"/>
    </row>
    <row r="35" ht="15.75" customHeight="1">
      <c r="A35" s="30"/>
      <c r="B35" s="30"/>
      <c r="C35" s="97"/>
      <c r="D35" s="30"/>
      <c r="E35" s="30"/>
    </row>
    <row r="36" ht="15.75" customHeight="1">
      <c r="A36" s="30"/>
      <c r="B36" s="30"/>
      <c r="C36" s="97"/>
      <c r="D36" s="30"/>
      <c r="E36" s="30"/>
    </row>
    <row r="37" ht="15.75" customHeight="1">
      <c r="A37" s="30"/>
      <c r="B37" s="30"/>
      <c r="C37" s="97"/>
      <c r="D37" s="30"/>
      <c r="E37" s="30"/>
    </row>
    <row r="38" ht="15.75" customHeight="1">
      <c r="A38" s="30"/>
      <c r="B38" s="30"/>
      <c r="C38" s="97"/>
      <c r="D38" s="30"/>
      <c r="E38" s="30"/>
    </row>
    <row r="39" ht="15.75" customHeight="1">
      <c r="A39" s="30"/>
      <c r="B39" s="30"/>
      <c r="C39" s="97"/>
      <c r="D39" s="30"/>
      <c r="E39" s="30"/>
    </row>
    <row r="40" ht="15.75" customHeight="1">
      <c r="A40" s="30"/>
      <c r="B40" s="30"/>
      <c r="C40" s="97"/>
      <c r="D40" s="30"/>
      <c r="E40" s="30"/>
    </row>
    <row r="41" ht="15.75" customHeight="1">
      <c r="A41" s="30"/>
      <c r="B41" s="30"/>
      <c r="C41" s="97"/>
      <c r="D41" s="30"/>
      <c r="E41" s="30"/>
    </row>
    <row r="42" ht="15.75" customHeight="1">
      <c r="A42" s="30"/>
      <c r="B42" s="30"/>
      <c r="C42" s="97"/>
      <c r="D42" s="30"/>
      <c r="E42" s="30"/>
    </row>
    <row r="43" ht="15.75" customHeight="1">
      <c r="A43" s="30"/>
      <c r="B43" s="30"/>
      <c r="C43" s="97"/>
      <c r="D43" s="30"/>
      <c r="E43" s="30"/>
    </row>
    <row r="44" ht="15.75" customHeight="1">
      <c r="A44" s="30"/>
      <c r="B44" s="30"/>
      <c r="C44" s="97"/>
      <c r="D44" s="30"/>
      <c r="E44" s="30"/>
    </row>
    <row r="45" ht="15.75" customHeight="1">
      <c r="A45" s="30"/>
      <c r="B45" s="30"/>
      <c r="C45" s="97"/>
      <c r="D45" s="30"/>
      <c r="E45" s="30"/>
    </row>
    <row r="46" ht="15.75" customHeight="1">
      <c r="A46" s="30"/>
      <c r="B46" s="30"/>
      <c r="C46" s="97"/>
      <c r="D46" s="30"/>
      <c r="E46" s="30"/>
    </row>
    <row r="47" ht="15.75" customHeight="1">
      <c r="A47" s="30"/>
      <c r="B47" s="30"/>
      <c r="C47" s="97"/>
      <c r="D47" s="30"/>
      <c r="E47" s="30"/>
    </row>
    <row r="48" ht="15.75" customHeight="1">
      <c r="A48" s="30"/>
      <c r="B48" s="30"/>
      <c r="C48" s="97"/>
      <c r="D48" s="30"/>
      <c r="E48" s="30"/>
    </row>
    <row r="49" ht="15.75" customHeight="1">
      <c r="A49" s="30"/>
      <c r="B49" s="30"/>
      <c r="C49" s="97"/>
      <c r="D49" s="30"/>
      <c r="E49" s="30"/>
    </row>
    <row r="50" ht="15.75" customHeight="1">
      <c r="A50" s="30"/>
      <c r="B50" s="30"/>
      <c r="C50" s="97"/>
      <c r="D50" s="30"/>
      <c r="E50" s="30"/>
    </row>
    <row r="51" ht="15.75" customHeight="1">
      <c r="A51" s="30"/>
      <c r="B51" s="30"/>
      <c r="C51" s="97"/>
      <c r="D51" s="30"/>
      <c r="E51" s="30"/>
    </row>
    <row r="52" ht="15.75" customHeight="1">
      <c r="A52" s="30"/>
      <c r="B52" s="30"/>
      <c r="C52" s="97"/>
      <c r="D52" s="30"/>
      <c r="E52" s="30"/>
    </row>
    <row r="53" ht="15.75" customHeight="1">
      <c r="A53" s="30"/>
      <c r="B53" s="30"/>
      <c r="C53" s="97"/>
      <c r="D53" s="30"/>
      <c r="E53" s="30"/>
    </row>
    <row r="54" ht="15.75" customHeight="1">
      <c r="A54" s="30"/>
      <c r="B54" s="30"/>
      <c r="C54" s="97"/>
      <c r="D54" s="30"/>
      <c r="E54" s="30"/>
    </row>
    <row r="55" ht="15.75" customHeight="1">
      <c r="A55" s="30"/>
      <c r="B55" s="30"/>
      <c r="C55" s="97"/>
      <c r="D55" s="30"/>
      <c r="E55" s="30"/>
    </row>
    <row r="56" ht="15.75" customHeight="1">
      <c r="A56" s="30"/>
      <c r="B56" s="30"/>
      <c r="C56" s="97"/>
      <c r="D56" s="30"/>
      <c r="E56" s="30"/>
    </row>
    <row r="57" ht="15.75" customHeight="1">
      <c r="A57" s="30"/>
      <c r="B57" s="30"/>
      <c r="C57" s="97"/>
      <c r="D57" s="30"/>
      <c r="E57" s="30"/>
    </row>
    <row r="58" ht="15.75" customHeight="1">
      <c r="A58" s="30"/>
      <c r="B58" s="30"/>
      <c r="C58" s="97"/>
      <c r="D58" s="30"/>
      <c r="E58" s="30"/>
    </row>
    <row r="59" ht="15.75" customHeight="1">
      <c r="A59" s="30"/>
      <c r="B59" s="30"/>
      <c r="C59" s="97"/>
      <c r="D59" s="30"/>
      <c r="E59" s="30"/>
    </row>
    <row r="60" ht="15.75" customHeight="1">
      <c r="A60" s="30"/>
      <c r="B60" s="30"/>
      <c r="C60" s="97"/>
      <c r="D60" s="30"/>
      <c r="E60" s="30"/>
    </row>
    <row r="61" ht="15.75" customHeight="1">
      <c r="A61" s="30"/>
      <c r="B61" s="30"/>
      <c r="C61" s="97"/>
      <c r="D61" s="30"/>
      <c r="E61" s="30"/>
    </row>
    <row r="62" ht="15.75" customHeight="1">
      <c r="A62" s="30"/>
      <c r="B62" s="30"/>
      <c r="C62" s="97"/>
      <c r="D62" s="30"/>
      <c r="E62" s="30"/>
    </row>
    <row r="63" ht="15.75" customHeight="1">
      <c r="A63" s="30"/>
      <c r="B63" s="30"/>
      <c r="C63" s="97"/>
      <c r="D63" s="30"/>
      <c r="E63" s="30"/>
    </row>
    <row r="64" ht="15.75" customHeight="1">
      <c r="A64" s="30"/>
      <c r="B64" s="30"/>
      <c r="C64" s="97"/>
      <c r="D64" s="30"/>
      <c r="E64" s="30"/>
    </row>
    <row r="65" ht="15.75" customHeight="1">
      <c r="A65" s="30"/>
      <c r="B65" s="30"/>
      <c r="C65" s="97"/>
      <c r="D65" s="30"/>
      <c r="E65" s="30"/>
    </row>
    <row r="66" ht="15.75" customHeight="1">
      <c r="A66" s="30"/>
      <c r="B66" s="30"/>
      <c r="C66" s="97"/>
      <c r="D66" s="30"/>
      <c r="E66" s="30"/>
    </row>
    <row r="67" ht="15.75" customHeight="1">
      <c r="A67" s="30"/>
      <c r="B67" s="30"/>
      <c r="C67" s="97"/>
      <c r="D67" s="30"/>
      <c r="E67" s="30"/>
    </row>
    <row r="68" ht="15.75" customHeight="1">
      <c r="A68" s="30"/>
      <c r="B68" s="30"/>
      <c r="C68" s="97"/>
      <c r="D68" s="30"/>
      <c r="E68" s="30"/>
    </row>
    <row r="69" ht="15.75" customHeight="1">
      <c r="A69" s="30"/>
      <c r="B69" s="30"/>
      <c r="C69" s="97"/>
      <c r="D69" s="30"/>
      <c r="E69" s="30"/>
    </row>
    <row r="70" ht="15.75" customHeight="1">
      <c r="A70" s="30"/>
      <c r="B70" s="30"/>
      <c r="C70" s="97"/>
      <c r="D70" s="30"/>
      <c r="E70" s="30"/>
    </row>
    <row r="71" ht="15.75" customHeight="1">
      <c r="A71" s="30"/>
      <c r="B71" s="30"/>
      <c r="C71" s="97"/>
      <c r="D71" s="30"/>
      <c r="E71" s="30"/>
    </row>
    <row r="72" ht="15.75" customHeight="1">
      <c r="A72" s="30"/>
      <c r="B72" s="30"/>
      <c r="C72" s="97"/>
      <c r="D72" s="30"/>
      <c r="E72" s="30"/>
    </row>
    <row r="73" ht="15.75" customHeight="1">
      <c r="A73" s="30"/>
      <c r="B73" s="30"/>
      <c r="C73" s="97"/>
      <c r="D73" s="30"/>
      <c r="E73" s="30"/>
    </row>
    <row r="74" ht="15.75" customHeight="1">
      <c r="A74" s="30"/>
      <c r="B74" s="30"/>
      <c r="C74" s="97"/>
      <c r="D74" s="30"/>
      <c r="E74" s="30"/>
    </row>
    <row r="75" ht="15.75" customHeight="1">
      <c r="A75" s="30"/>
      <c r="B75" s="30"/>
      <c r="C75" s="97"/>
      <c r="D75" s="30"/>
      <c r="E75" s="30"/>
    </row>
    <row r="76" ht="15.75" customHeight="1">
      <c r="A76" s="30"/>
      <c r="B76" s="30"/>
      <c r="C76" s="97"/>
      <c r="D76" s="30"/>
      <c r="E76" s="30"/>
    </row>
    <row r="77" ht="15.75" customHeight="1">
      <c r="A77" s="30"/>
      <c r="B77" s="30"/>
      <c r="C77" s="97"/>
      <c r="D77" s="30"/>
      <c r="E77" s="30"/>
    </row>
    <row r="78" ht="15.75" customHeight="1">
      <c r="A78" s="30"/>
      <c r="B78" s="30"/>
      <c r="C78" s="97"/>
      <c r="D78" s="30"/>
      <c r="E78" s="30"/>
    </row>
    <row r="79" ht="15.75" customHeight="1">
      <c r="A79" s="30"/>
      <c r="B79" s="30"/>
      <c r="C79" s="97"/>
      <c r="D79" s="30"/>
      <c r="E79" s="30"/>
    </row>
    <row r="80" ht="15.75" customHeight="1">
      <c r="A80" s="30"/>
      <c r="B80" s="30"/>
      <c r="C80" s="97"/>
      <c r="D80" s="30"/>
      <c r="E80" s="30"/>
    </row>
    <row r="81" ht="15.75" customHeight="1">
      <c r="A81" s="30"/>
      <c r="B81" s="30"/>
      <c r="C81" s="97"/>
      <c r="D81" s="30"/>
      <c r="E81" s="30"/>
    </row>
    <row r="82" ht="15.75" customHeight="1">
      <c r="A82" s="30"/>
      <c r="B82" s="30"/>
      <c r="C82" s="97"/>
      <c r="D82" s="30"/>
      <c r="E82" s="30"/>
    </row>
    <row r="83" ht="15.75" customHeight="1">
      <c r="A83" s="30"/>
      <c r="B83" s="30"/>
      <c r="C83" s="97"/>
      <c r="D83" s="30"/>
      <c r="E83" s="30"/>
    </row>
    <row r="84" ht="15.75" customHeight="1">
      <c r="A84" s="30"/>
      <c r="B84" s="30"/>
      <c r="C84" s="97"/>
      <c r="D84" s="30"/>
      <c r="E84" s="30"/>
    </row>
    <row r="85" ht="15.75" customHeight="1">
      <c r="A85" s="30"/>
      <c r="B85" s="30"/>
      <c r="C85" s="97"/>
      <c r="D85" s="30"/>
      <c r="E85" s="30"/>
    </row>
    <row r="86" ht="15.75" customHeight="1">
      <c r="A86" s="30"/>
      <c r="B86" s="30"/>
      <c r="C86" s="97"/>
      <c r="D86" s="30"/>
      <c r="E86" s="30"/>
    </row>
    <row r="87" ht="15.75" customHeight="1">
      <c r="A87" s="30"/>
      <c r="B87" s="30"/>
      <c r="C87" s="97"/>
      <c r="D87" s="30"/>
      <c r="E87" s="30"/>
    </row>
    <row r="88" ht="15.75" customHeight="1">
      <c r="A88" s="30"/>
      <c r="B88" s="30"/>
      <c r="C88" s="97"/>
      <c r="D88" s="30"/>
      <c r="E88" s="30"/>
    </row>
    <row r="89" ht="15.75" customHeight="1">
      <c r="A89" s="30"/>
      <c r="B89" s="30"/>
      <c r="C89" s="97"/>
      <c r="D89" s="30"/>
      <c r="E89" s="30"/>
    </row>
    <row r="90" ht="15.75" customHeight="1">
      <c r="A90" s="30"/>
      <c r="B90" s="30"/>
      <c r="C90" s="97"/>
      <c r="D90" s="30"/>
      <c r="E90" s="30"/>
    </row>
    <row r="91" ht="15.75" customHeight="1">
      <c r="A91" s="30"/>
      <c r="B91" s="30"/>
      <c r="C91" s="97"/>
      <c r="D91" s="30"/>
      <c r="E91" s="30"/>
    </row>
    <row r="92" ht="15.75" customHeight="1">
      <c r="A92" s="30"/>
      <c r="B92" s="30"/>
      <c r="C92" s="97"/>
      <c r="D92" s="30"/>
      <c r="E92" s="30"/>
    </row>
    <row r="93" ht="15.75" customHeight="1">
      <c r="A93" s="30"/>
      <c r="B93" s="30"/>
      <c r="C93" s="97"/>
      <c r="D93" s="30"/>
      <c r="E93" s="30"/>
    </row>
    <row r="94" ht="15.75" customHeight="1">
      <c r="A94" s="30"/>
      <c r="B94" s="30"/>
      <c r="C94" s="97"/>
      <c r="D94" s="30"/>
      <c r="E94" s="30"/>
    </row>
    <row r="95" ht="15.75" customHeight="1">
      <c r="A95" s="30"/>
      <c r="B95" s="30"/>
      <c r="C95" s="97"/>
      <c r="D95" s="30"/>
      <c r="E95" s="30"/>
    </row>
    <row r="96" ht="15.75" customHeight="1">
      <c r="A96" s="30"/>
      <c r="B96" s="30"/>
      <c r="C96" s="97"/>
      <c r="D96" s="30"/>
      <c r="E96" s="30"/>
    </row>
    <row r="97" ht="15.75" customHeight="1">
      <c r="A97" s="30"/>
      <c r="B97" s="30"/>
      <c r="C97" s="97"/>
      <c r="D97" s="30"/>
      <c r="E97" s="30"/>
    </row>
    <row r="98" ht="15.75" customHeight="1">
      <c r="A98" s="30"/>
      <c r="B98" s="30"/>
      <c r="C98" s="97"/>
      <c r="D98" s="30"/>
      <c r="E98" s="30"/>
    </row>
    <row r="99" ht="15.75" customHeight="1">
      <c r="A99" s="30"/>
      <c r="B99" s="30"/>
      <c r="C99" s="97"/>
      <c r="D99" s="30"/>
      <c r="E99" s="30"/>
    </row>
    <row r="100" ht="15.75" customHeight="1">
      <c r="A100" s="30"/>
      <c r="B100" s="30"/>
      <c r="C100" s="97"/>
      <c r="D100" s="30"/>
      <c r="E100" s="30"/>
    </row>
    <row r="101" ht="15.75" customHeight="1">
      <c r="A101" s="30"/>
      <c r="B101" s="30"/>
      <c r="C101" s="97"/>
      <c r="D101" s="30"/>
      <c r="E101" s="30"/>
    </row>
    <row r="102" ht="15.75" customHeight="1">
      <c r="A102" s="30"/>
      <c r="B102" s="30"/>
      <c r="C102" s="97"/>
      <c r="D102" s="30"/>
      <c r="E102" s="30"/>
    </row>
    <row r="103" ht="15.75" customHeight="1">
      <c r="A103" s="30"/>
      <c r="B103" s="30"/>
      <c r="C103" s="97"/>
      <c r="D103" s="30"/>
      <c r="E103" s="30"/>
    </row>
    <row r="104" ht="15.75" customHeight="1">
      <c r="A104" s="30"/>
      <c r="B104" s="30"/>
      <c r="C104" s="97"/>
      <c r="D104" s="30"/>
      <c r="E104" s="30"/>
    </row>
    <row r="105" ht="15.75" customHeight="1">
      <c r="A105" s="30"/>
      <c r="B105" s="30"/>
      <c r="C105" s="97"/>
      <c r="D105" s="30"/>
      <c r="E105" s="30"/>
    </row>
    <row r="106" ht="15.75" customHeight="1">
      <c r="A106" s="30"/>
      <c r="B106" s="30"/>
      <c r="C106" s="97"/>
      <c r="D106" s="30"/>
      <c r="E106" s="30"/>
    </row>
    <row r="107" ht="15.75" customHeight="1">
      <c r="A107" s="30"/>
      <c r="B107" s="30"/>
      <c r="C107" s="97"/>
      <c r="D107" s="30"/>
      <c r="E107" s="30"/>
    </row>
    <row r="108" ht="15.75" customHeight="1">
      <c r="A108" s="30"/>
      <c r="B108" s="30"/>
      <c r="C108" s="97"/>
      <c r="D108" s="30"/>
      <c r="E108" s="30"/>
    </row>
    <row r="109" ht="15.75" customHeight="1">
      <c r="A109" s="30"/>
      <c r="B109" s="30"/>
      <c r="C109" s="97"/>
      <c r="D109" s="30"/>
      <c r="E109" s="30"/>
    </row>
    <row r="110" ht="15.75" customHeight="1">
      <c r="A110" s="30"/>
      <c r="B110" s="30"/>
      <c r="C110" s="97"/>
      <c r="D110" s="30"/>
      <c r="E110" s="30"/>
    </row>
    <row r="111" ht="15.75" customHeight="1">
      <c r="A111" s="30"/>
      <c r="B111" s="30"/>
      <c r="C111" s="97"/>
      <c r="D111" s="30"/>
      <c r="E111" s="30"/>
    </row>
    <row r="112" ht="15.75" customHeight="1">
      <c r="A112" s="30"/>
      <c r="B112" s="30"/>
      <c r="C112" s="97"/>
      <c r="D112" s="30"/>
      <c r="E112" s="30"/>
    </row>
    <row r="113" ht="15.75" customHeight="1">
      <c r="A113" s="30"/>
      <c r="B113" s="30"/>
      <c r="C113" s="97"/>
      <c r="D113" s="30"/>
      <c r="E113" s="30"/>
    </row>
    <row r="114" ht="15.75" customHeight="1">
      <c r="A114" s="30"/>
      <c r="B114" s="30"/>
      <c r="C114" s="97"/>
      <c r="D114" s="30"/>
      <c r="E114" s="30"/>
    </row>
    <row r="115" ht="15.75" customHeight="1">
      <c r="A115" s="30"/>
      <c r="B115" s="30"/>
      <c r="C115" s="97"/>
      <c r="D115" s="30"/>
      <c r="E115" s="30"/>
    </row>
    <row r="116" ht="15.75" customHeight="1">
      <c r="A116" s="30"/>
      <c r="B116" s="30"/>
      <c r="C116" s="97"/>
      <c r="D116" s="30"/>
      <c r="E116" s="30"/>
    </row>
    <row r="117" ht="15.75" customHeight="1">
      <c r="A117" s="30"/>
      <c r="B117" s="30"/>
      <c r="C117" s="97"/>
      <c r="D117" s="30"/>
      <c r="E117" s="30"/>
    </row>
    <row r="118" ht="15.75" customHeight="1">
      <c r="A118" s="30"/>
      <c r="B118" s="30"/>
      <c r="C118" s="97"/>
      <c r="D118" s="30"/>
      <c r="E118" s="30"/>
    </row>
    <row r="119" ht="15.75" customHeight="1">
      <c r="A119" s="30"/>
      <c r="B119" s="30"/>
      <c r="C119" s="97"/>
      <c r="D119" s="30"/>
      <c r="E119" s="30"/>
    </row>
    <row r="120" ht="15.75" customHeight="1">
      <c r="A120" s="30"/>
      <c r="B120" s="30"/>
      <c r="C120" s="97"/>
      <c r="D120" s="30"/>
      <c r="E120" s="30"/>
    </row>
    <row r="121" ht="15.75" customHeight="1">
      <c r="A121" s="30"/>
      <c r="B121" s="30"/>
      <c r="C121" s="97"/>
      <c r="D121" s="30"/>
      <c r="E121" s="30"/>
    </row>
    <row r="122" ht="15.75" customHeight="1">
      <c r="A122" s="30"/>
      <c r="B122" s="30"/>
      <c r="C122" s="97"/>
      <c r="D122" s="30"/>
      <c r="E122" s="30"/>
    </row>
    <row r="123" ht="15.75" customHeight="1">
      <c r="A123" s="30"/>
      <c r="B123" s="30"/>
      <c r="C123" s="97"/>
      <c r="D123" s="30"/>
      <c r="E123" s="30"/>
    </row>
    <row r="124" ht="15.75" customHeight="1">
      <c r="A124" s="30"/>
      <c r="B124" s="30"/>
      <c r="C124" s="97"/>
      <c r="D124" s="30"/>
      <c r="E124" s="30"/>
    </row>
    <row r="125" ht="15.75" customHeight="1">
      <c r="A125" s="30"/>
      <c r="B125" s="30"/>
      <c r="C125" s="97"/>
      <c r="D125" s="30"/>
      <c r="E125" s="30"/>
    </row>
    <row r="126" ht="15.75" customHeight="1">
      <c r="A126" s="30"/>
      <c r="B126" s="30"/>
      <c r="C126" s="97"/>
      <c r="D126" s="30"/>
      <c r="E126" s="30"/>
    </row>
    <row r="127" ht="15.75" customHeight="1">
      <c r="A127" s="30"/>
      <c r="B127" s="30"/>
      <c r="C127" s="97"/>
      <c r="D127" s="30"/>
      <c r="E127" s="30"/>
    </row>
    <row r="128" ht="15.75" customHeight="1">
      <c r="A128" s="30"/>
      <c r="B128" s="30"/>
      <c r="C128" s="97"/>
      <c r="D128" s="30"/>
      <c r="E128" s="30"/>
    </row>
    <row r="129" ht="15.75" customHeight="1">
      <c r="A129" s="30"/>
      <c r="B129" s="30"/>
      <c r="C129" s="97"/>
      <c r="D129" s="30"/>
      <c r="E129" s="30"/>
    </row>
    <row r="130" ht="15.75" customHeight="1">
      <c r="A130" s="30"/>
      <c r="B130" s="30"/>
      <c r="C130" s="97"/>
      <c r="D130" s="30"/>
      <c r="E130" s="30"/>
    </row>
    <row r="131" ht="15.75" customHeight="1">
      <c r="A131" s="30"/>
      <c r="B131" s="30"/>
      <c r="C131" s="97"/>
      <c r="D131" s="30"/>
      <c r="E131" s="30"/>
    </row>
    <row r="132" ht="15.75" customHeight="1">
      <c r="A132" s="30"/>
      <c r="B132" s="30"/>
      <c r="C132" s="97"/>
      <c r="D132" s="30"/>
      <c r="E132" s="30"/>
    </row>
    <row r="133" ht="15.75" customHeight="1">
      <c r="A133" s="30"/>
      <c r="B133" s="30"/>
      <c r="C133" s="97"/>
      <c r="D133" s="30"/>
      <c r="E133" s="30"/>
    </row>
    <row r="134" ht="15.75" customHeight="1">
      <c r="A134" s="30"/>
      <c r="B134" s="30"/>
      <c r="C134" s="97"/>
      <c r="D134" s="30"/>
      <c r="E134" s="30"/>
    </row>
    <row r="135" ht="15.75" customHeight="1">
      <c r="A135" s="30"/>
      <c r="B135" s="30"/>
      <c r="C135" s="97"/>
      <c r="D135" s="30"/>
      <c r="E135" s="30"/>
    </row>
    <row r="136" ht="15.75" customHeight="1">
      <c r="A136" s="30"/>
      <c r="B136" s="30"/>
      <c r="C136" s="97"/>
      <c r="D136" s="30"/>
      <c r="E136" s="30"/>
    </row>
    <row r="137" ht="15.75" customHeight="1">
      <c r="A137" s="30"/>
      <c r="B137" s="30"/>
      <c r="C137" s="97"/>
      <c r="D137" s="30"/>
      <c r="E137" s="30"/>
    </row>
    <row r="138" ht="15.75" customHeight="1">
      <c r="A138" s="30"/>
      <c r="B138" s="30"/>
      <c r="C138" s="97"/>
      <c r="D138" s="30"/>
      <c r="E138" s="30"/>
    </row>
    <row r="139" ht="15.75" customHeight="1">
      <c r="A139" s="30"/>
      <c r="B139" s="30"/>
      <c r="C139" s="97"/>
      <c r="D139" s="30"/>
      <c r="E139" s="30"/>
    </row>
    <row r="140" ht="15.75" customHeight="1">
      <c r="A140" s="30"/>
      <c r="B140" s="30"/>
      <c r="C140" s="97"/>
      <c r="D140" s="30"/>
      <c r="E140" s="30"/>
    </row>
    <row r="141" ht="15.75" customHeight="1">
      <c r="A141" s="30"/>
      <c r="B141" s="30"/>
      <c r="C141" s="97"/>
      <c r="D141" s="30"/>
      <c r="E141" s="30"/>
    </row>
    <row r="142" ht="15.75" customHeight="1">
      <c r="A142" s="30"/>
      <c r="B142" s="30"/>
      <c r="C142" s="97"/>
      <c r="D142" s="30"/>
      <c r="E142" s="30"/>
    </row>
    <row r="143" ht="15.75" customHeight="1">
      <c r="A143" s="30"/>
      <c r="B143" s="30"/>
      <c r="C143" s="97"/>
      <c r="D143" s="30"/>
      <c r="E143" s="30"/>
    </row>
    <row r="144" ht="15.75" customHeight="1">
      <c r="A144" s="30"/>
      <c r="B144" s="30"/>
      <c r="C144" s="97"/>
      <c r="D144" s="30"/>
      <c r="E144" s="30"/>
    </row>
    <row r="145" ht="15.75" customHeight="1">
      <c r="A145" s="30"/>
      <c r="B145" s="30"/>
      <c r="C145" s="97"/>
      <c r="D145" s="30"/>
      <c r="E145" s="30"/>
    </row>
    <row r="146" ht="15.75" customHeight="1">
      <c r="A146" s="30"/>
      <c r="B146" s="30"/>
      <c r="C146" s="97"/>
      <c r="D146" s="30"/>
      <c r="E146" s="30"/>
    </row>
    <row r="147" ht="15.75" customHeight="1">
      <c r="A147" s="30"/>
      <c r="B147" s="30"/>
      <c r="C147" s="97"/>
      <c r="D147" s="30"/>
      <c r="E147" s="30"/>
    </row>
    <row r="148" ht="15.75" customHeight="1">
      <c r="A148" s="30"/>
      <c r="B148" s="30"/>
      <c r="C148" s="97"/>
      <c r="D148" s="30"/>
      <c r="E148" s="30"/>
    </row>
    <row r="149" ht="15.75" customHeight="1">
      <c r="A149" s="30"/>
      <c r="B149" s="30"/>
      <c r="C149" s="97"/>
      <c r="D149" s="30"/>
      <c r="E149" s="30"/>
    </row>
    <row r="150" ht="15.75" customHeight="1">
      <c r="A150" s="30"/>
      <c r="B150" s="30"/>
      <c r="C150" s="97"/>
      <c r="D150" s="30"/>
      <c r="E150" s="30"/>
    </row>
    <row r="151" ht="15.75" customHeight="1">
      <c r="A151" s="30"/>
      <c r="B151" s="30"/>
      <c r="C151" s="97"/>
      <c r="D151" s="30"/>
      <c r="E151" s="30"/>
    </row>
    <row r="152" ht="15.75" customHeight="1">
      <c r="A152" s="30"/>
      <c r="B152" s="30"/>
      <c r="C152" s="97"/>
      <c r="D152" s="30"/>
      <c r="E152" s="30"/>
    </row>
    <row r="153" ht="15.75" customHeight="1">
      <c r="A153" s="30"/>
      <c r="B153" s="30"/>
      <c r="C153" s="97"/>
      <c r="D153" s="30"/>
      <c r="E153" s="30"/>
    </row>
    <row r="154" ht="15.75" customHeight="1">
      <c r="A154" s="30"/>
      <c r="B154" s="30"/>
      <c r="C154" s="97"/>
      <c r="D154" s="30"/>
      <c r="E154" s="30"/>
    </row>
    <row r="155" ht="15.75" customHeight="1">
      <c r="A155" s="30"/>
      <c r="B155" s="30"/>
      <c r="C155" s="97"/>
      <c r="D155" s="30"/>
      <c r="E155" s="30"/>
    </row>
    <row r="156" ht="15.75" customHeight="1">
      <c r="A156" s="30"/>
      <c r="B156" s="30"/>
      <c r="C156" s="97"/>
      <c r="D156" s="30"/>
      <c r="E156" s="30"/>
    </row>
    <row r="157" ht="15.75" customHeight="1">
      <c r="A157" s="30"/>
      <c r="B157" s="30"/>
      <c r="C157" s="97"/>
      <c r="D157" s="30"/>
      <c r="E157" s="30"/>
    </row>
    <row r="158" ht="15.75" customHeight="1">
      <c r="A158" s="30"/>
      <c r="B158" s="30"/>
      <c r="C158" s="97"/>
      <c r="D158" s="30"/>
      <c r="E158" s="30"/>
    </row>
    <row r="159" ht="15.75" customHeight="1">
      <c r="A159" s="30"/>
      <c r="B159" s="30"/>
      <c r="C159" s="97"/>
      <c r="D159" s="30"/>
      <c r="E159" s="30"/>
    </row>
    <row r="160" ht="15.75" customHeight="1">
      <c r="A160" s="30"/>
      <c r="B160" s="30"/>
      <c r="C160" s="97"/>
      <c r="D160" s="30"/>
      <c r="E160" s="30"/>
    </row>
    <row r="161" ht="15.75" customHeight="1">
      <c r="A161" s="30"/>
      <c r="B161" s="30"/>
      <c r="C161" s="97"/>
      <c r="D161" s="30"/>
      <c r="E161" s="30"/>
    </row>
    <row r="162" ht="15.75" customHeight="1">
      <c r="A162" s="30"/>
      <c r="B162" s="30"/>
      <c r="C162" s="97"/>
      <c r="D162" s="30"/>
      <c r="E162" s="30"/>
    </row>
    <row r="163" ht="15.75" customHeight="1">
      <c r="A163" s="30"/>
      <c r="B163" s="30"/>
      <c r="C163" s="97"/>
      <c r="D163" s="30"/>
      <c r="E163" s="30"/>
    </row>
    <row r="164" ht="15.75" customHeight="1">
      <c r="A164" s="30"/>
      <c r="B164" s="30"/>
      <c r="C164" s="97"/>
      <c r="D164" s="30"/>
      <c r="E164" s="30"/>
    </row>
    <row r="165" ht="15.75" customHeight="1">
      <c r="A165" s="30"/>
      <c r="B165" s="30"/>
      <c r="C165" s="97"/>
      <c r="D165" s="30"/>
      <c r="E165" s="30"/>
    </row>
    <row r="166" ht="15.75" customHeight="1">
      <c r="A166" s="30"/>
      <c r="B166" s="30"/>
      <c r="C166" s="97"/>
      <c r="D166" s="30"/>
      <c r="E166" s="30"/>
    </row>
    <row r="167" ht="15.75" customHeight="1">
      <c r="A167" s="30"/>
      <c r="B167" s="30"/>
      <c r="C167" s="97"/>
      <c r="D167" s="30"/>
      <c r="E167" s="30"/>
    </row>
    <row r="168" ht="15.75" customHeight="1">
      <c r="A168" s="30"/>
      <c r="B168" s="30"/>
      <c r="C168" s="97"/>
      <c r="D168" s="30"/>
      <c r="E168" s="30"/>
    </row>
    <row r="169" ht="15.75" customHeight="1">
      <c r="A169" s="30"/>
      <c r="B169" s="30"/>
      <c r="C169" s="97"/>
      <c r="D169" s="30"/>
      <c r="E169" s="30"/>
    </row>
    <row r="170" ht="15.75" customHeight="1">
      <c r="A170" s="30"/>
      <c r="B170" s="30"/>
      <c r="C170" s="97"/>
      <c r="D170" s="30"/>
      <c r="E170" s="30"/>
    </row>
    <row r="171" ht="15.75" customHeight="1">
      <c r="A171" s="30"/>
      <c r="B171" s="30"/>
      <c r="C171" s="97"/>
      <c r="D171" s="30"/>
      <c r="E171" s="30"/>
    </row>
    <row r="172" ht="15.75" customHeight="1">
      <c r="A172" s="30"/>
      <c r="B172" s="30"/>
      <c r="C172" s="97"/>
      <c r="D172" s="30"/>
      <c r="E172" s="30"/>
    </row>
    <row r="173" ht="15.75" customHeight="1">
      <c r="A173" s="30"/>
      <c r="B173" s="30"/>
      <c r="C173" s="97"/>
      <c r="D173" s="30"/>
      <c r="E173" s="30"/>
    </row>
    <row r="174" ht="15.75" customHeight="1">
      <c r="A174" s="30"/>
      <c r="B174" s="30"/>
      <c r="C174" s="97"/>
      <c r="D174" s="30"/>
      <c r="E174" s="30"/>
    </row>
    <row r="175" ht="15.75" customHeight="1">
      <c r="A175" s="30"/>
      <c r="B175" s="30"/>
      <c r="C175" s="97"/>
      <c r="D175" s="30"/>
      <c r="E175" s="30"/>
    </row>
    <row r="176" ht="15.75" customHeight="1">
      <c r="A176" s="30"/>
      <c r="B176" s="30"/>
      <c r="C176" s="97"/>
      <c r="D176" s="30"/>
      <c r="E176" s="30"/>
    </row>
    <row r="177" ht="15.75" customHeight="1">
      <c r="A177" s="30"/>
      <c r="B177" s="30"/>
      <c r="C177" s="97"/>
      <c r="D177" s="30"/>
      <c r="E177" s="30"/>
    </row>
    <row r="178" ht="15.75" customHeight="1">
      <c r="A178" s="30"/>
      <c r="B178" s="30"/>
      <c r="C178" s="97"/>
      <c r="D178" s="30"/>
      <c r="E178" s="30"/>
    </row>
    <row r="179" ht="15.75" customHeight="1">
      <c r="A179" s="30"/>
      <c r="B179" s="30"/>
      <c r="C179" s="97"/>
      <c r="D179" s="30"/>
      <c r="E179" s="30"/>
    </row>
    <row r="180" ht="15.75" customHeight="1">
      <c r="A180" s="30"/>
      <c r="B180" s="30"/>
      <c r="C180" s="97"/>
      <c r="D180" s="30"/>
      <c r="E180" s="30"/>
    </row>
    <row r="181" ht="15.75" customHeight="1">
      <c r="A181" s="30"/>
      <c r="B181" s="30"/>
      <c r="C181" s="97"/>
      <c r="D181" s="30"/>
      <c r="E181" s="30"/>
    </row>
    <row r="182" ht="15.75" customHeight="1">
      <c r="A182" s="30"/>
      <c r="B182" s="30"/>
      <c r="C182" s="97"/>
      <c r="D182" s="30"/>
      <c r="E182" s="30"/>
    </row>
    <row r="183" ht="15.75" customHeight="1">
      <c r="A183" s="30"/>
      <c r="B183" s="30"/>
      <c r="C183" s="97"/>
      <c r="D183" s="30"/>
      <c r="E183" s="30"/>
    </row>
    <row r="184" ht="15.75" customHeight="1">
      <c r="A184" s="30"/>
      <c r="B184" s="30"/>
      <c r="C184" s="97"/>
      <c r="D184" s="30"/>
      <c r="E184" s="30"/>
    </row>
    <row r="185" ht="15.75" customHeight="1">
      <c r="A185" s="30"/>
      <c r="B185" s="30"/>
      <c r="C185" s="97"/>
      <c r="D185" s="30"/>
      <c r="E185" s="30"/>
    </row>
    <row r="186" ht="15.75" customHeight="1">
      <c r="A186" s="30"/>
      <c r="B186" s="30"/>
      <c r="C186" s="97"/>
      <c r="D186" s="30"/>
      <c r="E186" s="30"/>
    </row>
    <row r="187" ht="15.75" customHeight="1">
      <c r="A187" s="30"/>
      <c r="B187" s="30"/>
      <c r="C187" s="97"/>
      <c r="D187" s="30"/>
      <c r="E187" s="30"/>
    </row>
    <row r="188" ht="15.75" customHeight="1">
      <c r="A188" s="30"/>
      <c r="B188" s="30"/>
      <c r="C188" s="97"/>
      <c r="D188" s="30"/>
      <c r="E188" s="30"/>
    </row>
    <row r="189" ht="15.75" customHeight="1">
      <c r="A189" s="30"/>
      <c r="B189" s="30"/>
      <c r="C189" s="97"/>
      <c r="D189" s="30"/>
      <c r="E189" s="30"/>
    </row>
    <row r="190" ht="15.75" customHeight="1">
      <c r="A190" s="30"/>
      <c r="B190" s="30"/>
      <c r="C190" s="97"/>
      <c r="D190" s="30"/>
      <c r="E190" s="30"/>
    </row>
    <row r="191" ht="15.75" customHeight="1">
      <c r="A191" s="30"/>
      <c r="B191" s="30"/>
      <c r="C191" s="97"/>
      <c r="D191" s="30"/>
      <c r="E191" s="30"/>
    </row>
    <row r="192" ht="15.75" customHeight="1">
      <c r="A192" s="30"/>
      <c r="B192" s="30"/>
      <c r="C192" s="97"/>
      <c r="D192" s="30"/>
      <c r="E192" s="30"/>
    </row>
    <row r="193" ht="15.75" customHeight="1">
      <c r="A193" s="30"/>
      <c r="B193" s="30"/>
      <c r="C193" s="97"/>
      <c r="D193" s="30"/>
      <c r="E193" s="30"/>
    </row>
    <row r="194" ht="15.75" customHeight="1">
      <c r="A194" s="30"/>
      <c r="B194" s="30"/>
      <c r="C194" s="97"/>
      <c r="D194" s="30"/>
      <c r="E194" s="30"/>
    </row>
    <row r="195" ht="15.75" customHeight="1">
      <c r="A195" s="30"/>
      <c r="B195" s="30"/>
      <c r="C195" s="97"/>
      <c r="D195" s="30"/>
      <c r="E195" s="30"/>
    </row>
    <row r="196" ht="15.75" customHeight="1">
      <c r="A196" s="30"/>
      <c r="B196" s="30"/>
      <c r="C196" s="97"/>
      <c r="D196" s="30"/>
      <c r="E196" s="30"/>
    </row>
    <row r="197" ht="15.75" customHeight="1">
      <c r="A197" s="30"/>
      <c r="B197" s="30"/>
      <c r="C197" s="97"/>
      <c r="D197" s="30"/>
      <c r="E197" s="30"/>
    </row>
    <row r="198" ht="15.75" customHeight="1">
      <c r="A198" s="30"/>
      <c r="B198" s="30"/>
      <c r="C198" s="97"/>
      <c r="D198" s="30"/>
      <c r="E198" s="30"/>
    </row>
    <row r="199" ht="15.75" customHeight="1">
      <c r="A199" s="30"/>
      <c r="B199" s="30"/>
      <c r="C199" s="97"/>
      <c r="D199" s="30"/>
      <c r="E199" s="30"/>
    </row>
    <row r="200" ht="15.75" customHeight="1">
      <c r="A200" s="30"/>
      <c r="B200" s="30"/>
      <c r="C200" s="97"/>
      <c r="D200" s="30"/>
      <c r="E200" s="30"/>
    </row>
    <row r="201" ht="15.75" customHeight="1">
      <c r="A201" s="30"/>
      <c r="B201" s="30"/>
      <c r="C201" s="97"/>
      <c r="D201" s="30"/>
      <c r="E201" s="30"/>
    </row>
    <row r="202" ht="15.75" customHeight="1">
      <c r="A202" s="30"/>
      <c r="B202" s="30"/>
      <c r="C202" s="97"/>
      <c r="D202" s="30"/>
      <c r="E202" s="30"/>
    </row>
    <row r="203" ht="15.75" customHeight="1">
      <c r="A203" s="30"/>
      <c r="B203" s="30"/>
      <c r="C203" s="97"/>
      <c r="D203" s="30"/>
      <c r="E203" s="30"/>
    </row>
    <row r="204" ht="15.75" customHeight="1">
      <c r="A204" s="30"/>
      <c r="B204" s="30"/>
      <c r="C204" s="97"/>
      <c r="D204" s="30"/>
      <c r="E204" s="30"/>
    </row>
    <row r="205" ht="15.75" customHeight="1">
      <c r="A205" s="30"/>
      <c r="B205" s="30"/>
      <c r="C205" s="97"/>
      <c r="D205" s="30"/>
      <c r="E205" s="30"/>
    </row>
    <row r="206" ht="15.75" customHeight="1">
      <c r="A206" s="30"/>
      <c r="B206" s="30"/>
      <c r="C206" s="97"/>
      <c r="D206" s="30"/>
      <c r="E206" s="30"/>
    </row>
    <row r="207" ht="15.75" customHeight="1">
      <c r="A207" s="30"/>
      <c r="B207" s="30"/>
      <c r="C207" s="97"/>
      <c r="D207" s="30"/>
      <c r="E207" s="30"/>
    </row>
    <row r="208" ht="15.75" customHeight="1">
      <c r="A208" s="30"/>
      <c r="B208" s="30"/>
      <c r="C208" s="97"/>
      <c r="D208" s="30"/>
      <c r="E208" s="30"/>
    </row>
    <row r="209" ht="15.75" customHeight="1">
      <c r="A209" s="30"/>
      <c r="B209" s="30"/>
      <c r="C209" s="97"/>
      <c r="D209" s="30"/>
      <c r="E209" s="30"/>
    </row>
    <row r="210" ht="15.75" customHeight="1">
      <c r="A210" s="30"/>
      <c r="B210" s="30"/>
      <c r="C210" s="97"/>
      <c r="D210" s="30"/>
      <c r="E210" s="30"/>
    </row>
    <row r="211" ht="15.75" customHeight="1">
      <c r="A211" s="30"/>
      <c r="B211" s="30"/>
      <c r="C211" s="97"/>
      <c r="D211" s="30"/>
      <c r="E211" s="30"/>
    </row>
    <row r="212" ht="15.75" customHeight="1">
      <c r="A212" s="30"/>
      <c r="B212" s="30"/>
      <c r="C212" s="97"/>
      <c r="D212" s="30"/>
      <c r="E212" s="30"/>
    </row>
    <row r="213" ht="15.75" customHeight="1">
      <c r="A213" s="30"/>
      <c r="B213" s="30"/>
      <c r="C213" s="97"/>
      <c r="D213" s="30"/>
      <c r="E213" s="30"/>
    </row>
    <row r="214" ht="15.75" customHeight="1">
      <c r="A214" s="30"/>
      <c r="B214" s="30"/>
      <c r="C214" s="97"/>
      <c r="D214" s="30"/>
      <c r="E214" s="30"/>
    </row>
    <row r="215" ht="15.75" customHeight="1">
      <c r="A215" s="30"/>
      <c r="B215" s="30"/>
      <c r="C215" s="97"/>
      <c r="D215" s="30"/>
      <c r="E215" s="30"/>
    </row>
    <row r="216" ht="15.75" customHeight="1">
      <c r="A216" s="30"/>
      <c r="B216" s="30"/>
      <c r="C216" s="97"/>
      <c r="D216" s="30"/>
      <c r="E216" s="30"/>
    </row>
    <row r="217" ht="15.75" customHeight="1">
      <c r="A217" s="30"/>
      <c r="B217" s="30"/>
      <c r="C217" s="97"/>
      <c r="D217" s="30"/>
      <c r="E217" s="30"/>
    </row>
    <row r="218" ht="15.75" customHeight="1">
      <c r="A218" s="30"/>
      <c r="B218" s="30"/>
      <c r="C218" s="97"/>
      <c r="D218" s="30"/>
      <c r="E218" s="30"/>
    </row>
    <row r="219" ht="15.75" customHeight="1">
      <c r="A219" s="30"/>
      <c r="B219" s="30"/>
      <c r="C219" s="97"/>
      <c r="D219" s="30"/>
      <c r="E219" s="30"/>
    </row>
    <row r="220" ht="15.75" customHeight="1">
      <c r="A220" s="30"/>
      <c r="B220" s="30"/>
      <c r="C220" s="97"/>
      <c r="D220" s="30"/>
      <c r="E220" s="30"/>
    </row>
    <row r="221" ht="15.75" customHeight="1">
      <c r="A221" s="30"/>
      <c r="B221" s="30"/>
      <c r="C221" s="97"/>
      <c r="D221" s="30"/>
      <c r="E221" s="30"/>
    </row>
    <row r="222" ht="15.75" customHeight="1">
      <c r="A222" s="30"/>
      <c r="B222" s="30"/>
      <c r="C222" s="97"/>
      <c r="D222" s="30"/>
      <c r="E222" s="30"/>
    </row>
    <row r="223" ht="15.75" customHeight="1">
      <c r="A223" s="30"/>
      <c r="B223" s="30"/>
      <c r="C223" s="97"/>
      <c r="D223" s="30"/>
      <c r="E223" s="30"/>
    </row>
    <row r="224" ht="15.75" customHeight="1">
      <c r="A224" s="30"/>
      <c r="B224" s="30"/>
      <c r="C224" s="97"/>
      <c r="D224" s="30"/>
      <c r="E224" s="30"/>
    </row>
    <row r="225" ht="15.75" customHeight="1">
      <c r="A225" s="30"/>
      <c r="B225" s="30"/>
      <c r="C225" s="97"/>
      <c r="D225" s="30"/>
      <c r="E225" s="30"/>
    </row>
    <row r="226" ht="15.75" customHeight="1">
      <c r="A226" s="30"/>
      <c r="B226" s="30"/>
      <c r="C226" s="97"/>
      <c r="D226" s="30"/>
      <c r="E226" s="30"/>
    </row>
    <row r="227" ht="15.75" customHeight="1">
      <c r="A227" s="30"/>
      <c r="B227" s="30"/>
      <c r="C227" s="97"/>
      <c r="D227" s="30"/>
      <c r="E227" s="30"/>
    </row>
    <row r="228" ht="15.75" customHeight="1">
      <c r="A228" s="30"/>
      <c r="B228" s="30"/>
      <c r="C228" s="97"/>
      <c r="D228" s="30"/>
      <c r="E228" s="30"/>
    </row>
    <row r="229" ht="15.75" customHeight="1">
      <c r="A229" s="30"/>
      <c r="B229" s="30"/>
      <c r="C229" s="97"/>
      <c r="D229" s="30"/>
      <c r="E229" s="30"/>
    </row>
    <row r="230" ht="15.75" customHeight="1">
      <c r="A230" s="30"/>
      <c r="B230" s="30"/>
      <c r="C230" s="97"/>
      <c r="D230" s="30"/>
      <c r="E230" s="30"/>
    </row>
    <row r="231" ht="15.75" customHeight="1">
      <c r="A231" s="30"/>
      <c r="B231" s="30"/>
      <c r="C231" s="97"/>
      <c r="D231" s="30"/>
      <c r="E231" s="30"/>
    </row>
    <row r="232" ht="15.75" customHeight="1">
      <c r="A232" s="30"/>
      <c r="B232" s="30"/>
      <c r="C232" s="97"/>
      <c r="D232" s="30"/>
      <c r="E232" s="30"/>
    </row>
    <row r="233" ht="15.75" customHeight="1">
      <c r="A233" s="30"/>
      <c r="B233" s="30"/>
      <c r="C233" s="97"/>
      <c r="D233" s="30"/>
      <c r="E233" s="30"/>
    </row>
    <row r="234" ht="15.75" customHeight="1">
      <c r="A234" s="30"/>
      <c r="B234" s="30"/>
      <c r="C234" s="97"/>
      <c r="D234" s="30"/>
      <c r="E234" s="30"/>
    </row>
    <row r="235" ht="15.75" customHeight="1">
      <c r="A235" s="30"/>
      <c r="B235" s="30"/>
      <c r="C235" s="97"/>
      <c r="D235" s="30"/>
      <c r="E235" s="30"/>
    </row>
    <row r="236" ht="15.75" customHeight="1">
      <c r="A236" s="30"/>
      <c r="B236" s="30"/>
      <c r="C236" s="97"/>
      <c r="D236" s="30"/>
      <c r="E236" s="30"/>
    </row>
    <row r="237" ht="15.75" customHeight="1">
      <c r="A237" s="30"/>
      <c r="B237" s="30"/>
      <c r="C237" s="97"/>
      <c r="D237" s="30"/>
      <c r="E237" s="30"/>
    </row>
    <row r="238" ht="15.75" customHeight="1">
      <c r="A238" s="30"/>
      <c r="B238" s="30"/>
      <c r="C238" s="97"/>
      <c r="D238" s="30"/>
      <c r="E238" s="30"/>
    </row>
    <row r="239" ht="15.75" customHeight="1">
      <c r="A239" s="30"/>
      <c r="B239" s="30"/>
      <c r="C239" s="97"/>
      <c r="D239" s="30"/>
      <c r="E239" s="30"/>
    </row>
    <row r="240" ht="15.75" customHeight="1">
      <c r="A240" s="30"/>
      <c r="B240" s="30"/>
      <c r="C240" s="97"/>
      <c r="D240" s="30"/>
      <c r="E240" s="30"/>
    </row>
    <row r="241" ht="15.75" customHeight="1">
      <c r="A241" s="30"/>
      <c r="B241" s="30"/>
      <c r="C241" s="97"/>
      <c r="D241" s="30"/>
      <c r="E241" s="30"/>
    </row>
    <row r="242" ht="15.75" customHeight="1">
      <c r="A242" s="30"/>
      <c r="B242" s="30"/>
      <c r="C242" s="97"/>
      <c r="D242" s="30"/>
      <c r="E242" s="30"/>
    </row>
    <row r="243" ht="15.75" customHeight="1">
      <c r="A243" s="30"/>
      <c r="B243" s="30"/>
      <c r="C243" s="97"/>
      <c r="D243" s="30"/>
      <c r="E243" s="30"/>
    </row>
    <row r="244" ht="15.75" customHeight="1">
      <c r="A244" s="30"/>
      <c r="B244" s="30"/>
      <c r="C244" s="97"/>
      <c r="D244" s="30"/>
      <c r="E244" s="30"/>
    </row>
    <row r="245" ht="15.75" customHeight="1">
      <c r="A245" s="30"/>
      <c r="B245" s="30"/>
      <c r="C245" s="97"/>
      <c r="D245" s="30"/>
      <c r="E245" s="30"/>
    </row>
    <row r="246" ht="15.75" customHeight="1">
      <c r="A246" s="30"/>
      <c r="B246" s="30"/>
      <c r="C246" s="97"/>
      <c r="D246" s="30"/>
      <c r="E246" s="30"/>
    </row>
    <row r="247" ht="15.75" customHeight="1">
      <c r="A247" s="30"/>
      <c r="B247" s="30"/>
      <c r="C247" s="97"/>
      <c r="D247" s="30"/>
      <c r="E247" s="30"/>
    </row>
    <row r="248" ht="15.75" customHeight="1">
      <c r="A248" s="30"/>
      <c r="B248" s="30"/>
      <c r="C248" s="97"/>
      <c r="D248" s="30"/>
      <c r="E248" s="30"/>
    </row>
    <row r="249" ht="15.75" customHeight="1">
      <c r="A249" s="30"/>
      <c r="B249" s="30"/>
      <c r="C249" s="97"/>
      <c r="D249" s="30"/>
      <c r="E249" s="30"/>
    </row>
    <row r="250" ht="15.75" customHeight="1">
      <c r="A250" s="30"/>
      <c r="B250" s="30"/>
      <c r="C250" s="97"/>
      <c r="D250" s="30"/>
      <c r="E250" s="30"/>
    </row>
    <row r="251" ht="15.75" customHeight="1">
      <c r="A251" s="30"/>
      <c r="B251" s="30"/>
      <c r="C251" s="97"/>
      <c r="D251" s="30"/>
      <c r="E251" s="30"/>
    </row>
    <row r="252" ht="15.75" customHeight="1">
      <c r="A252" s="30"/>
      <c r="B252" s="30"/>
      <c r="C252" s="97"/>
      <c r="D252" s="30"/>
      <c r="E252" s="30"/>
    </row>
    <row r="253" ht="15.75" customHeight="1">
      <c r="A253" s="30"/>
      <c r="B253" s="30"/>
      <c r="C253" s="97"/>
      <c r="D253" s="30"/>
      <c r="E253" s="30"/>
    </row>
    <row r="254" ht="15.75" customHeight="1">
      <c r="A254" s="30"/>
      <c r="B254" s="30"/>
      <c r="C254" s="97"/>
      <c r="D254" s="30"/>
      <c r="E254" s="30"/>
    </row>
    <row r="255" ht="15.75" customHeight="1">
      <c r="A255" s="30"/>
      <c r="B255" s="30"/>
      <c r="C255" s="97"/>
      <c r="D255" s="30"/>
      <c r="E255" s="30"/>
    </row>
    <row r="256" ht="15.75" customHeight="1">
      <c r="A256" s="30"/>
      <c r="B256" s="30"/>
      <c r="C256" s="97"/>
      <c r="D256" s="30"/>
      <c r="E256" s="30"/>
    </row>
    <row r="257" ht="15.75" customHeight="1">
      <c r="A257" s="30"/>
      <c r="B257" s="30"/>
      <c r="C257" s="97"/>
      <c r="D257" s="30"/>
      <c r="E257" s="30"/>
    </row>
    <row r="258" ht="15.75" customHeight="1">
      <c r="A258" s="30"/>
      <c r="B258" s="30"/>
      <c r="C258" s="97"/>
      <c r="D258" s="30"/>
      <c r="E258" s="30"/>
    </row>
    <row r="259" ht="15.75" customHeight="1">
      <c r="A259" s="30"/>
      <c r="B259" s="30"/>
      <c r="C259" s="97"/>
      <c r="D259" s="30"/>
      <c r="E259" s="30"/>
    </row>
    <row r="260" ht="15.75" customHeight="1">
      <c r="A260" s="30"/>
      <c r="B260" s="30"/>
      <c r="C260" s="97"/>
      <c r="D260" s="30"/>
      <c r="E260" s="30"/>
    </row>
    <row r="261" ht="15.75" customHeight="1">
      <c r="A261" s="30"/>
      <c r="B261" s="30"/>
      <c r="C261" s="97"/>
      <c r="D261" s="30"/>
      <c r="E261" s="30"/>
    </row>
    <row r="262" ht="15.75" customHeight="1">
      <c r="A262" s="30"/>
      <c r="B262" s="30"/>
      <c r="C262" s="97"/>
      <c r="D262" s="30"/>
      <c r="E262" s="30"/>
    </row>
    <row r="263" ht="15.75" customHeight="1">
      <c r="A263" s="30"/>
      <c r="B263" s="30"/>
      <c r="C263" s="97"/>
      <c r="D263" s="30"/>
      <c r="E263" s="30"/>
    </row>
    <row r="264" ht="15.75" customHeight="1">
      <c r="A264" s="30"/>
      <c r="B264" s="30"/>
      <c r="C264" s="97"/>
      <c r="D264" s="30"/>
      <c r="E264" s="30"/>
    </row>
    <row r="265" ht="15.75" customHeight="1">
      <c r="A265" s="30"/>
      <c r="B265" s="30"/>
      <c r="C265" s="97"/>
      <c r="D265" s="30"/>
      <c r="E265" s="30"/>
    </row>
    <row r="266" ht="15.75" customHeight="1">
      <c r="A266" s="30"/>
      <c r="B266" s="30"/>
      <c r="C266" s="97"/>
      <c r="D266" s="30"/>
      <c r="E266" s="30"/>
    </row>
    <row r="267" ht="15.75" customHeight="1">
      <c r="A267" s="30"/>
      <c r="B267" s="30"/>
      <c r="C267" s="97"/>
      <c r="D267" s="30"/>
      <c r="E267" s="30"/>
    </row>
    <row r="268" ht="15.75" customHeight="1">
      <c r="A268" s="30"/>
      <c r="B268" s="30"/>
      <c r="C268" s="97"/>
      <c r="D268" s="30"/>
      <c r="E268" s="30"/>
    </row>
    <row r="269" ht="15.75" customHeight="1">
      <c r="A269" s="30"/>
      <c r="B269" s="30"/>
      <c r="C269" s="97"/>
      <c r="D269" s="30"/>
      <c r="E269" s="30"/>
    </row>
    <row r="270" ht="15.75" customHeight="1">
      <c r="A270" s="30"/>
      <c r="B270" s="30"/>
      <c r="C270" s="97"/>
      <c r="D270" s="30"/>
      <c r="E270" s="30"/>
    </row>
    <row r="271" ht="15.75" customHeight="1">
      <c r="A271" s="30"/>
      <c r="B271" s="30"/>
      <c r="C271" s="97"/>
      <c r="D271" s="30"/>
      <c r="E271" s="30"/>
    </row>
    <row r="272" ht="15.75" customHeight="1">
      <c r="A272" s="30"/>
      <c r="B272" s="30"/>
      <c r="C272" s="97"/>
      <c r="D272" s="30"/>
      <c r="E272" s="30"/>
    </row>
    <row r="273" ht="15.75" customHeight="1">
      <c r="A273" s="30"/>
      <c r="B273" s="30"/>
      <c r="C273" s="97"/>
      <c r="D273" s="30"/>
      <c r="E273" s="30"/>
    </row>
    <row r="274" ht="15.75" customHeight="1">
      <c r="A274" s="30"/>
      <c r="B274" s="30"/>
      <c r="C274" s="97"/>
      <c r="D274" s="30"/>
      <c r="E274" s="30"/>
    </row>
    <row r="275" ht="15.75" customHeight="1">
      <c r="A275" s="30"/>
      <c r="B275" s="30"/>
      <c r="C275" s="97"/>
      <c r="D275" s="30"/>
      <c r="E275" s="30"/>
    </row>
    <row r="276" ht="15.75" customHeight="1">
      <c r="A276" s="30"/>
      <c r="B276" s="30"/>
      <c r="C276" s="97"/>
      <c r="D276" s="30"/>
      <c r="E276" s="30"/>
    </row>
    <row r="277" ht="15.75" customHeight="1">
      <c r="A277" s="30"/>
      <c r="B277" s="30"/>
      <c r="C277" s="97"/>
      <c r="D277" s="30"/>
      <c r="E277" s="30"/>
    </row>
    <row r="278" ht="15.75" customHeight="1">
      <c r="A278" s="30"/>
      <c r="B278" s="30"/>
      <c r="C278" s="97"/>
      <c r="D278" s="30"/>
      <c r="E278" s="30"/>
    </row>
    <row r="279" ht="15.75" customHeight="1">
      <c r="A279" s="30"/>
      <c r="B279" s="30"/>
      <c r="C279" s="97"/>
      <c r="D279" s="30"/>
      <c r="E279" s="30"/>
    </row>
    <row r="280" ht="15.75" customHeight="1">
      <c r="A280" s="30"/>
      <c r="B280" s="30"/>
      <c r="C280" s="97"/>
      <c r="D280" s="30"/>
      <c r="E280" s="30"/>
    </row>
    <row r="281" ht="15.75" customHeight="1">
      <c r="A281" s="30"/>
      <c r="B281" s="30"/>
      <c r="C281" s="97"/>
      <c r="D281" s="30"/>
      <c r="E281" s="30"/>
    </row>
    <row r="282" ht="15.75" customHeight="1">
      <c r="A282" s="30"/>
      <c r="B282" s="30"/>
      <c r="C282" s="97"/>
      <c r="D282" s="30"/>
      <c r="E282" s="30"/>
    </row>
    <row r="283" ht="15.75" customHeight="1">
      <c r="A283" s="30"/>
      <c r="B283" s="30"/>
      <c r="C283" s="97"/>
      <c r="D283" s="30"/>
      <c r="E283" s="30"/>
    </row>
    <row r="284" ht="15.75" customHeight="1">
      <c r="A284" s="30"/>
      <c r="B284" s="30"/>
      <c r="C284" s="97"/>
      <c r="D284" s="30"/>
      <c r="E284" s="30"/>
    </row>
    <row r="285" ht="15.75" customHeight="1">
      <c r="A285" s="30"/>
      <c r="B285" s="30"/>
      <c r="C285" s="97"/>
      <c r="D285" s="30"/>
      <c r="E285" s="30"/>
    </row>
    <row r="286" ht="15.75" customHeight="1">
      <c r="A286" s="30"/>
      <c r="B286" s="30"/>
      <c r="C286" s="97"/>
      <c r="D286" s="30"/>
      <c r="E286" s="30"/>
    </row>
    <row r="287" ht="15.75" customHeight="1">
      <c r="A287" s="30"/>
      <c r="B287" s="30"/>
      <c r="C287" s="97"/>
      <c r="D287" s="30"/>
      <c r="E287" s="30"/>
    </row>
    <row r="288" ht="15.75" customHeight="1">
      <c r="A288" s="30"/>
      <c r="B288" s="30"/>
      <c r="C288" s="97"/>
      <c r="D288" s="30"/>
      <c r="E288" s="30"/>
    </row>
    <row r="289" ht="15.75" customHeight="1">
      <c r="A289" s="30"/>
      <c r="B289" s="30"/>
      <c r="C289" s="97"/>
      <c r="D289" s="30"/>
      <c r="E289" s="30"/>
    </row>
    <row r="290" ht="15.75" customHeight="1">
      <c r="A290" s="30"/>
      <c r="B290" s="30"/>
      <c r="C290" s="97"/>
      <c r="D290" s="30"/>
      <c r="E290" s="30"/>
    </row>
    <row r="291" ht="15.75" customHeight="1">
      <c r="A291" s="30"/>
      <c r="B291" s="30"/>
      <c r="C291" s="97"/>
      <c r="D291" s="30"/>
      <c r="E291" s="30"/>
    </row>
    <row r="292" ht="15.75" customHeight="1">
      <c r="A292" s="30"/>
      <c r="B292" s="30"/>
      <c r="C292" s="97"/>
      <c r="D292" s="30"/>
      <c r="E292" s="30"/>
    </row>
    <row r="293" ht="15.75" customHeight="1">
      <c r="A293" s="30"/>
      <c r="B293" s="30"/>
      <c r="C293" s="97"/>
      <c r="D293" s="30"/>
      <c r="E293" s="30"/>
    </row>
    <row r="294" ht="15.75" customHeight="1">
      <c r="A294" s="30"/>
      <c r="B294" s="30"/>
      <c r="C294" s="97"/>
      <c r="D294" s="30"/>
      <c r="E294" s="30"/>
    </row>
    <row r="295" ht="15.75" customHeight="1">
      <c r="A295" s="30"/>
      <c r="B295" s="30"/>
      <c r="C295" s="97"/>
      <c r="D295" s="30"/>
      <c r="E295" s="30"/>
    </row>
    <row r="296" ht="15.75" customHeight="1">
      <c r="A296" s="30"/>
      <c r="B296" s="30"/>
      <c r="C296" s="97"/>
      <c r="D296" s="30"/>
      <c r="E296" s="30"/>
    </row>
    <row r="297" ht="15.75" customHeight="1">
      <c r="A297" s="30"/>
      <c r="B297" s="30"/>
      <c r="C297" s="97"/>
      <c r="D297" s="30"/>
      <c r="E297" s="30"/>
    </row>
    <row r="298" ht="15.75" customHeight="1">
      <c r="A298" s="30"/>
      <c r="B298" s="30"/>
      <c r="C298" s="97"/>
      <c r="D298" s="30"/>
      <c r="E298" s="30"/>
    </row>
    <row r="299" ht="15.75" customHeight="1">
      <c r="A299" s="30"/>
      <c r="B299" s="30"/>
      <c r="C299" s="97"/>
      <c r="D299" s="30"/>
      <c r="E299" s="30"/>
    </row>
    <row r="300" ht="15.75" customHeight="1">
      <c r="A300" s="30"/>
      <c r="B300" s="30"/>
      <c r="C300" s="97"/>
      <c r="D300" s="30"/>
      <c r="E300" s="30"/>
    </row>
    <row r="301" ht="15.75" customHeight="1">
      <c r="A301" s="30"/>
      <c r="B301" s="30"/>
      <c r="C301" s="97"/>
      <c r="D301" s="30"/>
      <c r="E301" s="30"/>
    </row>
    <row r="302" ht="15.75" customHeight="1">
      <c r="A302" s="30"/>
      <c r="B302" s="30"/>
      <c r="C302" s="97"/>
      <c r="D302" s="30"/>
      <c r="E302" s="30"/>
    </row>
    <row r="303" ht="15.75" customHeight="1">
      <c r="A303" s="30"/>
      <c r="B303" s="30"/>
      <c r="C303" s="97"/>
      <c r="D303" s="30"/>
      <c r="E303" s="30"/>
    </row>
    <row r="304" ht="15.75" customHeight="1">
      <c r="A304" s="30"/>
      <c r="B304" s="30"/>
      <c r="C304" s="97"/>
      <c r="D304" s="30"/>
      <c r="E304" s="30"/>
    </row>
    <row r="305" ht="15.75" customHeight="1">
      <c r="A305" s="30"/>
      <c r="B305" s="30"/>
      <c r="C305" s="97"/>
      <c r="D305" s="30"/>
      <c r="E305" s="30"/>
    </row>
    <row r="306" ht="15.75" customHeight="1">
      <c r="A306" s="30"/>
      <c r="B306" s="30"/>
      <c r="C306" s="97"/>
      <c r="D306" s="30"/>
      <c r="E306" s="30"/>
    </row>
    <row r="307" ht="15.75" customHeight="1">
      <c r="A307" s="30"/>
      <c r="B307" s="30"/>
      <c r="C307" s="97"/>
      <c r="D307" s="30"/>
      <c r="E307" s="30"/>
    </row>
    <row r="308" ht="15.75" customHeight="1">
      <c r="A308" s="30"/>
      <c r="B308" s="30"/>
      <c r="C308" s="97"/>
      <c r="D308" s="30"/>
      <c r="E308" s="30"/>
    </row>
    <row r="309" ht="15.75" customHeight="1">
      <c r="A309" s="30"/>
      <c r="B309" s="30"/>
      <c r="C309" s="97"/>
      <c r="D309" s="30"/>
      <c r="E309" s="30"/>
    </row>
    <row r="310" ht="15.75" customHeight="1">
      <c r="A310" s="30"/>
      <c r="B310" s="30"/>
      <c r="C310" s="97"/>
      <c r="D310" s="30"/>
      <c r="E310" s="30"/>
    </row>
    <row r="311" ht="15.75" customHeight="1">
      <c r="A311" s="30"/>
      <c r="B311" s="30"/>
      <c r="C311" s="97"/>
      <c r="D311" s="30"/>
      <c r="E311" s="30"/>
    </row>
    <row r="312" ht="15.75" customHeight="1">
      <c r="A312" s="30"/>
      <c r="B312" s="30"/>
      <c r="C312" s="97"/>
      <c r="D312" s="30"/>
      <c r="E312" s="30"/>
    </row>
    <row r="313" ht="15.75" customHeight="1">
      <c r="A313" s="30"/>
      <c r="B313" s="30"/>
      <c r="C313" s="97"/>
      <c r="D313" s="30"/>
      <c r="E313" s="30"/>
    </row>
    <row r="314" ht="15.75" customHeight="1">
      <c r="A314" s="30"/>
      <c r="B314" s="30"/>
      <c r="C314" s="97"/>
      <c r="D314" s="30"/>
      <c r="E314" s="30"/>
    </row>
    <row r="315" ht="15.75" customHeight="1">
      <c r="A315" s="30"/>
      <c r="B315" s="30"/>
      <c r="C315" s="97"/>
      <c r="D315" s="30"/>
      <c r="E315" s="30"/>
    </row>
    <row r="316" ht="15.75" customHeight="1">
      <c r="A316" s="30"/>
      <c r="B316" s="30"/>
      <c r="C316" s="97"/>
      <c r="D316" s="30"/>
      <c r="E316" s="30"/>
    </row>
    <row r="317" ht="15.75" customHeight="1">
      <c r="A317" s="30"/>
      <c r="B317" s="30"/>
      <c r="C317" s="97"/>
      <c r="D317" s="30"/>
      <c r="E317" s="30"/>
    </row>
    <row r="318" ht="15.75" customHeight="1">
      <c r="A318" s="30"/>
      <c r="B318" s="30"/>
      <c r="C318" s="97"/>
      <c r="D318" s="30"/>
      <c r="E318" s="30"/>
    </row>
    <row r="319" ht="15.75" customHeight="1">
      <c r="A319" s="30"/>
      <c r="B319" s="30"/>
      <c r="C319" s="97"/>
      <c r="D319" s="30"/>
      <c r="E319" s="30"/>
    </row>
    <row r="320" ht="15.75" customHeight="1">
      <c r="A320" s="30"/>
      <c r="B320" s="30"/>
      <c r="C320" s="97"/>
      <c r="D320" s="30"/>
      <c r="E320" s="30"/>
    </row>
    <row r="321" ht="15.75" customHeight="1">
      <c r="A321" s="30"/>
      <c r="B321" s="30"/>
      <c r="C321" s="97"/>
      <c r="D321" s="30"/>
      <c r="E321" s="30"/>
    </row>
    <row r="322" ht="15.75" customHeight="1">
      <c r="A322" s="30"/>
      <c r="B322" s="30"/>
      <c r="C322" s="97"/>
      <c r="D322" s="30"/>
      <c r="E322" s="30"/>
    </row>
    <row r="323" ht="15.75" customHeight="1">
      <c r="A323" s="30"/>
      <c r="B323" s="30"/>
      <c r="C323" s="97"/>
      <c r="D323" s="30"/>
      <c r="E323" s="30"/>
    </row>
    <row r="324" ht="15.75" customHeight="1">
      <c r="A324" s="30"/>
      <c r="B324" s="30"/>
      <c r="C324" s="97"/>
      <c r="D324" s="30"/>
      <c r="E324" s="30"/>
    </row>
    <row r="325" ht="15.75" customHeight="1">
      <c r="A325" s="30"/>
      <c r="B325" s="30"/>
      <c r="C325" s="97"/>
      <c r="D325" s="30"/>
      <c r="E325" s="30"/>
    </row>
    <row r="326" ht="15.75" customHeight="1">
      <c r="A326" s="30"/>
      <c r="B326" s="30"/>
      <c r="C326" s="97"/>
      <c r="D326" s="30"/>
      <c r="E326" s="30"/>
    </row>
    <row r="327" ht="15.75" customHeight="1">
      <c r="A327" s="30"/>
      <c r="B327" s="30"/>
      <c r="C327" s="97"/>
      <c r="D327" s="30"/>
      <c r="E327" s="30"/>
    </row>
    <row r="328" ht="15.75" customHeight="1">
      <c r="A328" s="30"/>
      <c r="B328" s="30"/>
      <c r="C328" s="97"/>
      <c r="D328" s="30"/>
      <c r="E328" s="30"/>
    </row>
    <row r="329" ht="15.75" customHeight="1">
      <c r="A329" s="30"/>
      <c r="B329" s="30"/>
      <c r="C329" s="97"/>
      <c r="D329" s="30"/>
      <c r="E329" s="30"/>
    </row>
    <row r="330" ht="15.75" customHeight="1">
      <c r="A330" s="30"/>
      <c r="B330" s="30"/>
      <c r="C330" s="97"/>
      <c r="D330" s="30"/>
      <c r="E330" s="30"/>
    </row>
    <row r="331" ht="15.75" customHeight="1">
      <c r="A331" s="30"/>
      <c r="B331" s="30"/>
      <c r="C331" s="97"/>
      <c r="D331" s="30"/>
      <c r="E331" s="30"/>
    </row>
    <row r="332" ht="15.75" customHeight="1">
      <c r="A332" s="30"/>
      <c r="B332" s="30"/>
      <c r="C332" s="97"/>
      <c r="D332" s="30"/>
      <c r="E332" s="30"/>
    </row>
    <row r="333" ht="15.75" customHeight="1">
      <c r="A333" s="30"/>
      <c r="B333" s="30"/>
      <c r="C333" s="97"/>
      <c r="D333" s="30"/>
      <c r="E333" s="30"/>
    </row>
    <row r="334" ht="15.75" customHeight="1">
      <c r="A334" s="30"/>
      <c r="B334" s="30"/>
      <c r="C334" s="97"/>
      <c r="D334" s="30"/>
      <c r="E334" s="30"/>
    </row>
    <row r="335" ht="15.75" customHeight="1">
      <c r="A335" s="30"/>
      <c r="B335" s="30"/>
      <c r="C335" s="97"/>
      <c r="D335" s="30"/>
      <c r="E335" s="30"/>
    </row>
    <row r="336" ht="15.75" customHeight="1">
      <c r="A336" s="30"/>
      <c r="B336" s="30"/>
      <c r="C336" s="97"/>
      <c r="D336" s="30"/>
      <c r="E336" s="30"/>
    </row>
    <row r="337" ht="15.75" customHeight="1">
      <c r="A337" s="30"/>
      <c r="B337" s="30"/>
      <c r="C337" s="97"/>
      <c r="D337" s="30"/>
      <c r="E337" s="30"/>
    </row>
    <row r="338" ht="15.75" customHeight="1">
      <c r="A338" s="30"/>
      <c r="B338" s="30"/>
      <c r="C338" s="97"/>
      <c r="D338" s="30"/>
      <c r="E338" s="30"/>
    </row>
    <row r="339" ht="15.75" customHeight="1">
      <c r="A339" s="30"/>
      <c r="B339" s="30"/>
      <c r="C339" s="97"/>
      <c r="D339" s="30"/>
      <c r="E339" s="30"/>
    </row>
    <row r="340" ht="15.75" customHeight="1">
      <c r="A340" s="30"/>
      <c r="B340" s="30"/>
      <c r="C340" s="97"/>
      <c r="D340" s="30"/>
      <c r="E340" s="30"/>
    </row>
    <row r="341" ht="15.75" customHeight="1">
      <c r="A341" s="30"/>
      <c r="B341" s="30"/>
      <c r="C341" s="97"/>
      <c r="D341" s="30"/>
      <c r="E341" s="30"/>
    </row>
    <row r="342" ht="15.75" customHeight="1">
      <c r="A342" s="30"/>
      <c r="B342" s="30"/>
      <c r="C342" s="97"/>
      <c r="D342" s="30"/>
      <c r="E342" s="30"/>
    </row>
    <row r="343" ht="15.75" customHeight="1">
      <c r="A343" s="30"/>
      <c r="B343" s="30"/>
      <c r="C343" s="97"/>
      <c r="D343" s="30"/>
      <c r="E343" s="30"/>
    </row>
    <row r="344" ht="15.75" customHeight="1">
      <c r="A344" s="30"/>
      <c r="B344" s="30"/>
      <c r="C344" s="97"/>
      <c r="D344" s="30"/>
      <c r="E344" s="30"/>
    </row>
    <row r="345" ht="15.75" customHeight="1">
      <c r="A345" s="30"/>
      <c r="B345" s="30"/>
      <c r="C345" s="97"/>
      <c r="D345" s="30"/>
      <c r="E345" s="30"/>
    </row>
    <row r="346" ht="15.75" customHeight="1">
      <c r="A346" s="30"/>
      <c r="B346" s="30"/>
      <c r="C346" s="97"/>
      <c r="D346" s="30"/>
      <c r="E346" s="30"/>
    </row>
    <row r="347" ht="15.75" customHeight="1">
      <c r="A347" s="30"/>
      <c r="B347" s="30"/>
      <c r="C347" s="97"/>
      <c r="D347" s="30"/>
      <c r="E347" s="30"/>
    </row>
    <row r="348" ht="15.75" customHeight="1">
      <c r="A348" s="30"/>
      <c r="B348" s="30"/>
      <c r="C348" s="97"/>
      <c r="D348" s="30"/>
      <c r="E348" s="30"/>
    </row>
    <row r="349" ht="15.75" customHeight="1">
      <c r="A349" s="30"/>
      <c r="B349" s="30"/>
      <c r="C349" s="97"/>
      <c r="D349" s="30"/>
      <c r="E349" s="30"/>
    </row>
    <row r="350" ht="15.75" customHeight="1">
      <c r="A350" s="30"/>
      <c r="B350" s="30"/>
      <c r="C350" s="97"/>
      <c r="D350" s="30"/>
      <c r="E350" s="30"/>
    </row>
    <row r="351" ht="15.75" customHeight="1">
      <c r="A351" s="30"/>
      <c r="B351" s="30"/>
      <c r="C351" s="97"/>
      <c r="D351" s="30"/>
      <c r="E351" s="30"/>
    </row>
    <row r="352" ht="15.75" customHeight="1">
      <c r="A352" s="30"/>
      <c r="B352" s="30"/>
      <c r="C352" s="97"/>
      <c r="D352" s="30"/>
      <c r="E352" s="30"/>
    </row>
    <row r="353" ht="15.75" customHeight="1">
      <c r="A353" s="30"/>
      <c r="B353" s="30"/>
      <c r="C353" s="97"/>
      <c r="D353" s="30"/>
      <c r="E353" s="30"/>
    </row>
    <row r="354" ht="15.75" customHeight="1">
      <c r="A354" s="30"/>
      <c r="B354" s="30"/>
      <c r="C354" s="97"/>
      <c r="D354" s="30"/>
      <c r="E354" s="30"/>
    </row>
    <row r="355" ht="15.75" customHeight="1">
      <c r="A355" s="30"/>
      <c r="B355" s="30"/>
      <c r="C355" s="97"/>
      <c r="D355" s="30"/>
      <c r="E355" s="30"/>
    </row>
    <row r="356" ht="15.75" customHeight="1">
      <c r="A356" s="30"/>
      <c r="B356" s="30"/>
      <c r="C356" s="97"/>
      <c r="D356" s="30"/>
      <c r="E356" s="30"/>
    </row>
    <row r="357" ht="15.75" customHeight="1">
      <c r="A357" s="30"/>
      <c r="B357" s="30"/>
      <c r="C357" s="97"/>
      <c r="D357" s="30"/>
      <c r="E357" s="30"/>
    </row>
    <row r="358" ht="15.75" customHeight="1">
      <c r="A358" s="30"/>
      <c r="B358" s="30"/>
      <c r="C358" s="97"/>
      <c r="D358" s="30"/>
      <c r="E358" s="30"/>
    </row>
    <row r="359" ht="15.75" customHeight="1">
      <c r="A359" s="30"/>
      <c r="B359" s="30"/>
      <c r="C359" s="97"/>
      <c r="D359" s="30"/>
      <c r="E359" s="30"/>
    </row>
    <row r="360" ht="15.75" customHeight="1">
      <c r="A360" s="30"/>
      <c r="B360" s="30"/>
      <c r="C360" s="97"/>
      <c r="D360" s="30"/>
      <c r="E360" s="30"/>
    </row>
    <row r="361" ht="15.75" customHeight="1">
      <c r="A361" s="30"/>
      <c r="B361" s="30"/>
      <c r="C361" s="97"/>
      <c r="D361" s="30"/>
      <c r="E361" s="30"/>
    </row>
    <row r="362" ht="15.75" customHeight="1">
      <c r="A362" s="30"/>
      <c r="B362" s="30"/>
      <c r="C362" s="97"/>
      <c r="D362" s="30"/>
      <c r="E362" s="30"/>
    </row>
    <row r="363" ht="15.75" customHeight="1">
      <c r="A363" s="30"/>
      <c r="B363" s="30"/>
      <c r="C363" s="97"/>
      <c r="D363" s="30"/>
      <c r="E363" s="30"/>
    </row>
    <row r="364" ht="15.75" customHeight="1">
      <c r="A364" s="30"/>
      <c r="B364" s="30"/>
      <c r="C364" s="97"/>
      <c r="D364" s="30"/>
      <c r="E364" s="30"/>
    </row>
    <row r="365" ht="15.75" customHeight="1">
      <c r="A365" s="30"/>
      <c r="B365" s="30"/>
      <c r="C365" s="97"/>
      <c r="D365" s="30"/>
      <c r="E365" s="30"/>
    </row>
    <row r="366" ht="15.75" customHeight="1">
      <c r="A366" s="30"/>
      <c r="B366" s="30"/>
      <c r="C366" s="97"/>
      <c r="D366" s="30"/>
      <c r="E366" s="30"/>
    </row>
    <row r="367" ht="15.75" customHeight="1">
      <c r="A367" s="30"/>
      <c r="B367" s="30"/>
      <c r="C367" s="97"/>
      <c r="D367" s="30"/>
      <c r="E367" s="30"/>
    </row>
    <row r="368" ht="15.75" customHeight="1">
      <c r="A368" s="30"/>
      <c r="B368" s="30"/>
      <c r="C368" s="97"/>
      <c r="D368" s="30"/>
      <c r="E368" s="30"/>
    </row>
    <row r="369" ht="15.75" customHeight="1">
      <c r="A369" s="30"/>
      <c r="B369" s="30"/>
      <c r="C369" s="97"/>
      <c r="D369" s="30"/>
      <c r="E369" s="30"/>
    </row>
    <row r="370" ht="15.75" customHeight="1">
      <c r="A370" s="30"/>
      <c r="B370" s="30"/>
      <c r="C370" s="97"/>
      <c r="D370" s="30"/>
      <c r="E370" s="30"/>
    </row>
    <row r="371" ht="15.75" customHeight="1">
      <c r="A371" s="30"/>
      <c r="B371" s="30"/>
      <c r="C371" s="97"/>
      <c r="D371" s="30"/>
      <c r="E371" s="30"/>
    </row>
    <row r="372" ht="15.75" customHeight="1">
      <c r="A372" s="30"/>
      <c r="B372" s="30"/>
      <c r="C372" s="97"/>
      <c r="D372" s="30"/>
      <c r="E372" s="30"/>
    </row>
    <row r="373" ht="15.75" customHeight="1">
      <c r="A373" s="30"/>
      <c r="B373" s="30"/>
      <c r="C373" s="97"/>
      <c r="D373" s="30"/>
      <c r="E373" s="30"/>
    </row>
    <row r="374" ht="15.75" customHeight="1">
      <c r="A374" s="30"/>
      <c r="B374" s="30"/>
      <c r="C374" s="97"/>
      <c r="D374" s="30"/>
      <c r="E374" s="30"/>
    </row>
    <row r="375" ht="15.75" customHeight="1">
      <c r="A375" s="30"/>
      <c r="B375" s="30"/>
      <c r="C375" s="97"/>
      <c r="D375" s="30"/>
      <c r="E375" s="30"/>
    </row>
    <row r="376" ht="15.75" customHeight="1">
      <c r="A376" s="30"/>
      <c r="B376" s="30"/>
      <c r="C376" s="97"/>
      <c r="D376" s="30"/>
      <c r="E376" s="30"/>
    </row>
    <row r="377" ht="15.75" customHeight="1">
      <c r="A377" s="30"/>
      <c r="B377" s="30"/>
      <c r="C377" s="97"/>
      <c r="D377" s="30"/>
      <c r="E377" s="30"/>
    </row>
    <row r="378" ht="15.75" customHeight="1">
      <c r="A378" s="30"/>
      <c r="B378" s="30"/>
      <c r="C378" s="97"/>
      <c r="D378" s="30"/>
      <c r="E378" s="30"/>
    </row>
    <row r="379" ht="15.75" customHeight="1">
      <c r="A379" s="30"/>
      <c r="B379" s="30"/>
      <c r="C379" s="97"/>
      <c r="D379" s="30"/>
      <c r="E379" s="30"/>
    </row>
    <row r="380" ht="15.75" customHeight="1">
      <c r="A380" s="30"/>
      <c r="B380" s="30"/>
      <c r="C380" s="97"/>
      <c r="D380" s="30"/>
      <c r="E380" s="30"/>
    </row>
    <row r="381" ht="15.75" customHeight="1">
      <c r="A381" s="30"/>
      <c r="B381" s="30"/>
      <c r="C381" s="97"/>
      <c r="D381" s="30"/>
      <c r="E381" s="30"/>
    </row>
    <row r="382" ht="15.75" customHeight="1">
      <c r="A382" s="30"/>
      <c r="B382" s="30"/>
      <c r="C382" s="97"/>
      <c r="D382" s="30"/>
      <c r="E382" s="30"/>
    </row>
    <row r="383" ht="15.75" customHeight="1">
      <c r="A383" s="30"/>
      <c r="B383" s="30"/>
      <c r="C383" s="97"/>
      <c r="D383" s="30"/>
      <c r="E383" s="30"/>
    </row>
    <row r="384" ht="15.75" customHeight="1">
      <c r="A384" s="30"/>
      <c r="B384" s="30"/>
      <c r="C384" s="97"/>
      <c r="D384" s="30"/>
      <c r="E384" s="30"/>
    </row>
    <row r="385" ht="15.75" customHeight="1">
      <c r="A385" s="30"/>
      <c r="B385" s="30"/>
      <c r="C385" s="97"/>
      <c r="D385" s="30"/>
      <c r="E385" s="30"/>
    </row>
    <row r="386" ht="15.75" customHeight="1">
      <c r="A386" s="30"/>
      <c r="B386" s="30"/>
      <c r="C386" s="97"/>
      <c r="D386" s="30"/>
      <c r="E386" s="30"/>
    </row>
    <row r="387" ht="15.75" customHeight="1">
      <c r="A387" s="30"/>
      <c r="B387" s="30"/>
      <c r="C387" s="97"/>
      <c r="D387" s="30"/>
      <c r="E387" s="30"/>
    </row>
    <row r="388" ht="15.75" customHeight="1">
      <c r="A388" s="30"/>
      <c r="B388" s="30"/>
      <c r="C388" s="97"/>
      <c r="D388" s="30"/>
      <c r="E388" s="30"/>
    </row>
    <row r="389" ht="15.75" customHeight="1">
      <c r="A389" s="30"/>
      <c r="B389" s="30"/>
      <c r="C389" s="97"/>
      <c r="D389" s="30"/>
      <c r="E389" s="30"/>
    </row>
    <row r="390" ht="15.75" customHeight="1">
      <c r="A390" s="30"/>
      <c r="B390" s="30"/>
      <c r="C390" s="97"/>
      <c r="D390" s="30"/>
      <c r="E390" s="30"/>
    </row>
    <row r="391" ht="15.75" customHeight="1">
      <c r="A391" s="30"/>
      <c r="B391" s="30"/>
      <c r="C391" s="97"/>
      <c r="D391" s="30"/>
      <c r="E391" s="30"/>
    </row>
    <row r="392" ht="15.75" customHeight="1">
      <c r="A392" s="30"/>
      <c r="B392" s="30"/>
      <c r="C392" s="97"/>
      <c r="D392" s="30"/>
      <c r="E392" s="30"/>
    </row>
    <row r="393" ht="15.75" customHeight="1">
      <c r="A393" s="30"/>
      <c r="B393" s="30"/>
      <c r="C393" s="97"/>
      <c r="D393" s="30"/>
      <c r="E393" s="30"/>
    </row>
    <row r="394" ht="15.75" customHeight="1">
      <c r="A394" s="30"/>
      <c r="B394" s="30"/>
      <c r="C394" s="97"/>
      <c r="D394" s="30"/>
      <c r="E394" s="30"/>
    </row>
    <row r="395" ht="15.75" customHeight="1">
      <c r="A395" s="30"/>
      <c r="B395" s="30"/>
      <c r="C395" s="97"/>
      <c r="D395" s="30"/>
      <c r="E395" s="30"/>
    </row>
    <row r="396" ht="15.75" customHeight="1">
      <c r="A396" s="30"/>
      <c r="B396" s="30"/>
      <c r="C396" s="97"/>
      <c r="D396" s="30"/>
      <c r="E396" s="30"/>
    </row>
    <row r="397" ht="15.75" customHeight="1">
      <c r="A397" s="30"/>
      <c r="B397" s="30"/>
      <c r="C397" s="97"/>
      <c r="D397" s="30"/>
      <c r="E397" s="30"/>
    </row>
    <row r="398" ht="15.75" customHeight="1">
      <c r="A398" s="30"/>
      <c r="B398" s="30"/>
      <c r="C398" s="97"/>
      <c r="D398" s="30"/>
      <c r="E398" s="30"/>
    </row>
    <row r="399" ht="15.75" customHeight="1">
      <c r="A399" s="30"/>
      <c r="B399" s="30"/>
      <c r="C399" s="97"/>
      <c r="D399" s="30"/>
      <c r="E399" s="30"/>
    </row>
    <row r="400" ht="15.75" customHeight="1">
      <c r="A400" s="30"/>
      <c r="B400" s="30"/>
      <c r="C400" s="97"/>
      <c r="D400" s="30"/>
      <c r="E400" s="30"/>
    </row>
    <row r="401" ht="15.75" customHeight="1">
      <c r="A401" s="30"/>
      <c r="B401" s="30"/>
      <c r="C401" s="97"/>
      <c r="D401" s="30"/>
      <c r="E401" s="30"/>
    </row>
    <row r="402" ht="15.75" customHeight="1">
      <c r="A402" s="30"/>
      <c r="B402" s="30"/>
      <c r="C402" s="97"/>
      <c r="D402" s="30"/>
      <c r="E402" s="30"/>
    </row>
    <row r="403" ht="15.75" customHeight="1">
      <c r="A403" s="30"/>
      <c r="B403" s="30"/>
      <c r="C403" s="97"/>
      <c r="D403" s="30"/>
      <c r="E403" s="30"/>
    </row>
    <row r="404" ht="15.75" customHeight="1">
      <c r="A404" s="30"/>
      <c r="B404" s="30"/>
      <c r="C404" s="97"/>
      <c r="D404" s="30"/>
      <c r="E404" s="30"/>
    </row>
    <row r="405" ht="15.75" customHeight="1">
      <c r="A405" s="30"/>
      <c r="B405" s="30"/>
      <c r="C405" s="97"/>
      <c r="D405" s="30"/>
      <c r="E405" s="30"/>
    </row>
    <row r="406" ht="15.75" customHeight="1">
      <c r="A406" s="30"/>
      <c r="B406" s="30"/>
      <c r="C406" s="97"/>
      <c r="D406" s="30"/>
      <c r="E406" s="30"/>
    </row>
    <row r="407" ht="15.75" customHeight="1">
      <c r="A407" s="30"/>
      <c r="B407" s="30"/>
      <c r="C407" s="97"/>
      <c r="D407" s="30"/>
      <c r="E407" s="30"/>
    </row>
    <row r="408" ht="15.75" customHeight="1">
      <c r="A408" s="30"/>
      <c r="B408" s="30"/>
      <c r="C408" s="97"/>
      <c r="D408" s="30"/>
      <c r="E408" s="30"/>
    </row>
    <row r="409" ht="15.75" customHeight="1">
      <c r="A409" s="30"/>
      <c r="B409" s="30"/>
      <c r="C409" s="97"/>
      <c r="D409" s="30"/>
      <c r="E409" s="30"/>
    </row>
    <row r="410" ht="15.75" customHeight="1">
      <c r="A410" s="30"/>
      <c r="B410" s="30"/>
      <c r="C410" s="97"/>
      <c r="D410" s="30"/>
      <c r="E410" s="30"/>
    </row>
    <row r="411" ht="15.75" customHeight="1">
      <c r="A411" s="30"/>
      <c r="B411" s="30"/>
      <c r="C411" s="97"/>
      <c r="D411" s="30"/>
      <c r="E411" s="30"/>
    </row>
    <row r="412" ht="15.75" customHeight="1">
      <c r="A412" s="30"/>
      <c r="B412" s="30"/>
      <c r="C412" s="97"/>
      <c r="D412" s="30"/>
      <c r="E412" s="30"/>
    </row>
    <row r="413" ht="15.75" customHeight="1">
      <c r="A413" s="30"/>
      <c r="B413" s="30"/>
      <c r="C413" s="97"/>
      <c r="D413" s="30"/>
      <c r="E413" s="30"/>
    </row>
    <row r="414" ht="15.75" customHeight="1">
      <c r="A414" s="30"/>
      <c r="B414" s="30"/>
      <c r="C414" s="97"/>
      <c r="D414" s="30"/>
      <c r="E414" s="30"/>
    </row>
    <row r="415" ht="15.75" customHeight="1">
      <c r="A415" s="30"/>
      <c r="B415" s="30"/>
      <c r="C415" s="97"/>
      <c r="D415" s="30"/>
      <c r="E415" s="30"/>
    </row>
    <row r="416" ht="15.75" customHeight="1">
      <c r="A416" s="30"/>
      <c r="B416" s="30"/>
      <c r="C416" s="97"/>
      <c r="D416" s="30"/>
      <c r="E416" s="30"/>
    </row>
    <row r="417" ht="15.75" customHeight="1">
      <c r="A417" s="30"/>
      <c r="B417" s="30"/>
      <c r="C417" s="97"/>
      <c r="D417" s="30"/>
      <c r="E417" s="30"/>
    </row>
    <row r="418" ht="15.75" customHeight="1">
      <c r="A418" s="30"/>
      <c r="B418" s="30"/>
      <c r="C418" s="97"/>
      <c r="D418" s="30"/>
      <c r="E418" s="30"/>
    </row>
    <row r="419" ht="15.75" customHeight="1">
      <c r="A419" s="30"/>
      <c r="B419" s="30"/>
      <c r="C419" s="97"/>
      <c r="D419" s="30"/>
      <c r="E419" s="30"/>
    </row>
    <row r="420" ht="15.75" customHeight="1">
      <c r="A420" s="30"/>
      <c r="B420" s="30"/>
      <c r="C420" s="97"/>
      <c r="D420" s="30"/>
      <c r="E420" s="30"/>
    </row>
    <row r="421" ht="15.75" customHeight="1">
      <c r="A421" s="30"/>
      <c r="B421" s="30"/>
      <c r="C421" s="97"/>
      <c r="D421" s="30"/>
      <c r="E421" s="30"/>
    </row>
    <row r="422" ht="15.75" customHeight="1">
      <c r="A422" s="30"/>
      <c r="B422" s="30"/>
      <c r="C422" s="97"/>
      <c r="D422" s="30"/>
      <c r="E422" s="30"/>
    </row>
    <row r="423" ht="15.75" customHeight="1">
      <c r="A423" s="30"/>
      <c r="B423" s="30"/>
      <c r="C423" s="97"/>
      <c r="D423" s="30"/>
      <c r="E423" s="30"/>
    </row>
    <row r="424" ht="15.75" customHeight="1">
      <c r="A424" s="30"/>
      <c r="B424" s="30"/>
      <c r="C424" s="97"/>
      <c r="D424" s="30"/>
      <c r="E424" s="30"/>
    </row>
    <row r="425" ht="15.75" customHeight="1">
      <c r="A425" s="30"/>
      <c r="B425" s="30"/>
      <c r="C425" s="97"/>
      <c r="D425" s="30"/>
      <c r="E425" s="30"/>
    </row>
    <row r="426" ht="15.75" customHeight="1">
      <c r="A426" s="30"/>
      <c r="B426" s="30"/>
      <c r="C426" s="97"/>
      <c r="D426" s="30"/>
      <c r="E426" s="30"/>
    </row>
    <row r="427" ht="15.75" customHeight="1">
      <c r="A427" s="30"/>
      <c r="B427" s="30"/>
      <c r="C427" s="97"/>
      <c r="D427" s="30"/>
      <c r="E427" s="30"/>
    </row>
    <row r="428" ht="15.75" customHeight="1">
      <c r="A428" s="30"/>
      <c r="B428" s="30"/>
      <c r="C428" s="97"/>
      <c r="D428" s="30"/>
      <c r="E428" s="30"/>
    </row>
    <row r="429" ht="15.75" customHeight="1">
      <c r="A429" s="30"/>
      <c r="B429" s="30"/>
      <c r="C429" s="97"/>
      <c r="D429" s="30"/>
      <c r="E429" s="30"/>
    </row>
    <row r="430" ht="15.75" customHeight="1">
      <c r="A430" s="30"/>
      <c r="B430" s="30"/>
      <c r="C430" s="97"/>
      <c r="D430" s="30"/>
      <c r="E430" s="30"/>
    </row>
    <row r="431" ht="15.75" customHeight="1">
      <c r="A431" s="30"/>
      <c r="B431" s="30"/>
      <c r="C431" s="97"/>
      <c r="D431" s="30"/>
      <c r="E431" s="30"/>
    </row>
    <row r="432" ht="15.75" customHeight="1">
      <c r="A432" s="30"/>
      <c r="B432" s="30"/>
      <c r="C432" s="97"/>
      <c r="D432" s="30"/>
      <c r="E432" s="30"/>
    </row>
    <row r="433" ht="15.75" customHeight="1">
      <c r="A433" s="30"/>
      <c r="B433" s="30"/>
      <c r="C433" s="97"/>
      <c r="D433" s="30"/>
      <c r="E433" s="30"/>
    </row>
    <row r="434" ht="15.75" customHeight="1">
      <c r="A434" s="30"/>
      <c r="B434" s="30"/>
      <c r="C434" s="97"/>
      <c r="D434" s="30"/>
      <c r="E434" s="30"/>
    </row>
    <row r="435" ht="15.75" customHeight="1">
      <c r="A435" s="30"/>
      <c r="B435" s="30"/>
      <c r="C435" s="97"/>
      <c r="D435" s="30"/>
      <c r="E435" s="30"/>
    </row>
    <row r="436" ht="15.75" customHeight="1">
      <c r="A436" s="30"/>
      <c r="B436" s="30"/>
      <c r="C436" s="97"/>
      <c r="D436" s="30"/>
      <c r="E436" s="30"/>
    </row>
    <row r="437" ht="15.75" customHeight="1">
      <c r="A437" s="30"/>
      <c r="B437" s="30"/>
      <c r="C437" s="97"/>
      <c r="D437" s="30"/>
      <c r="E437" s="30"/>
    </row>
    <row r="438" ht="15.75" customHeight="1">
      <c r="A438" s="30"/>
      <c r="B438" s="30"/>
      <c r="C438" s="97"/>
      <c r="D438" s="30"/>
      <c r="E438" s="30"/>
    </row>
    <row r="439" ht="15.75" customHeight="1">
      <c r="A439" s="30"/>
      <c r="B439" s="30"/>
      <c r="C439" s="97"/>
      <c r="D439" s="30"/>
      <c r="E439" s="30"/>
    </row>
    <row r="440" ht="15.75" customHeight="1">
      <c r="A440" s="30"/>
      <c r="B440" s="30"/>
      <c r="C440" s="97"/>
      <c r="D440" s="30"/>
      <c r="E440" s="30"/>
    </row>
    <row r="441" ht="15.75" customHeight="1">
      <c r="A441" s="30"/>
      <c r="B441" s="30"/>
      <c r="C441" s="97"/>
      <c r="D441" s="30"/>
      <c r="E441" s="30"/>
    </row>
    <row r="442" ht="15.75" customHeight="1">
      <c r="A442" s="30"/>
      <c r="B442" s="30"/>
      <c r="C442" s="97"/>
      <c r="D442" s="30"/>
      <c r="E442" s="30"/>
    </row>
    <row r="443" ht="15.75" customHeight="1">
      <c r="A443" s="30"/>
      <c r="B443" s="30"/>
      <c r="C443" s="97"/>
      <c r="D443" s="30"/>
      <c r="E443" s="30"/>
    </row>
    <row r="444" ht="15.75" customHeight="1">
      <c r="A444" s="30"/>
      <c r="B444" s="30"/>
      <c r="C444" s="97"/>
      <c r="D444" s="30"/>
      <c r="E444" s="30"/>
    </row>
    <row r="445" ht="15.75" customHeight="1">
      <c r="A445" s="30"/>
      <c r="B445" s="30"/>
      <c r="C445" s="97"/>
      <c r="D445" s="30"/>
      <c r="E445" s="30"/>
    </row>
    <row r="446" ht="15.75" customHeight="1">
      <c r="A446" s="30"/>
      <c r="B446" s="30"/>
      <c r="C446" s="97"/>
      <c r="D446" s="30"/>
      <c r="E446" s="30"/>
    </row>
    <row r="447" ht="15.75" customHeight="1">
      <c r="A447" s="30"/>
      <c r="B447" s="30"/>
      <c r="C447" s="97"/>
      <c r="D447" s="30"/>
      <c r="E447" s="30"/>
    </row>
    <row r="448" ht="15.75" customHeight="1">
      <c r="A448" s="30"/>
      <c r="B448" s="30"/>
      <c r="C448" s="97"/>
      <c r="D448" s="30"/>
      <c r="E448" s="30"/>
    </row>
    <row r="449" ht="15.75" customHeight="1">
      <c r="A449" s="30"/>
      <c r="B449" s="30"/>
      <c r="C449" s="97"/>
      <c r="D449" s="30"/>
      <c r="E449" s="30"/>
    </row>
    <row r="450" ht="15.75" customHeight="1">
      <c r="A450" s="30"/>
      <c r="B450" s="30"/>
      <c r="C450" s="97"/>
      <c r="D450" s="30"/>
      <c r="E450" s="30"/>
    </row>
    <row r="451" ht="15.75" customHeight="1">
      <c r="A451" s="30"/>
      <c r="B451" s="30"/>
      <c r="C451" s="97"/>
      <c r="D451" s="30"/>
      <c r="E451" s="30"/>
    </row>
    <row r="452" ht="15.75" customHeight="1">
      <c r="A452" s="30"/>
      <c r="B452" s="30"/>
      <c r="C452" s="97"/>
      <c r="D452" s="30"/>
      <c r="E452" s="30"/>
    </row>
    <row r="453" ht="15.75" customHeight="1">
      <c r="A453" s="30"/>
      <c r="B453" s="30"/>
      <c r="C453" s="97"/>
      <c r="D453" s="30"/>
      <c r="E453" s="30"/>
    </row>
    <row r="454" ht="15.75" customHeight="1">
      <c r="A454" s="30"/>
      <c r="B454" s="30"/>
      <c r="C454" s="97"/>
      <c r="D454" s="30"/>
      <c r="E454" s="30"/>
    </row>
    <row r="455" ht="15.75" customHeight="1">
      <c r="A455" s="30"/>
      <c r="B455" s="30"/>
      <c r="C455" s="97"/>
      <c r="D455" s="30"/>
      <c r="E455" s="30"/>
    </row>
    <row r="456" ht="15.75" customHeight="1">
      <c r="A456" s="30"/>
      <c r="B456" s="30"/>
      <c r="C456" s="97"/>
      <c r="D456" s="30"/>
      <c r="E456" s="30"/>
    </row>
    <row r="457" ht="15.75" customHeight="1">
      <c r="A457" s="30"/>
      <c r="B457" s="30"/>
      <c r="C457" s="97"/>
      <c r="D457" s="30"/>
      <c r="E457" s="30"/>
    </row>
    <row r="458" ht="15.75" customHeight="1">
      <c r="A458" s="30"/>
      <c r="B458" s="30"/>
      <c r="C458" s="97"/>
      <c r="D458" s="30"/>
      <c r="E458" s="30"/>
    </row>
    <row r="459" ht="15.75" customHeight="1">
      <c r="A459" s="30"/>
      <c r="B459" s="30"/>
      <c r="C459" s="97"/>
      <c r="D459" s="30"/>
      <c r="E459" s="30"/>
    </row>
    <row r="460" ht="15.75" customHeight="1">
      <c r="A460" s="30"/>
      <c r="B460" s="30"/>
      <c r="C460" s="97"/>
      <c r="D460" s="30"/>
      <c r="E460" s="30"/>
    </row>
    <row r="461" ht="15.75" customHeight="1">
      <c r="A461" s="30"/>
      <c r="B461" s="30"/>
      <c r="C461" s="97"/>
      <c r="D461" s="30"/>
      <c r="E461" s="30"/>
    </row>
    <row r="462" ht="15.75" customHeight="1">
      <c r="A462" s="30"/>
      <c r="B462" s="30"/>
      <c r="C462" s="97"/>
      <c r="D462" s="30"/>
      <c r="E462" s="30"/>
    </row>
    <row r="463" ht="15.75" customHeight="1">
      <c r="A463" s="30"/>
      <c r="B463" s="30"/>
      <c r="C463" s="97"/>
      <c r="D463" s="30"/>
      <c r="E463" s="30"/>
    </row>
    <row r="464" ht="15.75" customHeight="1">
      <c r="A464" s="30"/>
      <c r="B464" s="30"/>
      <c r="C464" s="97"/>
      <c r="D464" s="30"/>
      <c r="E464" s="30"/>
    </row>
    <row r="465" ht="15.75" customHeight="1">
      <c r="A465" s="30"/>
      <c r="B465" s="30"/>
      <c r="C465" s="97"/>
      <c r="D465" s="30"/>
      <c r="E465" s="30"/>
    </row>
    <row r="466" ht="15.75" customHeight="1">
      <c r="A466" s="30"/>
      <c r="B466" s="30"/>
      <c r="C466" s="97"/>
      <c r="D466" s="30"/>
      <c r="E466" s="30"/>
    </row>
    <row r="467" ht="15.75" customHeight="1">
      <c r="A467" s="30"/>
      <c r="B467" s="30"/>
      <c r="C467" s="97"/>
      <c r="D467" s="30"/>
      <c r="E467" s="30"/>
    </row>
    <row r="468" ht="15.75" customHeight="1">
      <c r="A468" s="30"/>
      <c r="B468" s="30"/>
      <c r="C468" s="97"/>
      <c r="D468" s="30"/>
      <c r="E468" s="30"/>
    </row>
    <row r="469" ht="15.75" customHeight="1">
      <c r="A469" s="30"/>
      <c r="B469" s="30"/>
      <c r="C469" s="97"/>
      <c r="D469" s="30"/>
      <c r="E469" s="30"/>
    </row>
    <row r="470" ht="15.75" customHeight="1">
      <c r="A470" s="30"/>
      <c r="B470" s="30"/>
      <c r="C470" s="97"/>
      <c r="D470" s="30"/>
      <c r="E470" s="30"/>
    </row>
    <row r="471" ht="15.75" customHeight="1">
      <c r="A471" s="30"/>
      <c r="B471" s="30"/>
      <c r="C471" s="97"/>
      <c r="D471" s="30"/>
      <c r="E471" s="30"/>
    </row>
    <row r="472" ht="15.75" customHeight="1">
      <c r="A472" s="30"/>
      <c r="B472" s="30"/>
      <c r="C472" s="97"/>
      <c r="D472" s="30"/>
      <c r="E472" s="30"/>
    </row>
    <row r="473" ht="15.75" customHeight="1">
      <c r="A473" s="30"/>
      <c r="B473" s="30"/>
      <c r="C473" s="97"/>
      <c r="D473" s="30"/>
      <c r="E473" s="30"/>
    </row>
    <row r="474" ht="15.75" customHeight="1">
      <c r="A474" s="30"/>
      <c r="B474" s="30"/>
      <c r="C474" s="97"/>
      <c r="D474" s="30"/>
      <c r="E474" s="30"/>
    </row>
    <row r="475" ht="15.75" customHeight="1">
      <c r="A475" s="30"/>
      <c r="B475" s="30"/>
      <c r="C475" s="97"/>
      <c r="D475" s="30"/>
      <c r="E475" s="30"/>
    </row>
    <row r="476" ht="15.75" customHeight="1">
      <c r="A476" s="30"/>
      <c r="B476" s="30"/>
      <c r="C476" s="97"/>
      <c r="D476" s="30"/>
      <c r="E476" s="30"/>
    </row>
    <row r="477" ht="15.75" customHeight="1">
      <c r="A477" s="30"/>
      <c r="B477" s="30"/>
      <c r="C477" s="97"/>
      <c r="D477" s="30"/>
      <c r="E477" s="30"/>
    </row>
    <row r="478" ht="15.75" customHeight="1">
      <c r="A478" s="30"/>
      <c r="B478" s="30"/>
      <c r="C478" s="97"/>
      <c r="D478" s="30"/>
      <c r="E478" s="30"/>
    </row>
    <row r="479" ht="15.75" customHeight="1">
      <c r="A479" s="30"/>
      <c r="B479" s="30"/>
      <c r="C479" s="97"/>
      <c r="D479" s="30"/>
      <c r="E479" s="30"/>
    </row>
    <row r="480" ht="15.75" customHeight="1">
      <c r="A480" s="30"/>
      <c r="B480" s="30"/>
      <c r="C480" s="97"/>
      <c r="D480" s="30"/>
      <c r="E480" s="30"/>
    </row>
    <row r="481" ht="15.75" customHeight="1">
      <c r="A481" s="30"/>
      <c r="B481" s="30"/>
      <c r="C481" s="97"/>
      <c r="D481" s="30"/>
      <c r="E481" s="30"/>
    </row>
    <row r="482" ht="15.75" customHeight="1">
      <c r="A482" s="30"/>
      <c r="B482" s="30"/>
      <c r="C482" s="97"/>
      <c r="D482" s="30"/>
      <c r="E482" s="30"/>
    </row>
    <row r="483" ht="15.75" customHeight="1">
      <c r="A483" s="30"/>
      <c r="B483" s="30"/>
      <c r="C483" s="97"/>
      <c r="D483" s="30"/>
      <c r="E483" s="30"/>
    </row>
    <row r="484" ht="15.75" customHeight="1">
      <c r="A484" s="30"/>
      <c r="B484" s="30"/>
      <c r="C484" s="97"/>
      <c r="D484" s="30"/>
      <c r="E484" s="30"/>
    </row>
    <row r="485" ht="15.75" customHeight="1">
      <c r="A485" s="30"/>
      <c r="B485" s="30"/>
      <c r="C485" s="97"/>
      <c r="D485" s="30"/>
      <c r="E485" s="30"/>
    </row>
    <row r="486" ht="15.75" customHeight="1">
      <c r="A486" s="30"/>
      <c r="B486" s="30"/>
      <c r="C486" s="97"/>
      <c r="D486" s="30"/>
      <c r="E486" s="30"/>
    </row>
    <row r="487" ht="15.75" customHeight="1">
      <c r="A487" s="30"/>
      <c r="B487" s="30"/>
      <c r="C487" s="97"/>
      <c r="D487" s="30"/>
      <c r="E487" s="30"/>
    </row>
    <row r="488" ht="15.75" customHeight="1">
      <c r="A488" s="30"/>
      <c r="B488" s="30"/>
      <c r="C488" s="97"/>
      <c r="D488" s="30"/>
      <c r="E488" s="30"/>
    </row>
    <row r="489" ht="15.75" customHeight="1">
      <c r="A489" s="30"/>
      <c r="B489" s="30"/>
      <c r="C489" s="97"/>
      <c r="D489" s="30"/>
      <c r="E489" s="30"/>
    </row>
    <row r="490" ht="15.75" customHeight="1">
      <c r="A490" s="30"/>
      <c r="B490" s="30"/>
      <c r="C490" s="97"/>
      <c r="D490" s="30"/>
      <c r="E490" s="30"/>
    </row>
    <row r="491" ht="15.75" customHeight="1">
      <c r="A491" s="30"/>
      <c r="B491" s="30"/>
      <c r="C491" s="97"/>
      <c r="D491" s="30"/>
      <c r="E491" s="30"/>
    </row>
    <row r="492" ht="15.75" customHeight="1">
      <c r="A492" s="30"/>
      <c r="B492" s="30"/>
      <c r="C492" s="97"/>
      <c r="D492" s="30"/>
      <c r="E492" s="30"/>
    </row>
    <row r="493" ht="15.75" customHeight="1">
      <c r="A493" s="30"/>
      <c r="B493" s="30"/>
      <c r="C493" s="97"/>
      <c r="D493" s="30"/>
      <c r="E493" s="30"/>
    </row>
    <row r="494" ht="15.75" customHeight="1">
      <c r="A494" s="30"/>
      <c r="B494" s="30"/>
      <c r="C494" s="97"/>
      <c r="D494" s="30"/>
      <c r="E494" s="30"/>
    </row>
    <row r="495" ht="15.75" customHeight="1">
      <c r="A495" s="30"/>
      <c r="B495" s="30"/>
      <c r="C495" s="97"/>
      <c r="D495" s="30"/>
      <c r="E495" s="30"/>
    </row>
    <row r="496" ht="15.75" customHeight="1">
      <c r="A496" s="30"/>
      <c r="B496" s="30"/>
      <c r="C496" s="97"/>
      <c r="D496" s="30"/>
      <c r="E496" s="30"/>
    </row>
    <row r="497" ht="15.75" customHeight="1">
      <c r="A497" s="30"/>
      <c r="B497" s="30"/>
      <c r="C497" s="97"/>
      <c r="D497" s="30"/>
      <c r="E497" s="30"/>
    </row>
    <row r="498" ht="15.75" customHeight="1">
      <c r="A498" s="30"/>
      <c r="B498" s="30"/>
      <c r="C498" s="97"/>
      <c r="D498" s="30"/>
      <c r="E498" s="30"/>
    </row>
    <row r="499" ht="15.75" customHeight="1">
      <c r="A499" s="30"/>
      <c r="B499" s="30"/>
      <c r="C499" s="97"/>
      <c r="D499" s="30"/>
      <c r="E499" s="30"/>
    </row>
    <row r="500" ht="15.75" customHeight="1">
      <c r="A500" s="30"/>
      <c r="B500" s="30"/>
      <c r="C500" s="97"/>
      <c r="D500" s="30"/>
      <c r="E500" s="30"/>
    </row>
    <row r="501" ht="15.75" customHeight="1">
      <c r="A501" s="30"/>
      <c r="B501" s="30"/>
      <c r="C501" s="97"/>
      <c r="D501" s="30"/>
      <c r="E501" s="30"/>
    </row>
    <row r="502" ht="15.75" customHeight="1">
      <c r="A502" s="30"/>
      <c r="B502" s="30"/>
      <c r="C502" s="97"/>
      <c r="D502" s="30"/>
      <c r="E502" s="30"/>
    </row>
    <row r="503" ht="15.75" customHeight="1">
      <c r="A503" s="30"/>
      <c r="B503" s="30"/>
      <c r="C503" s="97"/>
      <c r="D503" s="30"/>
      <c r="E503" s="30"/>
    </row>
    <row r="504" ht="15.75" customHeight="1">
      <c r="A504" s="30"/>
      <c r="B504" s="30"/>
      <c r="C504" s="97"/>
      <c r="D504" s="30"/>
      <c r="E504" s="30"/>
    </row>
    <row r="505" ht="15.75" customHeight="1">
      <c r="A505" s="30"/>
      <c r="B505" s="30"/>
      <c r="C505" s="97"/>
      <c r="D505" s="30"/>
      <c r="E505" s="30"/>
    </row>
    <row r="506" ht="15.75" customHeight="1">
      <c r="A506" s="30"/>
      <c r="B506" s="30"/>
      <c r="C506" s="97"/>
      <c r="D506" s="30"/>
      <c r="E506" s="30"/>
    </row>
    <row r="507" ht="15.75" customHeight="1">
      <c r="A507" s="30"/>
      <c r="B507" s="30"/>
      <c r="C507" s="97"/>
      <c r="D507" s="30"/>
      <c r="E507" s="30"/>
    </row>
    <row r="508" ht="15.75" customHeight="1">
      <c r="A508" s="30"/>
      <c r="B508" s="30"/>
      <c r="C508" s="97"/>
      <c r="D508" s="30"/>
      <c r="E508" s="30"/>
    </row>
    <row r="509" ht="15.75" customHeight="1">
      <c r="A509" s="30"/>
      <c r="B509" s="30"/>
      <c r="C509" s="97"/>
      <c r="D509" s="30"/>
      <c r="E509" s="30"/>
    </row>
    <row r="510" ht="15.75" customHeight="1">
      <c r="A510" s="30"/>
      <c r="B510" s="30"/>
      <c r="C510" s="97"/>
      <c r="D510" s="30"/>
      <c r="E510" s="30"/>
    </row>
    <row r="511" ht="15.75" customHeight="1">
      <c r="A511" s="30"/>
      <c r="B511" s="30"/>
      <c r="C511" s="97"/>
      <c r="D511" s="30"/>
      <c r="E511" s="30"/>
    </row>
    <row r="512" ht="15.75" customHeight="1">
      <c r="A512" s="30"/>
      <c r="B512" s="30"/>
      <c r="C512" s="97"/>
      <c r="D512" s="30"/>
      <c r="E512" s="30"/>
    </row>
    <row r="513" ht="15.75" customHeight="1">
      <c r="A513" s="30"/>
      <c r="B513" s="30"/>
      <c r="C513" s="97"/>
      <c r="D513" s="30"/>
      <c r="E513" s="30"/>
    </row>
    <row r="514" ht="15.75" customHeight="1">
      <c r="A514" s="30"/>
      <c r="B514" s="30"/>
      <c r="C514" s="97"/>
      <c r="D514" s="30"/>
      <c r="E514" s="30"/>
    </row>
    <row r="515" ht="15.75" customHeight="1">
      <c r="A515" s="30"/>
      <c r="B515" s="30"/>
      <c r="C515" s="97"/>
      <c r="D515" s="30"/>
      <c r="E515" s="30"/>
    </row>
    <row r="516" ht="15.75" customHeight="1">
      <c r="A516" s="30"/>
      <c r="B516" s="30"/>
      <c r="C516" s="97"/>
      <c r="D516" s="30"/>
      <c r="E516" s="30"/>
    </row>
    <row r="517" ht="15.75" customHeight="1">
      <c r="A517" s="30"/>
      <c r="B517" s="30"/>
      <c r="C517" s="97"/>
      <c r="D517" s="30"/>
      <c r="E517" s="30"/>
    </row>
    <row r="518" ht="15.75" customHeight="1">
      <c r="A518" s="30"/>
      <c r="B518" s="30"/>
      <c r="C518" s="97"/>
      <c r="D518" s="30"/>
      <c r="E518" s="30"/>
    </row>
    <row r="519" ht="15.75" customHeight="1">
      <c r="A519" s="30"/>
      <c r="B519" s="30"/>
      <c r="C519" s="97"/>
      <c r="D519" s="30"/>
      <c r="E519" s="30"/>
    </row>
    <row r="520" ht="15.75" customHeight="1">
      <c r="A520" s="30"/>
      <c r="B520" s="30"/>
      <c r="C520" s="97"/>
      <c r="D520" s="30"/>
      <c r="E520" s="30"/>
    </row>
    <row r="521" ht="15.75" customHeight="1">
      <c r="A521" s="30"/>
      <c r="B521" s="30"/>
      <c r="C521" s="97"/>
      <c r="D521" s="30"/>
      <c r="E521" s="30"/>
    </row>
    <row r="522" ht="15.75" customHeight="1">
      <c r="A522" s="30"/>
      <c r="B522" s="30"/>
      <c r="C522" s="97"/>
      <c r="D522" s="30"/>
      <c r="E522" s="30"/>
    </row>
    <row r="523" ht="15.75" customHeight="1">
      <c r="A523" s="30"/>
      <c r="B523" s="30"/>
      <c r="C523" s="97"/>
      <c r="D523" s="30"/>
      <c r="E523" s="30"/>
    </row>
    <row r="524" ht="15.75" customHeight="1">
      <c r="A524" s="30"/>
      <c r="B524" s="30"/>
      <c r="C524" s="97"/>
      <c r="D524" s="30"/>
      <c r="E524" s="30"/>
    </row>
    <row r="525" ht="15.75" customHeight="1">
      <c r="A525" s="30"/>
      <c r="B525" s="30"/>
      <c r="C525" s="97"/>
      <c r="D525" s="30"/>
      <c r="E525" s="30"/>
    </row>
    <row r="526" ht="15.75" customHeight="1">
      <c r="A526" s="30"/>
      <c r="B526" s="30"/>
      <c r="C526" s="97"/>
      <c r="D526" s="30"/>
      <c r="E526" s="30"/>
    </row>
    <row r="527" ht="15.75" customHeight="1">
      <c r="A527" s="30"/>
      <c r="B527" s="30"/>
      <c r="C527" s="97"/>
      <c r="D527" s="30"/>
      <c r="E527" s="30"/>
    </row>
    <row r="528" ht="15.75" customHeight="1">
      <c r="A528" s="30"/>
      <c r="B528" s="30"/>
      <c r="C528" s="97"/>
      <c r="D528" s="30"/>
      <c r="E528" s="30"/>
    </row>
    <row r="529" ht="15.75" customHeight="1">
      <c r="A529" s="30"/>
      <c r="B529" s="30"/>
      <c r="C529" s="97"/>
      <c r="D529" s="30"/>
      <c r="E529" s="30"/>
    </row>
    <row r="530" ht="15.75" customHeight="1">
      <c r="A530" s="30"/>
      <c r="B530" s="30"/>
      <c r="C530" s="97"/>
      <c r="D530" s="30"/>
      <c r="E530" s="30"/>
    </row>
    <row r="531" ht="15.75" customHeight="1">
      <c r="A531" s="30"/>
      <c r="B531" s="30"/>
      <c r="C531" s="97"/>
      <c r="D531" s="30"/>
      <c r="E531" s="30"/>
    </row>
    <row r="532" ht="15.75" customHeight="1">
      <c r="A532" s="30"/>
      <c r="B532" s="30"/>
      <c r="C532" s="97"/>
      <c r="D532" s="30"/>
      <c r="E532" s="30"/>
    </row>
    <row r="533" ht="15.75" customHeight="1">
      <c r="A533" s="30"/>
      <c r="B533" s="30"/>
      <c r="C533" s="97"/>
      <c r="D533" s="30"/>
      <c r="E533" s="30"/>
    </row>
    <row r="534" ht="15.75" customHeight="1">
      <c r="A534" s="30"/>
      <c r="B534" s="30"/>
      <c r="C534" s="97"/>
      <c r="D534" s="30"/>
      <c r="E534" s="30"/>
    </row>
    <row r="535" ht="15.75" customHeight="1">
      <c r="A535" s="30"/>
      <c r="B535" s="30"/>
      <c r="C535" s="97"/>
      <c r="D535" s="30"/>
      <c r="E535" s="30"/>
    </row>
    <row r="536" ht="15.75" customHeight="1">
      <c r="A536" s="30"/>
      <c r="B536" s="30"/>
      <c r="C536" s="97"/>
      <c r="D536" s="30"/>
      <c r="E536" s="30"/>
    </row>
    <row r="537" ht="15.75" customHeight="1">
      <c r="A537" s="30"/>
      <c r="B537" s="30"/>
      <c r="C537" s="97"/>
      <c r="D537" s="30"/>
      <c r="E537" s="30"/>
    </row>
    <row r="538" ht="15.75" customHeight="1">
      <c r="A538" s="30"/>
      <c r="B538" s="30"/>
      <c r="C538" s="97"/>
      <c r="D538" s="30"/>
      <c r="E538" s="30"/>
    </row>
    <row r="539" ht="15.75" customHeight="1">
      <c r="A539" s="30"/>
      <c r="B539" s="30"/>
      <c r="C539" s="97"/>
      <c r="D539" s="30"/>
      <c r="E539" s="30"/>
    </row>
    <row r="540" ht="15.75" customHeight="1">
      <c r="A540" s="30"/>
      <c r="B540" s="30"/>
      <c r="C540" s="97"/>
      <c r="D540" s="30"/>
      <c r="E540" s="30"/>
    </row>
    <row r="541" ht="15.75" customHeight="1">
      <c r="A541" s="30"/>
      <c r="B541" s="30"/>
      <c r="C541" s="97"/>
      <c r="D541" s="30"/>
      <c r="E541" s="30"/>
    </row>
    <row r="542" ht="15.75" customHeight="1">
      <c r="A542" s="30"/>
      <c r="B542" s="30"/>
      <c r="C542" s="97"/>
      <c r="D542" s="30"/>
      <c r="E542" s="30"/>
    </row>
    <row r="543" ht="15.75" customHeight="1">
      <c r="A543" s="30"/>
      <c r="B543" s="30"/>
      <c r="C543" s="97"/>
      <c r="D543" s="30"/>
      <c r="E543" s="30"/>
    </row>
    <row r="544" ht="15.75" customHeight="1">
      <c r="A544" s="30"/>
      <c r="B544" s="30"/>
      <c r="C544" s="97"/>
      <c r="D544" s="30"/>
      <c r="E544" s="30"/>
    </row>
    <row r="545" ht="15.75" customHeight="1">
      <c r="A545" s="30"/>
      <c r="B545" s="30"/>
      <c r="C545" s="97"/>
      <c r="D545" s="30"/>
      <c r="E545" s="30"/>
    </row>
    <row r="546" ht="15.75" customHeight="1">
      <c r="A546" s="30"/>
      <c r="B546" s="30"/>
      <c r="C546" s="97"/>
      <c r="D546" s="30"/>
      <c r="E546" s="30"/>
    </row>
    <row r="547" ht="15.75" customHeight="1">
      <c r="A547" s="30"/>
      <c r="B547" s="30"/>
      <c r="C547" s="97"/>
      <c r="D547" s="30"/>
      <c r="E547" s="30"/>
    </row>
    <row r="548" ht="15.75" customHeight="1">
      <c r="A548" s="30"/>
      <c r="B548" s="30"/>
      <c r="C548" s="97"/>
      <c r="D548" s="30"/>
      <c r="E548" s="30"/>
    </row>
    <row r="549" ht="15.75" customHeight="1">
      <c r="A549" s="30"/>
      <c r="B549" s="30"/>
      <c r="C549" s="97"/>
      <c r="D549" s="30"/>
      <c r="E549" s="30"/>
    </row>
    <row r="550" ht="15.75" customHeight="1">
      <c r="A550" s="30"/>
      <c r="B550" s="30"/>
      <c r="C550" s="97"/>
      <c r="D550" s="30"/>
      <c r="E550" s="30"/>
    </row>
    <row r="551" ht="15.75" customHeight="1">
      <c r="A551" s="30"/>
      <c r="B551" s="30"/>
      <c r="C551" s="97"/>
      <c r="D551" s="30"/>
      <c r="E551" s="30"/>
    </row>
    <row r="552" ht="15.75" customHeight="1">
      <c r="A552" s="30"/>
      <c r="B552" s="30"/>
      <c r="C552" s="97"/>
      <c r="D552" s="30"/>
      <c r="E552" s="30"/>
    </row>
    <row r="553" ht="15.75" customHeight="1">
      <c r="A553" s="30"/>
      <c r="B553" s="30"/>
      <c r="C553" s="97"/>
      <c r="D553" s="30"/>
      <c r="E553" s="30"/>
    </row>
    <row r="554" ht="15.75" customHeight="1">
      <c r="A554" s="30"/>
      <c r="B554" s="30"/>
      <c r="C554" s="97"/>
      <c r="D554" s="30"/>
      <c r="E554" s="30"/>
    </row>
    <row r="555" ht="15.75" customHeight="1">
      <c r="A555" s="30"/>
      <c r="B555" s="30"/>
      <c r="C555" s="97"/>
      <c r="D555" s="30"/>
      <c r="E555" s="30"/>
    </row>
    <row r="556" ht="15.75" customHeight="1">
      <c r="A556" s="30"/>
      <c r="B556" s="30"/>
      <c r="C556" s="97"/>
      <c r="D556" s="30"/>
      <c r="E556" s="30"/>
    </row>
    <row r="557" ht="15.75" customHeight="1">
      <c r="A557" s="30"/>
      <c r="B557" s="30"/>
      <c r="C557" s="97"/>
      <c r="D557" s="30"/>
      <c r="E557" s="30"/>
    </row>
    <row r="558" ht="15.75" customHeight="1">
      <c r="A558" s="30"/>
      <c r="B558" s="30"/>
      <c r="C558" s="97"/>
      <c r="D558" s="30"/>
      <c r="E558" s="30"/>
    </row>
    <row r="559" ht="15.75" customHeight="1">
      <c r="A559" s="30"/>
      <c r="B559" s="30"/>
      <c r="C559" s="97"/>
      <c r="D559" s="30"/>
      <c r="E559" s="30"/>
    </row>
    <row r="560" ht="15.75" customHeight="1">
      <c r="A560" s="30"/>
      <c r="B560" s="30"/>
      <c r="C560" s="97"/>
      <c r="D560" s="30"/>
      <c r="E560" s="30"/>
    </row>
    <row r="561" ht="15.75" customHeight="1">
      <c r="A561" s="30"/>
      <c r="B561" s="30"/>
      <c r="C561" s="97"/>
      <c r="D561" s="30"/>
      <c r="E561" s="30"/>
    </row>
    <row r="562" ht="15.75" customHeight="1">
      <c r="A562" s="30"/>
      <c r="B562" s="30"/>
      <c r="C562" s="97"/>
      <c r="D562" s="30"/>
      <c r="E562" s="30"/>
    </row>
    <row r="563" ht="15.75" customHeight="1">
      <c r="A563" s="30"/>
      <c r="B563" s="30"/>
      <c r="C563" s="97"/>
      <c r="D563" s="30"/>
      <c r="E563" s="30"/>
    </row>
    <row r="564" ht="15.75" customHeight="1">
      <c r="A564" s="30"/>
      <c r="B564" s="30"/>
      <c r="C564" s="97"/>
      <c r="D564" s="30"/>
      <c r="E564" s="30"/>
    </row>
    <row r="565" ht="15.75" customHeight="1">
      <c r="A565" s="30"/>
      <c r="B565" s="30"/>
      <c r="C565" s="97"/>
      <c r="D565" s="30"/>
      <c r="E565" s="30"/>
    </row>
    <row r="566" ht="15.75" customHeight="1">
      <c r="A566" s="30"/>
      <c r="B566" s="30"/>
      <c r="C566" s="97"/>
      <c r="D566" s="30"/>
      <c r="E566" s="30"/>
    </row>
    <row r="567" ht="15.75" customHeight="1">
      <c r="A567" s="30"/>
      <c r="B567" s="30"/>
      <c r="C567" s="97"/>
      <c r="D567" s="30"/>
      <c r="E567" s="30"/>
    </row>
    <row r="568" ht="15.75" customHeight="1">
      <c r="A568" s="30"/>
      <c r="B568" s="30"/>
      <c r="C568" s="97"/>
      <c r="D568" s="30"/>
      <c r="E568" s="30"/>
    </row>
    <row r="569" ht="15.75" customHeight="1">
      <c r="A569" s="30"/>
      <c r="B569" s="30"/>
      <c r="C569" s="97"/>
      <c r="D569" s="30"/>
      <c r="E569" s="30"/>
    </row>
    <row r="570" ht="15.75" customHeight="1">
      <c r="A570" s="30"/>
      <c r="B570" s="30"/>
      <c r="C570" s="97"/>
      <c r="D570" s="30"/>
      <c r="E570" s="30"/>
    </row>
    <row r="571" ht="15.75" customHeight="1">
      <c r="A571" s="30"/>
      <c r="B571" s="30"/>
      <c r="C571" s="97"/>
      <c r="D571" s="30"/>
      <c r="E571" s="30"/>
    </row>
    <row r="572" ht="15.75" customHeight="1">
      <c r="A572" s="30"/>
      <c r="B572" s="30"/>
      <c r="C572" s="97"/>
      <c r="D572" s="30"/>
      <c r="E572" s="30"/>
    </row>
    <row r="573" ht="15.75" customHeight="1">
      <c r="A573" s="30"/>
      <c r="B573" s="30"/>
      <c r="C573" s="97"/>
      <c r="D573" s="30"/>
      <c r="E573" s="30"/>
    </row>
    <row r="574" ht="15.75" customHeight="1">
      <c r="A574" s="30"/>
      <c r="B574" s="30"/>
      <c r="C574" s="97"/>
      <c r="D574" s="30"/>
      <c r="E574" s="30"/>
    </row>
    <row r="575" ht="15.75" customHeight="1">
      <c r="A575" s="30"/>
      <c r="B575" s="30"/>
      <c r="C575" s="97"/>
      <c r="D575" s="30"/>
      <c r="E575" s="30"/>
    </row>
    <row r="576" ht="15.75" customHeight="1">
      <c r="A576" s="30"/>
      <c r="B576" s="30"/>
      <c r="C576" s="97"/>
      <c r="D576" s="30"/>
      <c r="E576" s="30"/>
    </row>
    <row r="577" ht="15.75" customHeight="1">
      <c r="A577" s="30"/>
      <c r="B577" s="30"/>
      <c r="C577" s="97"/>
      <c r="D577" s="30"/>
      <c r="E577" s="30"/>
    </row>
    <row r="578" ht="15.75" customHeight="1">
      <c r="A578" s="30"/>
      <c r="B578" s="30"/>
      <c r="C578" s="97"/>
      <c r="D578" s="30"/>
      <c r="E578" s="30"/>
    </row>
    <row r="579" ht="15.75" customHeight="1">
      <c r="A579" s="30"/>
      <c r="B579" s="30"/>
      <c r="C579" s="97"/>
      <c r="D579" s="30"/>
      <c r="E579" s="30"/>
    </row>
    <row r="580" ht="15.75" customHeight="1">
      <c r="A580" s="30"/>
      <c r="B580" s="30"/>
      <c r="C580" s="97"/>
      <c r="D580" s="30"/>
      <c r="E580" s="30"/>
    </row>
    <row r="581" ht="15.75" customHeight="1">
      <c r="A581" s="30"/>
      <c r="B581" s="30"/>
      <c r="C581" s="97"/>
      <c r="D581" s="30"/>
      <c r="E581" s="30"/>
    </row>
    <row r="582" ht="15.75" customHeight="1">
      <c r="A582" s="30"/>
      <c r="B582" s="30"/>
      <c r="C582" s="97"/>
      <c r="D582" s="30"/>
      <c r="E582" s="30"/>
    </row>
    <row r="583" ht="15.75" customHeight="1">
      <c r="A583" s="30"/>
      <c r="B583" s="30"/>
      <c r="C583" s="97"/>
      <c r="D583" s="30"/>
      <c r="E583" s="30"/>
    </row>
    <row r="584" ht="15.75" customHeight="1">
      <c r="A584" s="30"/>
      <c r="B584" s="30"/>
      <c r="C584" s="97"/>
      <c r="D584" s="30"/>
      <c r="E584" s="30"/>
    </row>
    <row r="585" ht="15.75" customHeight="1">
      <c r="A585" s="30"/>
      <c r="B585" s="30"/>
      <c r="C585" s="97"/>
      <c r="D585" s="30"/>
      <c r="E585" s="30"/>
    </row>
    <row r="586" ht="15.75" customHeight="1">
      <c r="A586" s="30"/>
      <c r="B586" s="30"/>
      <c r="C586" s="97"/>
      <c r="D586" s="30"/>
      <c r="E586" s="30"/>
    </row>
    <row r="587" ht="15.75" customHeight="1">
      <c r="A587" s="30"/>
      <c r="B587" s="30"/>
      <c r="C587" s="97"/>
      <c r="D587" s="30"/>
      <c r="E587" s="30"/>
    </row>
    <row r="588" ht="15.75" customHeight="1">
      <c r="A588" s="30"/>
      <c r="B588" s="30"/>
      <c r="C588" s="97"/>
      <c r="D588" s="30"/>
      <c r="E588" s="30"/>
    </row>
    <row r="589" ht="15.75" customHeight="1">
      <c r="A589" s="30"/>
      <c r="B589" s="30"/>
      <c r="C589" s="97"/>
      <c r="D589" s="30"/>
      <c r="E589" s="30"/>
    </row>
    <row r="590" ht="15.75" customHeight="1">
      <c r="A590" s="30"/>
      <c r="B590" s="30"/>
      <c r="C590" s="97"/>
      <c r="D590" s="30"/>
      <c r="E590" s="30"/>
    </row>
    <row r="591" ht="15.75" customHeight="1">
      <c r="A591" s="30"/>
      <c r="B591" s="30"/>
      <c r="C591" s="97"/>
      <c r="D591" s="30"/>
      <c r="E591" s="30"/>
    </row>
    <row r="592" ht="15.75" customHeight="1">
      <c r="A592" s="30"/>
      <c r="B592" s="30"/>
      <c r="C592" s="97"/>
      <c r="D592" s="30"/>
      <c r="E592" s="30"/>
    </row>
    <row r="593" ht="15.75" customHeight="1">
      <c r="A593" s="30"/>
      <c r="B593" s="30"/>
      <c r="C593" s="97"/>
      <c r="D593" s="30"/>
      <c r="E593" s="30"/>
    </row>
    <row r="594" ht="15.75" customHeight="1">
      <c r="A594" s="30"/>
      <c r="B594" s="30"/>
      <c r="C594" s="97"/>
      <c r="D594" s="30"/>
      <c r="E594" s="30"/>
    </row>
    <row r="595" ht="15.75" customHeight="1">
      <c r="A595" s="30"/>
      <c r="B595" s="30"/>
      <c r="C595" s="97"/>
      <c r="D595" s="30"/>
      <c r="E595" s="30"/>
    </row>
    <row r="596" ht="15.75" customHeight="1">
      <c r="A596" s="30"/>
      <c r="B596" s="30"/>
      <c r="C596" s="97"/>
      <c r="D596" s="30"/>
      <c r="E596" s="30"/>
    </row>
    <row r="597" ht="15.75" customHeight="1">
      <c r="A597" s="30"/>
      <c r="B597" s="30"/>
      <c r="C597" s="97"/>
      <c r="D597" s="30"/>
      <c r="E597" s="30"/>
    </row>
    <row r="598" ht="15.75" customHeight="1">
      <c r="A598" s="30"/>
      <c r="B598" s="30"/>
      <c r="C598" s="97"/>
      <c r="D598" s="30"/>
      <c r="E598" s="30"/>
    </row>
    <row r="599" ht="15.75" customHeight="1">
      <c r="A599" s="30"/>
      <c r="B599" s="30"/>
      <c r="C599" s="97"/>
      <c r="D599" s="30"/>
      <c r="E599" s="30"/>
    </row>
    <row r="600" ht="15.75" customHeight="1">
      <c r="A600" s="30"/>
      <c r="B600" s="30"/>
      <c r="C600" s="97"/>
      <c r="D600" s="30"/>
      <c r="E600" s="30"/>
    </row>
    <row r="601" ht="15.75" customHeight="1">
      <c r="A601" s="30"/>
      <c r="B601" s="30"/>
      <c r="C601" s="97"/>
      <c r="D601" s="30"/>
      <c r="E601" s="30"/>
    </row>
    <row r="602" ht="15.75" customHeight="1">
      <c r="A602" s="30"/>
      <c r="B602" s="30"/>
      <c r="C602" s="97"/>
      <c r="D602" s="30"/>
      <c r="E602" s="30"/>
    </row>
    <row r="603" ht="15.75" customHeight="1">
      <c r="A603" s="30"/>
      <c r="B603" s="30"/>
      <c r="C603" s="97"/>
      <c r="D603" s="30"/>
      <c r="E603" s="30"/>
    </row>
    <row r="604" ht="15.75" customHeight="1">
      <c r="A604" s="30"/>
      <c r="B604" s="30"/>
      <c r="C604" s="97"/>
      <c r="D604" s="30"/>
      <c r="E604" s="30"/>
    </row>
    <row r="605" ht="15.75" customHeight="1">
      <c r="A605" s="30"/>
      <c r="B605" s="30"/>
      <c r="C605" s="97"/>
      <c r="D605" s="30"/>
      <c r="E605" s="30"/>
    </row>
    <row r="606" ht="15.75" customHeight="1">
      <c r="A606" s="30"/>
      <c r="B606" s="30"/>
      <c r="C606" s="97"/>
      <c r="D606" s="30"/>
      <c r="E606" s="30"/>
    </row>
    <row r="607" ht="15.75" customHeight="1">
      <c r="A607" s="30"/>
      <c r="B607" s="30"/>
      <c r="C607" s="97"/>
      <c r="D607" s="30"/>
      <c r="E607" s="30"/>
    </row>
    <row r="608" ht="15.75" customHeight="1">
      <c r="A608" s="30"/>
      <c r="B608" s="30"/>
      <c r="C608" s="97"/>
      <c r="D608" s="30"/>
      <c r="E608" s="30"/>
    </row>
    <row r="609" ht="15.75" customHeight="1">
      <c r="A609" s="30"/>
      <c r="B609" s="30"/>
      <c r="C609" s="97"/>
      <c r="D609" s="30"/>
      <c r="E609" s="30"/>
    </row>
    <row r="610" ht="15.75" customHeight="1">
      <c r="A610" s="30"/>
      <c r="B610" s="30"/>
      <c r="C610" s="97"/>
      <c r="D610" s="30"/>
      <c r="E610" s="30"/>
    </row>
    <row r="611" ht="15.75" customHeight="1">
      <c r="A611" s="30"/>
      <c r="B611" s="30"/>
      <c r="C611" s="97"/>
      <c r="D611" s="30"/>
      <c r="E611" s="30"/>
    </row>
    <row r="612" ht="15.75" customHeight="1">
      <c r="A612" s="30"/>
      <c r="B612" s="30"/>
      <c r="C612" s="97"/>
      <c r="D612" s="30"/>
      <c r="E612" s="30"/>
    </row>
    <row r="613" ht="15.75" customHeight="1">
      <c r="A613" s="30"/>
      <c r="B613" s="30"/>
      <c r="C613" s="97"/>
      <c r="D613" s="30"/>
      <c r="E613" s="30"/>
    </row>
    <row r="614" ht="15.75" customHeight="1">
      <c r="A614" s="30"/>
      <c r="B614" s="30"/>
      <c r="C614" s="97"/>
      <c r="D614" s="30"/>
      <c r="E614" s="30"/>
    </row>
    <row r="615" ht="15.75" customHeight="1">
      <c r="A615" s="30"/>
      <c r="B615" s="30"/>
      <c r="C615" s="97"/>
      <c r="D615" s="30"/>
      <c r="E615" s="30"/>
    </row>
    <row r="616" ht="15.75" customHeight="1">
      <c r="A616" s="30"/>
      <c r="B616" s="30"/>
      <c r="C616" s="97"/>
      <c r="D616" s="30"/>
      <c r="E616" s="30"/>
    </row>
    <row r="617" ht="15.75" customHeight="1">
      <c r="A617" s="30"/>
      <c r="B617" s="30"/>
      <c r="C617" s="97"/>
      <c r="D617" s="30"/>
      <c r="E617" s="30"/>
    </row>
    <row r="618" ht="15.75" customHeight="1">
      <c r="A618" s="30"/>
      <c r="B618" s="30"/>
      <c r="C618" s="97"/>
      <c r="D618" s="30"/>
      <c r="E618" s="30"/>
    </row>
    <row r="619" ht="15.75" customHeight="1">
      <c r="A619" s="30"/>
      <c r="B619" s="30"/>
      <c r="C619" s="97"/>
      <c r="D619" s="30"/>
      <c r="E619" s="30"/>
    </row>
    <row r="620" ht="15.75" customHeight="1">
      <c r="A620" s="30"/>
      <c r="B620" s="30"/>
      <c r="C620" s="97"/>
      <c r="D620" s="30"/>
      <c r="E620" s="30"/>
    </row>
    <row r="621" ht="15.75" customHeight="1">
      <c r="A621" s="30"/>
      <c r="B621" s="30"/>
      <c r="C621" s="97"/>
      <c r="D621" s="30"/>
      <c r="E621" s="30"/>
    </row>
    <row r="622" ht="15.75" customHeight="1">
      <c r="A622" s="30"/>
      <c r="B622" s="30"/>
      <c r="C622" s="97"/>
      <c r="D622" s="30"/>
      <c r="E622" s="30"/>
    </row>
    <row r="623" ht="15.75" customHeight="1">
      <c r="A623" s="30"/>
      <c r="B623" s="30"/>
      <c r="C623" s="97"/>
      <c r="D623" s="30"/>
      <c r="E623" s="30"/>
    </row>
    <row r="624" ht="15.75" customHeight="1">
      <c r="A624" s="30"/>
      <c r="B624" s="30"/>
      <c r="C624" s="97"/>
      <c r="D624" s="30"/>
      <c r="E624" s="30"/>
    </row>
    <row r="625" ht="15.75" customHeight="1">
      <c r="A625" s="30"/>
      <c r="B625" s="30"/>
      <c r="C625" s="97"/>
      <c r="D625" s="30"/>
      <c r="E625" s="30"/>
    </row>
    <row r="626" ht="15.75" customHeight="1">
      <c r="A626" s="30"/>
      <c r="B626" s="30"/>
      <c r="C626" s="97"/>
      <c r="D626" s="30"/>
      <c r="E626" s="30"/>
    </row>
    <row r="627" ht="15.75" customHeight="1">
      <c r="A627" s="30"/>
      <c r="B627" s="30"/>
      <c r="C627" s="97"/>
      <c r="D627" s="30"/>
      <c r="E627" s="30"/>
    </row>
    <row r="628" ht="15.75" customHeight="1">
      <c r="A628" s="30"/>
      <c r="B628" s="30"/>
      <c r="C628" s="97"/>
      <c r="D628" s="30"/>
      <c r="E628" s="30"/>
    </row>
    <row r="629" ht="15.75" customHeight="1">
      <c r="A629" s="30"/>
      <c r="B629" s="30"/>
      <c r="C629" s="97"/>
      <c r="D629" s="30"/>
      <c r="E629" s="30"/>
    </row>
    <row r="630" ht="15.75" customHeight="1">
      <c r="A630" s="30"/>
      <c r="B630" s="30"/>
      <c r="C630" s="97"/>
      <c r="D630" s="30"/>
      <c r="E630" s="30"/>
    </row>
    <row r="631" ht="15.75" customHeight="1">
      <c r="A631" s="30"/>
      <c r="B631" s="30"/>
      <c r="C631" s="97"/>
      <c r="D631" s="30"/>
      <c r="E631" s="30"/>
    </row>
    <row r="632" ht="15.75" customHeight="1">
      <c r="A632" s="30"/>
      <c r="B632" s="30"/>
      <c r="C632" s="97"/>
      <c r="D632" s="30"/>
      <c r="E632" s="30"/>
    </row>
    <row r="633" ht="15.75" customHeight="1">
      <c r="A633" s="30"/>
      <c r="B633" s="30"/>
      <c r="C633" s="97"/>
      <c r="D633" s="30"/>
      <c r="E633" s="30"/>
    </row>
    <row r="634" ht="15.75" customHeight="1">
      <c r="A634" s="30"/>
      <c r="B634" s="30"/>
      <c r="C634" s="97"/>
      <c r="D634" s="30"/>
      <c r="E634" s="30"/>
    </row>
    <row r="635" ht="15.75" customHeight="1">
      <c r="A635" s="30"/>
      <c r="B635" s="30"/>
      <c r="C635" s="97"/>
      <c r="D635" s="30"/>
      <c r="E635" s="30"/>
    </row>
    <row r="636" ht="15.75" customHeight="1">
      <c r="A636" s="30"/>
      <c r="B636" s="30"/>
      <c r="C636" s="97"/>
      <c r="D636" s="30"/>
      <c r="E636" s="30"/>
    </row>
    <row r="637" ht="15.75" customHeight="1">
      <c r="A637" s="30"/>
      <c r="B637" s="30"/>
      <c r="C637" s="97"/>
      <c r="D637" s="30"/>
      <c r="E637" s="30"/>
    </row>
    <row r="638" ht="15.75" customHeight="1">
      <c r="A638" s="30"/>
      <c r="B638" s="30"/>
      <c r="C638" s="97"/>
      <c r="D638" s="30"/>
      <c r="E638" s="30"/>
    </row>
    <row r="639" ht="15.75" customHeight="1">
      <c r="A639" s="30"/>
      <c r="B639" s="30"/>
      <c r="C639" s="97"/>
      <c r="D639" s="30"/>
      <c r="E639" s="30"/>
    </row>
    <row r="640" ht="15.75" customHeight="1">
      <c r="A640" s="30"/>
      <c r="B640" s="30"/>
      <c r="C640" s="97"/>
      <c r="D640" s="30"/>
      <c r="E640" s="30"/>
    </row>
    <row r="641" ht="15.75" customHeight="1">
      <c r="A641" s="30"/>
      <c r="B641" s="30"/>
      <c r="C641" s="97"/>
      <c r="D641" s="30"/>
      <c r="E641" s="30"/>
    </row>
    <row r="642" ht="15.75" customHeight="1">
      <c r="A642" s="30"/>
      <c r="B642" s="30"/>
      <c r="C642" s="97"/>
      <c r="D642" s="30"/>
      <c r="E642" s="30"/>
    </row>
    <row r="643" ht="15.75" customHeight="1">
      <c r="A643" s="30"/>
      <c r="B643" s="30"/>
      <c r="C643" s="97"/>
      <c r="D643" s="30"/>
      <c r="E643" s="30"/>
    </row>
    <row r="644" ht="15.75" customHeight="1">
      <c r="A644" s="30"/>
      <c r="B644" s="30"/>
      <c r="C644" s="97"/>
      <c r="D644" s="30"/>
      <c r="E644" s="30"/>
    </row>
    <row r="645" ht="15.75" customHeight="1">
      <c r="A645" s="30"/>
      <c r="B645" s="30"/>
      <c r="C645" s="97"/>
      <c r="D645" s="30"/>
      <c r="E645" s="30"/>
    </row>
    <row r="646" ht="15.75" customHeight="1">
      <c r="A646" s="30"/>
      <c r="B646" s="30"/>
      <c r="C646" s="97"/>
      <c r="D646" s="30"/>
      <c r="E646" s="30"/>
    </row>
    <row r="647" ht="15.75" customHeight="1">
      <c r="A647" s="30"/>
      <c r="B647" s="30"/>
      <c r="C647" s="97"/>
      <c r="D647" s="30"/>
      <c r="E647" s="30"/>
    </row>
    <row r="648" ht="15.75" customHeight="1">
      <c r="A648" s="30"/>
      <c r="B648" s="30"/>
      <c r="C648" s="97"/>
      <c r="D648" s="30"/>
      <c r="E648" s="30"/>
    </row>
    <row r="649" ht="15.75" customHeight="1">
      <c r="A649" s="30"/>
      <c r="B649" s="30"/>
      <c r="C649" s="97"/>
      <c r="D649" s="30"/>
      <c r="E649" s="30"/>
    </row>
    <row r="650" ht="15.75" customHeight="1">
      <c r="A650" s="30"/>
      <c r="B650" s="30"/>
      <c r="C650" s="97"/>
      <c r="D650" s="30"/>
      <c r="E650" s="30"/>
    </row>
    <row r="651" ht="15.75" customHeight="1">
      <c r="A651" s="30"/>
      <c r="B651" s="30"/>
      <c r="C651" s="97"/>
      <c r="D651" s="30"/>
      <c r="E651" s="30"/>
    </row>
    <row r="652" ht="15.75" customHeight="1">
      <c r="A652" s="30"/>
      <c r="B652" s="30"/>
      <c r="C652" s="97"/>
      <c r="D652" s="30"/>
      <c r="E652" s="30"/>
    </row>
    <row r="653" ht="15.75" customHeight="1">
      <c r="A653" s="30"/>
      <c r="B653" s="30"/>
      <c r="C653" s="97"/>
      <c r="D653" s="30"/>
      <c r="E653" s="30"/>
    </row>
    <row r="654" ht="15.75" customHeight="1">
      <c r="A654" s="30"/>
      <c r="B654" s="30"/>
      <c r="C654" s="97"/>
      <c r="D654" s="30"/>
      <c r="E654" s="30"/>
    </row>
    <row r="655" ht="15.75" customHeight="1">
      <c r="A655" s="30"/>
      <c r="B655" s="30"/>
      <c r="C655" s="97"/>
      <c r="D655" s="30"/>
      <c r="E655" s="30"/>
    </row>
    <row r="656" ht="15.75" customHeight="1">
      <c r="A656" s="30"/>
      <c r="B656" s="30"/>
      <c r="C656" s="97"/>
      <c r="D656" s="30"/>
      <c r="E656" s="30"/>
    </row>
    <row r="657" ht="15.75" customHeight="1">
      <c r="A657" s="30"/>
      <c r="B657" s="30"/>
      <c r="C657" s="97"/>
      <c r="D657" s="30"/>
      <c r="E657" s="30"/>
    </row>
    <row r="658" ht="15.75" customHeight="1">
      <c r="A658" s="30"/>
      <c r="B658" s="30"/>
      <c r="C658" s="97"/>
      <c r="D658" s="30"/>
      <c r="E658" s="30"/>
    </row>
    <row r="659" ht="15.75" customHeight="1">
      <c r="A659" s="30"/>
      <c r="B659" s="30"/>
      <c r="C659" s="97"/>
      <c r="D659" s="30"/>
      <c r="E659" s="30"/>
    </row>
    <row r="660" ht="15.75" customHeight="1">
      <c r="A660" s="30"/>
      <c r="B660" s="30"/>
      <c r="C660" s="97"/>
      <c r="D660" s="30"/>
      <c r="E660" s="30"/>
    </row>
    <row r="661" ht="15.75" customHeight="1">
      <c r="A661" s="30"/>
      <c r="B661" s="30"/>
      <c r="C661" s="97"/>
      <c r="D661" s="30"/>
      <c r="E661" s="30"/>
    </row>
    <row r="662" ht="15.75" customHeight="1">
      <c r="A662" s="30"/>
      <c r="B662" s="30"/>
      <c r="C662" s="97"/>
      <c r="D662" s="30"/>
      <c r="E662" s="30"/>
    </row>
    <row r="663" ht="15.75" customHeight="1">
      <c r="A663" s="30"/>
      <c r="B663" s="30"/>
      <c r="C663" s="97"/>
      <c r="D663" s="30"/>
      <c r="E663" s="30"/>
    </row>
    <row r="664" ht="15.75" customHeight="1">
      <c r="A664" s="30"/>
      <c r="B664" s="30"/>
      <c r="C664" s="97"/>
      <c r="D664" s="30"/>
      <c r="E664" s="30"/>
    </row>
    <row r="665" ht="15.75" customHeight="1">
      <c r="A665" s="30"/>
      <c r="B665" s="30"/>
      <c r="C665" s="97"/>
      <c r="D665" s="30"/>
      <c r="E665" s="30"/>
    </row>
    <row r="666" ht="15.75" customHeight="1">
      <c r="A666" s="30"/>
      <c r="B666" s="30"/>
      <c r="C666" s="97"/>
      <c r="D666" s="30"/>
      <c r="E666" s="30"/>
    </row>
    <row r="667" ht="15.75" customHeight="1">
      <c r="A667" s="30"/>
      <c r="B667" s="30"/>
      <c r="C667" s="97"/>
      <c r="D667" s="30"/>
      <c r="E667" s="30"/>
    </row>
    <row r="668" ht="15.75" customHeight="1">
      <c r="A668" s="30"/>
      <c r="B668" s="30"/>
      <c r="C668" s="97"/>
      <c r="D668" s="30"/>
      <c r="E668" s="30"/>
    </row>
    <row r="669" ht="15.75" customHeight="1">
      <c r="A669" s="30"/>
      <c r="B669" s="30"/>
      <c r="C669" s="97"/>
      <c r="D669" s="30"/>
      <c r="E669" s="30"/>
    </row>
    <row r="670" ht="15.75" customHeight="1">
      <c r="A670" s="30"/>
      <c r="B670" s="30"/>
      <c r="C670" s="97"/>
      <c r="D670" s="30"/>
      <c r="E670" s="30"/>
    </row>
    <row r="671" ht="15.75" customHeight="1">
      <c r="A671" s="30"/>
      <c r="B671" s="30"/>
      <c r="C671" s="97"/>
      <c r="D671" s="30"/>
      <c r="E671" s="30"/>
    </row>
    <row r="672" ht="15.75" customHeight="1">
      <c r="A672" s="30"/>
      <c r="B672" s="30"/>
      <c r="C672" s="97"/>
      <c r="D672" s="30"/>
      <c r="E672" s="30"/>
    </row>
    <row r="673" ht="15.75" customHeight="1">
      <c r="A673" s="30"/>
      <c r="B673" s="30"/>
      <c r="C673" s="97"/>
      <c r="D673" s="30"/>
      <c r="E673" s="30"/>
    </row>
    <row r="674" ht="15.75" customHeight="1">
      <c r="A674" s="30"/>
      <c r="B674" s="30"/>
      <c r="C674" s="97"/>
      <c r="D674" s="30"/>
      <c r="E674" s="30"/>
    </row>
    <row r="675" ht="15.75" customHeight="1">
      <c r="A675" s="30"/>
      <c r="B675" s="30"/>
      <c r="C675" s="97"/>
      <c r="D675" s="30"/>
      <c r="E675" s="30"/>
    </row>
    <row r="676" ht="15.75" customHeight="1">
      <c r="A676" s="30"/>
      <c r="B676" s="30"/>
      <c r="C676" s="97"/>
      <c r="D676" s="30"/>
      <c r="E676" s="30"/>
    </row>
    <row r="677" ht="15.75" customHeight="1">
      <c r="A677" s="30"/>
      <c r="B677" s="30"/>
      <c r="C677" s="97"/>
      <c r="D677" s="30"/>
      <c r="E677" s="30"/>
    </row>
    <row r="678" ht="15.75" customHeight="1">
      <c r="A678" s="30"/>
      <c r="B678" s="30"/>
      <c r="C678" s="97"/>
      <c r="D678" s="30"/>
      <c r="E678" s="30"/>
    </row>
    <row r="679" ht="15.75" customHeight="1">
      <c r="A679" s="30"/>
      <c r="B679" s="30"/>
      <c r="C679" s="97"/>
      <c r="D679" s="30"/>
      <c r="E679" s="30"/>
    </row>
    <row r="680" ht="15.75" customHeight="1">
      <c r="A680" s="30"/>
      <c r="B680" s="30"/>
      <c r="C680" s="97"/>
      <c r="D680" s="30"/>
      <c r="E680" s="30"/>
    </row>
    <row r="681" ht="15.75" customHeight="1">
      <c r="A681" s="30"/>
      <c r="B681" s="30"/>
      <c r="C681" s="97"/>
      <c r="D681" s="30"/>
      <c r="E681" s="30"/>
    </row>
    <row r="682" ht="15.75" customHeight="1">
      <c r="A682" s="30"/>
      <c r="B682" s="30"/>
      <c r="C682" s="97"/>
      <c r="D682" s="30"/>
      <c r="E682" s="30"/>
    </row>
    <row r="683" ht="15.75" customHeight="1">
      <c r="A683" s="30"/>
      <c r="B683" s="30"/>
      <c r="C683" s="97"/>
      <c r="D683" s="30"/>
      <c r="E683" s="30"/>
    </row>
    <row r="684" ht="15.75" customHeight="1">
      <c r="A684" s="30"/>
      <c r="B684" s="30"/>
      <c r="C684" s="97"/>
      <c r="D684" s="30"/>
      <c r="E684" s="30"/>
    </row>
    <row r="685" ht="15.75" customHeight="1">
      <c r="A685" s="30"/>
      <c r="B685" s="30"/>
      <c r="C685" s="97"/>
      <c r="D685" s="30"/>
      <c r="E685" s="30"/>
    </row>
    <row r="686" ht="15.75" customHeight="1">
      <c r="A686" s="30"/>
      <c r="B686" s="30"/>
      <c r="C686" s="97"/>
      <c r="D686" s="30"/>
      <c r="E686" s="30"/>
    </row>
    <row r="687" ht="15.75" customHeight="1">
      <c r="A687" s="30"/>
      <c r="B687" s="30"/>
      <c r="C687" s="97"/>
      <c r="D687" s="30"/>
      <c r="E687" s="30"/>
    </row>
    <row r="688" ht="15.75" customHeight="1">
      <c r="A688" s="30"/>
      <c r="B688" s="30"/>
      <c r="C688" s="97"/>
      <c r="D688" s="30"/>
      <c r="E688" s="30"/>
    </row>
    <row r="689" ht="15.75" customHeight="1">
      <c r="A689" s="30"/>
      <c r="B689" s="30"/>
      <c r="C689" s="97"/>
      <c r="D689" s="30"/>
      <c r="E689" s="30"/>
    </row>
    <row r="690" ht="15.75" customHeight="1">
      <c r="A690" s="30"/>
      <c r="B690" s="30"/>
      <c r="C690" s="97"/>
      <c r="D690" s="30"/>
      <c r="E690" s="30"/>
    </row>
    <row r="691" ht="15.75" customHeight="1">
      <c r="A691" s="30"/>
      <c r="B691" s="30"/>
      <c r="C691" s="97"/>
      <c r="D691" s="30"/>
      <c r="E691" s="30"/>
    </row>
    <row r="692" ht="15.75" customHeight="1">
      <c r="A692" s="30"/>
      <c r="B692" s="30"/>
      <c r="C692" s="97"/>
      <c r="D692" s="30"/>
      <c r="E692" s="30"/>
    </row>
    <row r="693" ht="15.75" customHeight="1">
      <c r="A693" s="30"/>
      <c r="B693" s="30"/>
      <c r="C693" s="97"/>
      <c r="D693" s="30"/>
      <c r="E693" s="30"/>
    </row>
    <row r="694" ht="15.75" customHeight="1">
      <c r="A694" s="30"/>
      <c r="B694" s="30"/>
      <c r="C694" s="97"/>
      <c r="D694" s="30"/>
      <c r="E694" s="30"/>
    </row>
    <row r="695" ht="15.75" customHeight="1">
      <c r="A695" s="30"/>
      <c r="B695" s="30"/>
      <c r="C695" s="97"/>
      <c r="D695" s="30"/>
      <c r="E695" s="30"/>
    </row>
    <row r="696" ht="15.75" customHeight="1">
      <c r="A696" s="30"/>
      <c r="B696" s="30"/>
      <c r="C696" s="97"/>
      <c r="D696" s="30"/>
      <c r="E696" s="30"/>
    </row>
    <row r="697" ht="15.75" customHeight="1">
      <c r="A697" s="30"/>
      <c r="B697" s="30"/>
      <c r="C697" s="97"/>
      <c r="D697" s="30"/>
      <c r="E697" s="30"/>
    </row>
    <row r="698" ht="15.75" customHeight="1">
      <c r="A698" s="30"/>
      <c r="B698" s="30"/>
      <c r="C698" s="97"/>
      <c r="D698" s="30"/>
      <c r="E698" s="30"/>
    </row>
    <row r="699" ht="15.75" customHeight="1">
      <c r="A699" s="30"/>
      <c r="B699" s="30"/>
      <c r="C699" s="97"/>
      <c r="D699" s="30"/>
      <c r="E699" s="30"/>
    </row>
    <row r="700" ht="15.75" customHeight="1">
      <c r="A700" s="30"/>
      <c r="B700" s="30"/>
      <c r="C700" s="97"/>
      <c r="D700" s="30"/>
      <c r="E700" s="30"/>
    </row>
    <row r="701" ht="15.75" customHeight="1">
      <c r="A701" s="30"/>
      <c r="B701" s="30"/>
      <c r="C701" s="97"/>
      <c r="D701" s="30"/>
      <c r="E701" s="30"/>
    </row>
    <row r="702" ht="15.75" customHeight="1">
      <c r="A702" s="30"/>
      <c r="B702" s="30"/>
      <c r="C702" s="97"/>
      <c r="D702" s="30"/>
      <c r="E702" s="30"/>
    </row>
    <row r="703" ht="15.75" customHeight="1">
      <c r="A703" s="30"/>
      <c r="B703" s="30"/>
      <c r="C703" s="97"/>
      <c r="D703" s="30"/>
      <c r="E703" s="30"/>
    </row>
    <row r="704" ht="15.75" customHeight="1">
      <c r="A704" s="30"/>
      <c r="B704" s="30"/>
      <c r="C704" s="97"/>
      <c r="D704" s="30"/>
      <c r="E704" s="30"/>
    </row>
    <row r="705" ht="15.75" customHeight="1">
      <c r="A705" s="30"/>
      <c r="B705" s="30"/>
      <c r="C705" s="97"/>
      <c r="D705" s="30"/>
      <c r="E705" s="30"/>
    </row>
    <row r="706" ht="15.75" customHeight="1">
      <c r="A706" s="30"/>
      <c r="B706" s="30"/>
      <c r="C706" s="97"/>
      <c r="D706" s="30"/>
      <c r="E706" s="30"/>
    </row>
    <row r="707" ht="15.75" customHeight="1">
      <c r="A707" s="30"/>
      <c r="B707" s="30"/>
      <c r="C707" s="97"/>
      <c r="D707" s="30"/>
      <c r="E707" s="30"/>
    </row>
    <row r="708" ht="15.75" customHeight="1">
      <c r="A708" s="30"/>
      <c r="B708" s="30"/>
      <c r="C708" s="97"/>
      <c r="D708" s="30"/>
      <c r="E708" s="30"/>
    </row>
    <row r="709" ht="15.75" customHeight="1">
      <c r="A709" s="30"/>
      <c r="B709" s="30"/>
      <c r="C709" s="97"/>
      <c r="D709" s="30"/>
      <c r="E709" s="30"/>
    </row>
    <row r="710" ht="15.75" customHeight="1">
      <c r="A710" s="30"/>
      <c r="B710" s="30"/>
      <c r="C710" s="97"/>
      <c r="D710" s="30"/>
      <c r="E710" s="30"/>
    </row>
    <row r="711" ht="15.75" customHeight="1">
      <c r="A711" s="30"/>
      <c r="B711" s="30"/>
      <c r="C711" s="97"/>
      <c r="D711" s="30"/>
      <c r="E711" s="30"/>
    </row>
    <row r="712" ht="15.75" customHeight="1">
      <c r="A712" s="30"/>
      <c r="B712" s="30"/>
      <c r="C712" s="97"/>
      <c r="D712" s="30"/>
      <c r="E712" s="30"/>
    </row>
    <row r="713" ht="15.75" customHeight="1">
      <c r="A713" s="30"/>
      <c r="B713" s="30"/>
      <c r="C713" s="97"/>
      <c r="D713" s="30"/>
      <c r="E713" s="30"/>
    </row>
    <row r="714" ht="15.75" customHeight="1">
      <c r="A714" s="30"/>
      <c r="B714" s="30"/>
      <c r="C714" s="97"/>
      <c r="D714" s="30"/>
      <c r="E714" s="30"/>
    </row>
    <row r="715" ht="15.75" customHeight="1">
      <c r="A715" s="30"/>
      <c r="B715" s="30"/>
      <c r="C715" s="97"/>
      <c r="D715" s="30"/>
      <c r="E715" s="30"/>
    </row>
    <row r="716" ht="15.75" customHeight="1">
      <c r="A716" s="30"/>
      <c r="B716" s="30"/>
      <c r="C716" s="97"/>
      <c r="D716" s="30"/>
      <c r="E716" s="30"/>
    </row>
    <row r="717" ht="15.75" customHeight="1">
      <c r="A717" s="30"/>
      <c r="B717" s="30"/>
      <c r="C717" s="97"/>
      <c r="D717" s="30"/>
      <c r="E717" s="30"/>
    </row>
    <row r="718" ht="15.75" customHeight="1">
      <c r="A718" s="30"/>
      <c r="B718" s="30"/>
      <c r="C718" s="97"/>
      <c r="D718" s="30"/>
      <c r="E718" s="30"/>
    </row>
    <row r="719" ht="15.75" customHeight="1">
      <c r="A719" s="30"/>
      <c r="B719" s="30"/>
      <c r="C719" s="97"/>
      <c r="D719" s="30"/>
      <c r="E719" s="30"/>
    </row>
    <row r="720" ht="15.75" customHeight="1">
      <c r="A720" s="30"/>
      <c r="B720" s="30"/>
      <c r="C720" s="97"/>
      <c r="D720" s="30"/>
      <c r="E720" s="30"/>
    </row>
    <row r="721" ht="15.75" customHeight="1">
      <c r="A721" s="30"/>
      <c r="B721" s="30"/>
      <c r="C721" s="97"/>
      <c r="D721" s="30"/>
      <c r="E721" s="30"/>
    </row>
    <row r="722" ht="15.75" customHeight="1">
      <c r="A722" s="30"/>
      <c r="B722" s="30"/>
      <c r="C722" s="97"/>
      <c r="D722" s="30"/>
      <c r="E722" s="30"/>
    </row>
    <row r="723" ht="15.75" customHeight="1">
      <c r="A723" s="30"/>
      <c r="B723" s="30"/>
      <c r="C723" s="97"/>
      <c r="D723" s="30"/>
      <c r="E723" s="30"/>
    </row>
    <row r="724" ht="15.75" customHeight="1">
      <c r="A724" s="30"/>
      <c r="B724" s="30"/>
      <c r="C724" s="97"/>
      <c r="D724" s="30"/>
      <c r="E724" s="30"/>
    </row>
    <row r="725" ht="15.75" customHeight="1">
      <c r="A725" s="30"/>
      <c r="B725" s="30"/>
      <c r="C725" s="97"/>
      <c r="D725" s="30"/>
      <c r="E725" s="30"/>
    </row>
    <row r="726" ht="15.75" customHeight="1">
      <c r="A726" s="30"/>
      <c r="B726" s="30"/>
      <c r="C726" s="97"/>
      <c r="D726" s="30"/>
      <c r="E726" s="30"/>
    </row>
    <row r="727" ht="15.75" customHeight="1">
      <c r="A727" s="30"/>
      <c r="B727" s="30"/>
      <c r="C727" s="97"/>
      <c r="D727" s="30"/>
      <c r="E727" s="30"/>
    </row>
    <row r="728" ht="15.75" customHeight="1">
      <c r="A728" s="30"/>
      <c r="B728" s="30"/>
      <c r="C728" s="97"/>
      <c r="D728" s="30"/>
      <c r="E728" s="30"/>
    </row>
    <row r="729" ht="15.75" customHeight="1">
      <c r="A729" s="30"/>
      <c r="B729" s="30"/>
      <c r="C729" s="97"/>
      <c r="D729" s="30"/>
      <c r="E729" s="30"/>
    </row>
    <row r="730" ht="15.75" customHeight="1">
      <c r="A730" s="30"/>
      <c r="B730" s="30"/>
      <c r="C730" s="97"/>
      <c r="D730" s="30"/>
      <c r="E730" s="30"/>
    </row>
    <row r="731" ht="15.75" customHeight="1">
      <c r="A731" s="30"/>
      <c r="B731" s="30"/>
      <c r="C731" s="97"/>
      <c r="D731" s="30"/>
      <c r="E731" s="30"/>
    </row>
    <row r="732" ht="15.75" customHeight="1">
      <c r="A732" s="30"/>
      <c r="B732" s="30"/>
      <c r="C732" s="97"/>
      <c r="D732" s="30"/>
      <c r="E732" s="30"/>
    </row>
    <row r="733" ht="15.75" customHeight="1">
      <c r="A733" s="30"/>
      <c r="B733" s="30"/>
      <c r="C733" s="97"/>
      <c r="D733" s="30"/>
      <c r="E733" s="30"/>
    </row>
    <row r="734" ht="15.75" customHeight="1">
      <c r="A734" s="30"/>
      <c r="B734" s="30"/>
      <c r="C734" s="97"/>
      <c r="D734" s="30"/>
      <c r="E734" s="30"/>
    </row>
    <row r="735" ht="15.75" customHeight="1">
      <c r="A735" s="30"/>
      <c r="B735" s="30"/>
      <c r="C735" s="97"/>
      <c r="D735" s="30"/>
      <c r="E735" s="30"/>
    </row>
    <row r="736" ht="15.75" customHeight="1">
      <c r="A736" s="30"/>
      <c r="B736" s="30"/>
      <c r="C736" s="97"/>
      <c r="D736" s="30"/>
      <c r="E736" s="30"/>
    </row>
    <row r="737" ht="15.75" customHeight="1">
      <c r="A737" s="30"/>
      <c r="B737" s="30"/>
      <c r="C737" s="97"/>
      <c r="D737" s="30"/>
      <c r="E737" s="30"/>
    </row>
    <row r="738" ht="15.75" customHeight="1">
      <c r="A738" s="30"/>
      <c r="B738" s="30"/>
      <c r="C738" s="97"/>
      <c r="D738" s="30"/>
      <c r="E738" s="30"/>
    </row>
    <row r="739" ht="15.75" customHeight="1">
      <c r="A739" s="30"/>
      <c r="B739" s="30"/>
      <c r="C739" s="97"/>
      <c r="D739" s="30"/>
      <c r="E739" s="30"/>
    </row>
    <row r="740" ht="15.75" customHeight="1">
      <c r="A740" s="30"/>
      <c r="B740" s="30"/>
      <c r="C740" s="97"/>
      <c r="D740" s="30"/>
      <c r="E740" s="30"/>
    </row>
    <row r="741" ht="15.75" customHeight="1">
      <c r="A741" s="30"/>
      <c r="B741" s="30"/>
      <c r="C741" s="97"/>
      <c r="D741" s="30"/>
      <c r="E741" s="30"/>
    </row>
    <row r="742" ht="15.75" customHeight="1">
      <c r="A742" s="30"/>
      <c r="B742" s="30"/>
      <c r="C742" s="97"/>
      <c r="D742" s="30"/>
      <c r="E742" s="30"/>
    </row>
    <row r="743" ht="15.75" customHeight="1">
      <c r="A743" s="30"/>
      <c r="B743" s="30"/>
      <c r="C743" s="97"/>
      <c r="D743" s="30"/>
      <c r="E743" s="30"/>
    </row>
    <row r="744" ht="15.75" customHeight="1">
      <c r="A744" s="30"/>
      <c r="B744" s="30"/>
      <c r="C744" s="97"/>
      <c r="D744" s="30"/>
      <c r="E744" s="30"/>
    </row>
    <row r="745" ht="15.75" customHeight="1">
      <c r="A745" s="30"/>
      <c r="B745" s="30"/>
      <c r="C745" s="97"/>
      <c r="D745" s="30"/>
      <c r="E745" s="30"/>
    </row>
    <row r="746" ht="15.75" customHeight="1">
      <c r="A746" s="30"/>
      <c r="B746" s="30"/>
      <c r="C746" s="97"/>
      <c r="D746" s="30"/>
      <c r="E746" s="30"/>
    </row>
    <row r="747" ht="15.75" customHeight="1">
      <c r="A747" s="30"/>
      <c r="B747" s="30"/>
      <c r="C747" s="97"/>
      <c r="D747" s="30"/>
      <c r="E747" s="30"/>
    </row>
    <row r="748" ht="15.75" customHeight="1">
      <c r="A748" s="30"/>
      <c r="B748" s="30"/>
      <c r="C748" s="97"/>
      <c r="D748" s="30"/>
      <c r="E748" s="30"/>
    </row>
    <row r="749" ht="15.75" customHeight="1">
      <c r="A749" s="30"/>
      <c r="B749" s="30"/>
      <c r="C749" s="97"/>
      <c r="D749" s="30"/>
      <c r="E749" s="30"/>
    </row>
    <row r="750" ht="15.75" customHeight="1">
      <c r="A750" s="30"/>
      <c r="B750" s="30"/>
      <c r="C750" s="97"/>
      <c r="D750" s="30"/>
      <c r="E750" s="30"/>
    </row>
    <row r="751" ht="15.75" customHeight="1">
      <c r="A751" s="30"/>
      <c r="B751" s="30"/>
      <c r="C751" s="97"/>
      <c r="D751" s="30"/>
      <c r="E751" s="30"/>
    </row>
    <row r="752" ht="15.75" customHeight="1">
      <c r="A752" s="30"/>
      <c r="B752" s="30"/>
      <c r="C752" s="97"/>
      <c r="D752" s="30"/>
      <c r="E752" s="30"/>
    </row>
    <row r="753" ht="15.75" customHeight="1">
      <c r="A753" s="30"/>
      <c r="B753" s="30"/>
      <c r="C753" s="97"/>
      <c r="D753" s="30"/>
      <c r="E753" s="30"/>
    </row>
    <row r="754" ht="15.75" customHeight="1">
      <c r="A754" s="30"/>
      <c r="B754" s="30"/>
      <c r="C754" s="97"/>
      <c r="D754" s="30"/>
      <c r="E754" s="30"/>
    </row>
    <row r="755" ht="15.75" customHeight="1">
      <c r="A755" s="30"/>
      <c r="B755" s="30"/>
      <c r="C755" s="97"/>
      <c r="D755" s="30"/>
      <c r="E755" s="30"/>
    </row>
    <row r="756" ht="15.75" customHeight="1">
      <c r="A756" s="30"/>
      <c r="B756" s="30"/>
      <c r="C756" s="97"/>
      <c r="D756" s="30"/>
      <c r="E756" s="30"/>
    </row>
    <row r="757" ht="15.75" customHeight="1">
      <c r="A757" s="30"/>
      <c r="B757" s="30"/>
      <c r="C757" s="97"/>
      <c r="D757" s="30"/>
      <c r="E757" s="30"/>
    </row>
    <row r="758" ht="15.75" customHeight="1">
      <c r="A758" s="30"/>
      <c r="B758" s="30"/>
      <c r="C758" s="97"/>
      <c r="D758" s="30"/>
      <c r="E758" s="30"/>
    </row>
    <row r="759" ht="15.75" customHeight="1">
      <c r="A759" s="30"/>
      <c r="B759" s="30"/>
      <c r="C759" s="97"/>
      <c r="D759" s="30"/>
      <c r="E759" s="30"/>
    </row>
    <row r="760" ht="15.75" customHeight="1">
      <c r="A760" s="30"/>
      <c r="B760" s="30"/>
      <c r="C760" s="97"/>
      <c r="D760" s="30"/>
      <c r="E760" s="30"/>
    </row>
    <row r="761" ht="15.75" customHeight="1">
      <c r="A761" s="30"/>
      <c r="B761" s="30"/>
      <c r="C761" s="97"/>
      <c r="D761" s="30"/>
      <c r="E761" s="30"/>
    </row>
    <row r="762" ht="15.75" customHeight="1">
      <c r="A762" s="30"/>
      <c r="B762" s="30"/>
      <c r="C762" s="97"/>
      <c r="D762" s="30"/>
      <c r="E762" s="30"/>
    </row>
    <row r="763" ht="15.75" customHeight="1">
      <c r="A763" s="30"/>
      <c r="B763" s="30"/>
      <c r="C763" s="97"/>
      <c r="D763" s="30"/>
      <c r="E763" s="30"/>
    </row>
    <row r="764" ht="15.75" customHeight="1">
      <c r="A764" s="30"/>
      <c r="B764" s="30"/>
      <c r="C764" s="97"/>
      <c r="D764" s="30"/>
      <c r="E764" s="30"/>
    </row>
    <row r="765" ht="15.75" customHeight="1">
      <c r="A765" s="30"/>
      <c r="B765" s="30"/>
      <c r="C765" s="97"/>
      <c r="D765" s="30"/>
      <c r="E765" s="30"/>
    </row>
    <row r="766" ht="15.75" customHeight="1">
      <c r="A766" s="30"/>
      <c r="B766" s="30"/>
      <c r="C766" s="97"/>
      <c r="D766" s="30"/>
      <c r="E766" s="30"/>
    </row>
    <row r="767" ht="15.75" customHeight="1">
      <c r="A767" s="30"/>
      <c r="B767" s="30"/>
      <c r="C767" s="97"/>
      <c r="D767" s="30"/>
      <c r="E767" s="30"/>
    </row>
    <row r="768" ht="15.75" customHeight="1">
      <c r="A768" s="30"/>
      <c r="B768" s="30"/>
      <c r="C768" s="97"/>
      <c r="D768" s="30"/>
      <c r="E768" s="30"/>
    </row>
    <row r="769" ht="15.75" customHeight="1">
      <c r="A769" s="30"/>
      <c r="B769" s="30"/>
      <c r="C769" s="97"/>
      <c r="D769" s="30"/>
      <c r="E769" s="30"/>
    </row>
    <row r="770" ht="15.75" customHeight="1">
      <c r="A770" s="30"/>
      <c r="B770" s="30"/>
      <c r="C770" s="97"/>
      <c r="D770" s="30"/>
      <c r="E770" s="30"/>
    </row>
    <row r="771" ht="15.75" customHeight="1">
      <c r="A771" s="30"/>
      <c r="B771" s="30"/>
      <c r="C771" s="97"/>
      <c r="D771" s="30"/>
      <c r="E771" s="30"/>
    </row>
    <row r="772" ht="15.75" customHeight="1">
      <c r="A772" s="30"/>
      <c r="B772" s="30"/>
      <c r="C772" s="97"/>
      <c r="D772" s="30"/>
      <c r="E772" s="30"/>
    </row>
    <row r="773" ht="15.75" customHeight="1">
      <c r="A773" s="30"/>
      <c r="B773" s="30"/>
      <c r="C773" s="97"/>
      <c r="D773" s="30"/>
      <c r="E773" s="30"/>
    </row>
    <row r="774" ht="15.75" customHeight="1">
      <c r="A774" s="30"/>
      <c r="B774" s="30"/>
      <c r="C774" s="97"/>
      <c r="D774" s="30"/>
      <c r="E774" s="30"/>
    </row>
    <row r="775" ht="15.75" customHeight="1">
      <c r="A775" s="30"/>
      <c r="B775" s="30"/>
      <c r="C775" s="97"/>
      <c r="D775" s="30"/>
      <c r="E775" s="30"/>
    </row>
    <row r="776" ht="15.75" customHeight="1">
      <c r="A776" s="30"/>
      <c r="B776" s="30"/>
      <c r="C776" s="97"/>
      <c r="D776" s="30"/>
      <c r="E776" s="30"/>
    </row>
    <row r="777" ht="15.75" customHeight="1">
      <c r="A777" s="30"/>
      <c r="B777" s="30"/>
      <c r="C777" s="97"/>
      <c r="D777" s="30"/>
      <c r="E777" s="30"/>
    </row>
    <row r="778" ht="15.75" customHeight="1">
      <c r="A778" s="30"/>
      <c r="B778" s="30"/>
      <c r="C778" s="97"/>
      <c r="D778" s="30"/>
      <c r="E778" s="30"/>
    </row>
    <row r="779" ht="15.75" customHeight="1">
      <c r="A779" s="30"/>
      <c r="B779" s="30"/>
      <c r="C779" s="97"/>
      <c r="D779" s="30"/>
      <c r="E779" s="30"/>
    </row>
    <row r="780" ht="15.75" customHeight="1">
      <c r="A780" s="30"/>
      <c r="B780" s="30"/>
      <c r="C780" s="97"/>
      <c r="D780" s="30"/>
      <c r="E780" s="30"/>
    </row>
    <row r="781" ht="15.75" customHeight="1">
      <c r="A781" s="30"/>
      <c r="B781" s="30"/>
      <c r="C781" s="97"/>
      <c r="D781" s="30"/>
      <c r="E781" s="30"/>
    </row>
    <row r="782" ht="15.75" customHeight="1">
      <c r="A782" s="30"/>
      <c r="B782" s="30"/>
      <c r="C782" s="97"/>
      <c r="D782" s="30"/>
      <c r="E782" s="30"/>
    </row>
    <row r="783" ht="15.75" customHeight="1">
      <c r="A783" s="30"/>
      <c r="B783" s="30"/>
      <c r="C783" s="97"/>
      <c r="D783" s="30"/>
      <c r="E783" s="30"/>
    </row>
    <row r="784" ht="15.75" customHeight="1">
      <c r="A784" s="30"/>
      <c r="B784" s="30"/>
      <c r="C784" s="97"/>
      <c r="D784" s="30"/>
      <c r="E784" s="30"/>
    </row>
    <row r="785" ht="15.75" customHeight="1">
      <c r="A785" s="30"/>
      <c r="B785" s="30"/>
      <c r="C785" s="97"/>
      <c r="D785" s="30"/>
      <c r="E785" s="30"/>
    </row>
    <row r="786" ht="15.75" customHeight="1">
      <c r="A786" s="30"/>
      <c r="B786" s="30"/>
      <c r="C786" s="97"/>
      <c r="D786" s="30"/>
      <c r="E786" s="30"/>
    </row>
    <row r="787" ht="15.75" customHeight="1">
      <c r="A787" s="30"/>
      <c r="B787" s="30"/>
      <c r="C787" s="97"/>
      <c r="D787" s="30"/>
      <c r="E787" s="30"/>
    </row>
    <row r="788" ht="15.75" customHeight="1">
      <c r="A788" s="30"/>
      <c r="B788" s="30"/>
      <c r="C788" s="97"/>
      <c r="D788" s="30"/>
      <c r="E788" s="30"/>
    </row>
    <row r="789" ht="15.75" customHeight="1">
      <c r="A789" s="30"/>
      <c r="B789" s="30"/>
      <c r="C789" s="97"/>
      <c r="D789" s="30"/>
      <c r="E789" s="30"/>
    </row>
    <row r="790" ht="15.75" customHeight="1">
      <c r="A790" s="30"/>
      <c r="B790" s="30"/>
      <c r="C790" s="97"/>
      <c r="D790" s="30"/>
      <c r="E790" s="30"/>
    </row>
    <row r="791" ht="15.75" customHeight="1">
      <c r="A791" s="30"/>
      <c r="B791" s="30"/>
      <c r="C791" s="97"/>
      <c r="D791" s="30"/>
      <c r="E791" s="30"/>
    </row>
    <row r="792" ht="15.75" customHeight="1">
      <c r="A792" s="30"/>
      <c r="B792" s="30"/>
      <c r="C792" s="97"/>
      <c r="D792" s="30"/>
      <c r="E792" s="30"/>
    </row>
    <row r="793" ht="15.75" customHeight="1">
      <c r="A793" s="30"/>
      <c r="B793" s="30"/>
      <c r="C793" s="97"/>
      <c r="D793" s="30"/>
      <c r="E793" s="30"/>
    </row>
    <row r="794" ht="15.75" customHeight="1">
      <c r="A794" s="30"/>
      <c r="B794" s="30"/>
      <c r="C794" s="97"/>
      <c r="D794" s="30"/>
      <c r="E794" s="30"/>
    </row>
    <row r="795" ht="15.75" customHeight="1">
      <c r="A795" s="30"/>
      <c r="B795" s="30"/>
      <c r="C795" s="97"/>
      <c r="D795" s="30"/>
      <c r="E795" s="30"/>
    </row>
    <row r="796" ht="15.75" customHeight="1">
      <c r="A796" s="30"/>
      <c r="B796" s="30"/>
      <c r="C796" s="97"/>
      <c r="D796" s="30"/>
      <c r="E796" s="30"/>
    </row>
    <row r="797" ht="15.75" customHeight="1">
      <c r="A797" s="30"/>
      <c r="B797" s="30"/>
      <c r="C797" s="97"/>
      <c r="D797" s="30"/>
      <c r="E797" s="30"/>
    </row>
    <row r="798" ht="15.75" customHeight="1">
      <c r="A798" s="30"/>
      <c r="B798" s="30"/>
      <c r="C798" s="97"/>
      <c r="D798" s="30"/>
      <c r="E798" s="30"/>
    </row>
    <row r="799" ht="15.75" customHeight="1">
      <c r="A799" s="30"/>
      <c r="B799" s="30"/>
      <c r="C799" s="97"/>
      <c r="D799" s="30"/>
      <c r="E799" s="30"/>
    </row>
    <row r="800" ht="15.75" customHeight="1">
      <c r="A800" s="30"/>
      <c r="B800" s="30"/>
      <c r="C800" s="97"/>
      <c r="D800" s="30"/>
      <c r="E800" s="30"/>
    </row>
    <row r="801" ht="15.75" customHeight="1">
      <c r="A801" s="30"/>
      <c r="B801" s="30"/>
      <c r="C801" s="97"/>
      <c r="D801" s="30"/>
      <c r="E801" s="30"/>
    </row>
    <row r="802" ht="15.75" customHeight="1">
      <c r="A802" s="30"/>
      <c r="B802" s="30"/>
      <c r="C802" s="97"/>
      <c r="D802" s="30"/>
      <c r="E802" s="30"/>
    </row>
    <row r="803" ht="15.75" customHeight="1">
      <c r="A803" s="30"/>
      <c r="B803" s="30"/>
      <c r="C803" s="97"/>
      <c r="D803" s="30"/>
      <c r="E803" s="30"/>
    </row>
    <row r="804" ht="15.75" customHeight="1">
      <c r="A804" s="30"/>
      <c r="B804" s="30"/>
      <c r="C804" s="97"/>
      <c r="D804" s="30"/>
      <c r="E804" s="30"/>
    </row>
    <row r="805" ht="15.75" customHeight="1">
      <c r="A805" s="30"/>
      <c r="B805" s="30"/>
      <c r="C805" s="97"/>
      <c r="D805" s="30"/>
      <c r="E805" s="30"/>
    </row>
    <row r="806" ht="15.75" customHeight="1">
      <c r="A806" s="30"/>
      <c r="B806" s="30"/>
      <c r="C806" s="97"/>
      <c r="D806" s="30"/>
      <c r="E806" s="30"/>
    </row>
    <row r="807" ht="15.75" customHeight="1">
      <c r="A807" s="30"/>
      <c r="B807" s="30"/>
      <c r="C807" s="97"/>
      <c r="D807" s="30"/>
      <c r="E807" s="30"/>
    </row>
    <row r="808" ht="15.75" customHeight="1">
      <c r="A808" s="30"/>
      <c r="B808" s="30"/>
      <c r="C808" s="97"/>
      <c r="D808" s="30"/>
      <c r="E808" s="30"/>
    </row>
    <row r="809" ht="15.75" customHeight="1">
      <c r="A809" s="30"/>
      <c r="B809" s="30"/>
      <c r="C809" s="97"/>
      <c r="D809" s="30"/>
      <c r="E809" s="30"/>
    </row>
    <row r="810" ht="15.75" customHeight="1">
      <c r="A810" s="30"/>
      <c r="B810" s="30"/>
      <c r="C810" s="97"/>
      <c r="D810" s="30"/>
      <c r="E810" s="30"/>
    </row>
    <row r="811" ht="15.75" customHeight="1">
      <c r="A811" s="30"/>
      <c r="B811" s="30"/>
      <c r="C811" s="97"/>
      <c r="D811" s="30"/>
      <c r="E811" s="30"/>
    </row>
    <row r="812" ht="15.75" customHeight="1">
      <c r="A812" s="30"/>
      <c r="B812" s="30"/>
      <c r="C812" s="97"/>
      <c r="D812" s="30"/>
      <c r="E812" s="30"/>
    </row>
    <row r="813" ht="15.75" customHeight="1">
      <c r="A813" s="30"/>
      <c r="B813" s="30"/>
      <c r="C813" s="97"/>
      <c r="D813" s="30"/>
      <c r="E813" s="30"/>
    </row>
    <row r="814" ht="15.75" customHeight="1">
      <c r="A814" s="30"/>
      <c r="B814" s="30"/>
      <c r="C814" s="97"/>
      <c r="D814" s="30"/>
      <c r="E814" s="30"/>
    </row>
    <row r="815" ht="15.75" customHeight="1">
      <c r="A815" s="30"/>
      <c r="B815" s="30"/>
      <c r="C815" s="97"/>
      <c r="D815" s="30"/>
      <c r="E815" s="30"/>
    </row>
    <row r="816" ht="15.75" customHeight="1">
      <c r="A816" s="30"/>
      <c r="B816" s="30"/>
      <c r="C816" s="97"/>
      <c r="D816" s="30"/>
      <c r="E816" s="30"/>
    </row>
    <row r="817" ht="15.75" customHeight="1">
      <c r="A817" s="30"/>
      <c r="B817" s="30"/>
      <c r="C817" s="97"/>
      <c r="D817" s="30"/>
      <c r="E817" s="30"/>
    </row>
    <row r="818" ht="15.75" customHeight="1">
      <c r="A818" s="30"/>
      <c r="B818" s="30"/>
      <c r="C818" s="97"/>
      <c r="D818" s="30"/>
      <c r="E818" s="30"/>
    </row>
    <row r="819" ht="15.75" customHeight="1">
      <c r="A819" s="30"/>
      <c r="B819" s="30"/>
      <c r="C819" s="97"/>
      <c r="D819" s="30"/>
      <c r="E819" s="30"/>
    </row>
    <row r="820" ht="15.75" customHeight="1">
      <c r="A820" s="30"/>
      <c r="B820" s="30"/>
      <c r="C820" s="97"/>
      <c r="D820" s="30"/>
      <c r="E820" s="30"/>
    </row>
    <row r="821" ht="15.75" customHeight="1">
      <c r="A821" s="30"/>
      <c r="B821" s="30"/>
      <c r="C821" s="97"/>
      <c r="D821" s="30"/>
      <c r="E821" s="30"/>
    </row>
    <row r="822" ht="15.75" customHeight="1">
      <c r="A822" s="30"/>
      <c r="B822" s="30"/>
      <c r="C822" s="97"/>
      <c r="D822" s="30"/>
      <c r="E822" s="30"/>
    </row>
    <row r="823" ht="15.75" customHeight="1">
      <c r="A823" s="30"/>
      <c r="B823" s="30"/>
      <c r="C823" s="97"/>
      <c r="D823" s="30"/>
      <c r="E823" s="30"/>
    </row>
    <row r="824" ht="15.75" customHeight="1">
      <c r="A824" s="30"/>
      <c r="B824" s="30"/>
      <c r="C824" s="97"/>
      <c r="D824" s="30"/>
      <c r="E824" s="30"/>
    </row>
    <row r="825" ht="15.75" customHeight="1">
      <c r="A825" s="30"/>
      <c r="B825" s="30"/>
      <c r="C825" s="97"/>
      <c r="D825" s="30"/>
      <c r="E825" s="30"/>
    </row>
    <row r="826" ht="15.75" customHeight="1">
      <c r="A826" s="30"/>
      <c r="B826" s="30"/>
      <c r="C826" s="97"/>
      <c r="D826" s="30"/>
      <c r="E826" s="30"/>
    </row>
    <row r="827" ht="15.75" customHeight="1">
      <c r="A827" s="30"/>
      <c r="B827" s="30"/>
      <c r="C827" s="97"/>
      <c r="D827" s="30"/>
      <c r="E827" s="30"/>
    </row>
    <row r="828" ht="15.75" customHeight="1">
      <c r="A828" s="30"/>
      <c r="B828" s="30"/>
      <c r="C828" s="97"/>
      <c r="D828" s="30"/>
      <c r="E828" s="30"/>
    </row>
    <row r="829" ht="15.75" customHeight="1">
      <c r="A829" s="30"/>
      <c r="B829" s="30"/>
      <c r="C829" s="97"/>
      <c r="D829" s="30"/>
      <c r="E829" s="30"/>
    </row>
    <row r="830" ht="15.75" customHeight="1">
      <c r="A830" s="30"/>
      <c r="B830" s="30"/>
      <c r="C830" s="97"/>
      <c r="D830" s="30"/>
      <c r="E830" s="30"/>
    </row>
    <row r="831" ht="15.75" customHeight="1">
      <c r="A831" s="30"/>
      <c r="B831" s="30"/>
      <c r="C831" s="97"/>
      <c r="D831" s="30"/>
      <c r="E831" s="30"/>
    </row>
    <row r="832" ht="15.75" customHeight="1">
      <c r="A832" s="30"/>
      <c r="B832" s="30"/>
      <c r="C832" s="97"/>
      <c r="D832" s="30"/>
      <c r="E832" s="30"/>
    </row>
    <row r="833" ht="15.75" customHeight="1">
      <c r="A833" s="30"/>
      <c r="B833" s="30"/>
      <c r="C833" s="97"/>
      <c r="D833" s="30"/>
      <c r="E833" s="30"/>
    </row>
    <row r="834" ht="15.75" customHeight="1">
      <c r="A834" s="30"/>
      <c r="B834" s="30"/>
      <c r="C834" s="97"/>
      <c r="D834" s="30"/>
      <c r="E834" s="30"/>
    </row>
    <row r="835" ht="15.75" customHeight="1">
      <c r="A835" s="30"/>
      <c r="B835" s="30"/>
      <c r="C835" s="97"/>
      <c r="D835" s="30"/>
      <c r="E835" s="30"/>
    </row>
    <row r="836" ht="15.75" customHeight="1">
      <c r="A836" s="30"/>
      <c r="B836" s="30"/>
      <c r="C836" s="97"/>
      <c r="D836" s="30"/>
      <c r="E836" s="30"/>
    </row>
    <row r="837" ht="15.75" customHeight="1">
      <c r="A837" s="30"/>
      <c r="B837" s="30"/>
      <c r="C837" s="97"/>
      <c r="D837" s="30"/>
      <c r="E837" s="30"/>
    </row>
    <row r="838" ht="15.75" customHeight="1">
      <c r="A838" s="30"/>
      <c r="B838" s="30"/>
      <c r="C838" s="97"/>
      <c r="D838" s="30"/>
      <c r="E838" s="30"/>
    </row>
    <row r="839" ht="15.75" customHeight="1">
      <c r="A839" s="30"/>
      <c r="B839" s="30"/>
      <c r="C839" s="97"/>
      <c r="D839" s="30"/>
      <c r="E839" s="30"/>
    </row>
    <row r="840" ht="15.75" customHeight="1">
      <c r="A840" s="30"/>
      <c r="B840" s="30"/>
      <c r="C840" s="97"/>
      <c r="D840" s="30"/>
      <c r="E840" s="30"/>
    </row>
    <row r="841" ht="15.75" customHeight="1">
      <c r="A841" s="30"/>
      <c r="B841" s="30"/>
      <c r="C841" s="97"/>
      <c r="D841" s="30"/>
      <c r="E841" s="30"/>
    </row>
    <row r="842" ht="15.75" customHeight="1">
      <c r="A842" s="30"/>
      <c r="B842" s="30"/>
      <c r="C842" s="97"/>
      <c r="D842" s="30"/>
      <c r="E842" s="30"/>
    </row>
    <row r="843" ht="15.75" customHeight="1">
      <c r="A843" s="30"/>
      <c r="B843" s="30"/>
      <c r="C843" s="97"/>
      <c r="D843" s="30"/>
      <c r="E843" s="30"/>
    </row>
    <row r="844" ht="15.75" customHeight="1">
      <c r="A844" s="30"/>
      <c r="B844" s="30"/>
      <c r="C844" s="97"/>
      <c r="D844" s="30"/>
      <c r="E844" s="30"/>
    </row>
    <row r="845" ht="15.75" customHeight="1">
      <c r="A845" s="30"/>
      <c r="B845" s="30"/>
      <c r="C845" s="97"/>
      <c r="D845" s="30"/>
      <c r="E845" s="30"/>
    </row>
    <row r="846" ht="15.75" customHeight="1">
      <c r="A846" s="30"/>
      <c r="B846" s="30"/>
      <c r="C846" s="97"/>
      <c r="D846" s="30"/>
      <c r="E846" s="30"/>
    </row>
    <row r="847" ht="15.75" customHeight="1">
      <c r="A847" s="30"/>
      <c r="B847" s="30"/>
      <c r="C847" s="97"/>
      <c r="D847" s="30"/>
      <c r="E847" s="30"/>
    </row>
    <row r="848" ht="15.75" customHeight="1">
      <c r="A848" s="30"/>
      <c r="B848" s="30"/>
      <c r="C848" s="97"/>
      <c r="D848" s="30"/>
      <c r="E848" s="30"/>
    </row>
    <row r="849" ht="15.75" customHeight="1">
      <c r="A849" s="30"/>
      <c r="B849" s="30"/>
      <c r="C849" s="97"/>
      <c r="D849" s="30"/>
      <c r="E849" s="30"/>
    </row>
    <row r="850" ht="15.75" customHeight="1">
      <c r="A850" s="30"/>
      <c r="B850" s="30"/>
      <c r="C850" s="97"/>
      <c r="D850" s="30"/>
      <c r="E850" s="30"/>
    </row>
    <row r="851" ht="15.75" customHeight="1">
      <c r="A851" s="30"/>
      <c r="B851" s="30"/>
      <c r="C851" s="97"/>
      <c r="D851" s="30"/>
      <c r="E851" s="30"/>
    </row>
    <row r="852" ht="15.75" customHeight="1">
      <c r="A852" s="30"/>
      <c r="B852" s="30"/>
      <c r="C852" s="97"/>
      <c r="D852" s="30"/>
      <c r="E852" s="30"/>
    </row>
    <row r="853" ht="15.75" customHeight="1">
      <c r="A853" s="30"/>
      <c r="B853" s="30"/>
      <c r="C853" s="97"/>
      <c r="D853" s="30"/>
      <c r="E853" s="30"/>
    </row>
    <row r="854" ht="15.75" customHeight="1">
      <c r="A854" s="30"/>
      <c r="B854" s="30"/>
      <c r="C854" s="97"/>
      <c r="D854" s="30"/>
      <c r="E854" s="30"/>
    </row>
    <row r="855" ht="15.75" customHeight="1">
      <c r="A855" s="30"/>
      <c r="B855" s="30"/>
      <c r="C855" s="97"/>
      <c r="D855" s="30"/>
      <c r="E855" s="30"/>
    </row>
    <row r="856" ht="15.75" customHeight="1">
      <c r="A856" s="30"/>
      <c r="B856" s="30"/>
      <c r="C856" s="97"/>
      <c r="D856" s="30"/>
      <c r="E856" s="30"/>
    </row>
    <row r="857" ht="15.75" customHeight="1">
      <c r="A857" s="30"/>
      <c r="B857" s="30"/>
      <c r="C857" s="97"/>
      <c r="D857" s="30"/>
      <c r="E857" s="30"/>
    </row>
    <row r="858" ht="15.75" customHeight="1">
      <c r="A858" s="30"/>
      <c r="B858" s="30"/>
      <c r="C858" s="97"/>
      <c r="D858" s="30"/>
      <c r="E858" s="30"/>
    </row>
    <row r="859" ht="15.75" customHeight="1">
      <c r="A859" s="30"/>
      <c r="B859" s="30"/>
      <c r="C859" s="97"/>
      <c r="D859" s="30"/>
      <c r="E859" s="30"/>
    </row>
    <row r="860" ht="15.75" customHeight="1">
      <c r="A860" s="30"/>
      <c r="B860" s="30"/>
      <c r="C860" s="97"/>
      <c r="D860" s="30"/>
      <c r="E860" s="30"/>
    </row>
    <row r="861" ht="15.75" customHeight="1">
      <c r="A861" s="30"/>
      <c r="B861" s="30"/>
      <c r="C861" s="97"/>
      <c r="D861" s="30"/>
      <c r="E861" s="30"/>
    </row>
    <row r="862" ht="15.75" customHeight="1">
      <c r="A862" s="30"/>
      <c r="B862" s="30"/>
      <c r="C862" s="97"/>
      <c r="D862" s="30"/>
      <c r="E862" s="30"/>
    </row>
    <row r="863" ht="15.75" customHeight="1">
      <c r="A863" s="30"/>
      <c r="B863" s="30"/>
      <c r="C863" s="97"/>
      <c r="D863" s="30"/>
      <c r="E863" s="30"/>
    </row>
    <row r="864" ht="15.75" customHeight="1">
      <c r="A864" s="30"/>
      <c r="B864" s="30"/>
      <c r="C864" s="97"/>
      <c r="D864" s="30"/>
      <c r="E864" s="30"/>
    </row>
    <row r="865" ht="15.75" customHeight="1">
      <c r="A865" s="30"/>
      <c r="B865" s="30"/>
      <c r="C865" s="97"/>
      <c r="D865" s="30"/>
      <c r="E865" s="30"/>
    </row>
    <row r="866" ht="15.75" customHeight="1">
      <c r="A866" s="30"/>
      <c r="B866" s="30"/>
      <c r="C866" s="97"/>
      <c r="D866" s="30"/>
      <c r="E866" s="30"/>
    </row>
    <row r="867" ht="15.75" customHeight="1">
      <c r="A867" s="30"/>
      <c r="B867" s="30"/>
      <c r="C867" s="97"/>
      <c r="D867" s="30"/>
      <c r="E867" s="30"/>
    </row>
    <row r="868" ht="15.75" customHeight="1">
      <c r="A868" s="30"/>
      <c r="B868" s="30"/>
      <c r="C868" s="97"/>
      <c r="D868" s="30"/>
      <c r="E868" s="30"/>
    </row>
    <row r="869" ht="15.75" customHeight="1">
      <c r="A869" s="30"/>
      <c r="B869" s="30"/>
      <c r="C869" s="97"/>
      <c r="D869" s="30"/>
      <c r="E869" s="30"/>
    </row>
    <row r="870" ht="15.75" customHeight="1">
      <c r="A870" s="30"/>
      <c r="B870" s="30"/>
      <c r="C870" s="97"/>
      <c r="D870" s="30"/>
      <c r="E870" s="30"/>
    </row>
    <row r="871" ht="15.75" customHeight="1">
      <c r="A871" s="30"/>
      <c r="B871" s="30"/>
      <c r="C871" s="97"/>
      <c r="D871" s="30"/>
      <c r="E871" s="30"/>
    </row>
    <row r="872" ht="15.75" customHeight="1">
      <c r="A872" s="30"/>
      <c r="B872" s="30"/>
      <c r="C872" s="97"/>
      <c r="D872" s="30"/>
      <c r="E872" s="30"/>
    </row>
    <row r="873" ht="15.75" customHeight="1">
      <c r="A873" s="30"/>
      <c r="B873" s="30"/>
      <c r="C873" s="97"/>
      <c r="D873" s="30"/>
      <c r="E873" s="30"/>
    </row>
    <row r="874" ht="15.75" customHeight="1">
      <c r="A874" s="30"/>
      <c r="B874" s="30"/>
      <c r="C874" s="97"/>
      <c r="D874" s="30"/>
      <c r="E874" s="30"/>
    </row>
    <row r="875" ht="15.75" customHeight="1">
      <c r="A875" s="30"/>
      <c r="B875" s="30"/>
      <c r="C875" s="97"/>
      <c r="D875" s="30"/>
      <c r="E875" s="30"/>
    </row>
    <row r="876" ht="15.75" customHeight="1">
      <c r="A876" s="30"/>
      <c r="B876" s="30"/>
      <c r="C876" s="97"/>
      <c r="D876" s="30"/>
      <c r="E876" s="30"/>
    </row>
    <row r="877" ht="15.75" customHeight="1">
      <c r="A877" s="30"/>
      <c r="B877" s="30"/>
      <c r="C877" s="97"/>
      <c r="D877" s="30"/>
      <c r="E877" s="30"/>
    </row>
    <row r="878" ht="15.75" customHeight="1">
      <c r="A878" s="30"/>
      <c r="B878" s="30"/>
      <c r="C878" s="97"/>
      <c r="D878" s="30"/>
      <c r="E878" s="30"/>
    </row>
    <row r="879" ht="15.75" customHeight="1">
      <c r="A879" s="30"/>
      <c r="B879" s="30"/>
      <c r="C879" s="97"/>
      <c r="D879" s="30"/>
      <c r="E879" s="30"/>
    </row>
    <row r="880" ht="15.75" customHeight="1">
      <c r="A880" s="30"/>
      <c r="B880" s="30"/>
      <c r="C880" s="97"/>
      <c r="D880" s="30"/>
      <c r="E880" s="30"/>
    </row>
    <row r="881" ht="15.75" customHeight="1">
      <c r="A881" s="30"/>
      <c r="B881" s="30"/>
      <c r="C881" s="97"/>
      <c r="D881" s="30"/>
      <c r="E881" s="30"/>
    </row>
    <row r="882" ht="15.75" customHeight="1">
      <c r="A882" s="30"/>
      <c r="B882" s="30"/>
      <c r="C882" s="97"/>
      <c r="D882" s="30"/>
      <c r="E882" s="30"/>
    </row>
    <row r="883" ht="15.75" customHeight="1">
      <c r="A883" s="30"/>
      <c r="B883" s="30"/>
      <c r="C883" s="97"/>
      <c r="D883" s="30"/>
      <c r="E883" s="30"/>
    </row>
    <row r="884" ht="15.75" customHeight="1">
      <c r="A884" s="30"/>
      <c r="B884" s="30"/>
      <c r="C884" s="97"/>
      <c r="D884" s="30"/>
      <c r="E884" s="30"/>
    </row>
    <row r="885" ht="15.75" customHeight="1">
      <c r="A885" s="30"/>
      <c r="B885" s="30"/>
      <c r="C885" s="97"/>
      <c r="D885" s="30"/>
      <c r="E885" s="30"/>
    </row>
    <row r="886" ht="15.75" customHeight="1">
      <c r="A886" s="30"/>
      <c r="B886" s="30"/>
      <c r="C886" s="97"/>
      <c r="D886" s="30"/>
      <c r="E886" s="30"/>
    </row>
    <row r="887" ht="15.75" customHeight="1">
      <c r="A887" s="30"/>
      <c r="B887" s="30"/>
      <c r="C887" s="97"/>
      <c r="D887" s="30"/>
      <c r="E887" s="30"/>
    </row>
    <row r="888" ht="15.75" customHeight="1">
      <c r="A888" s="30"/>
      <c r="B888" s="30"/>
      <c r="C888" s="97"/>
      <c r="D888" s="30"/>
      <c r="E888" s="30"/>
    </row>
    <row r="889" ht="15.75" customHeight="1">
      <c r="A889" s="30"/>
      <c r="B889" s="30"/>
      <c r="C889" s="97"/>
      <c r="D889" s="30"/>
      <c r="E889" s="30"/>
    </row>
    <row r="890" ht="15.75" customHeight="1">
      <c r="A890" s="30"/>
      <c r="B890" s="30"/>
      <c r="C890" s="97"/>
      <c r="D890" s="30"/>
      <c r="E890" s="30"/>
    </row>
    <row r="891" ht="15.75" customHeight="1">
      <c r="A891" s="30"/>
      <c r="B891" s="30"/>
      <c r="C891" s="97"/>
      <c r="D891" s="30"/>
      <c r="E891" s="30"/>
    </row>
    <row r="892" ht="15.75" customHeight="1">
      <c r="A892" s="30"/>
      <c r="B892" s="30"/>
      <c r="C892" s="97"/>
      <c r="D892" s="30"/>
      <c r="E892" s="30"/>
    </row>
    <row r="893" ht="15.75" customHeight="1">
      <c r="A893" s="30"/>
      <c r="B893" s="30"/>
      <c r="C893" s="97"/>
      <c r="D893" s="30"/>
      <c r="E893" s="30"/>
    </row>
    <row r="894" ht="15.75" customHeight="1">
      <c r="A894" s="30"/>
      <c r="B894" s="30"/>
      <c r="C894" s="97"/>
      <c r="D894" s="30"/>
      <c r="E894" s="30"/>
    </row>
    <row r="895" ht="15.75" customHeight="1">
      <c r="A895" s="30"/>
      <c r="B895" s="30"/>
      <c r="C895" s="97"/>
      <c r="D895" s="30"/>
      <c r="E895" s="30"/>
    </row>
    <row r="896" ht="15.75" customHeight="1">
      <c r="A896" s="30"/>
      <c r="B896" s="30"/>
      <c r="C896" s="97"/>
      <c r="D896" s="30"/>
      <c r="E896" s="30"/>
    </row>
    <row r="897" ht="15.75" customHeight="1">
      <c r="A897" s="30"/>
      <c r="B897" s="30"/>
      <c r="C897" s="97"/>
      <c r="D897" s="30"/>
      <c r="E897" s="30"/>
    </row>
    <row r="898" ht="15.75" customHeight="1">
      <c r="A898" s="30"/>
      <c r="B898" s="30"/>
      <c r="C898" s="97"/>
      <c r="D898" s="30"/>
      <c r="E898" s="30"/>
    </row>
    <row r="899" ht="15.75" customHeight="1">
      <c r="A899" s="30"/>
      <c r="B899" s="30"/>
      <c r="C899" s="97"/>
      <c r="D899" s="30"/>
      <c r="E899" s="30"/>
    </row>
    <row r="900" ht="15.75" customHeight="1">
      <c r="A900" s="30"/>
      <c r="B900" s="30"/>
      <c r="C900" s="97"/>
      <c r="D900" s="30"/>
      <c r="E900" s="30"/>
    </row>
    <row r="901" ht="15.75" customHeight="1">
      <c r="A901" s="30"/>
      <c r="B901" s="30"/>
      <c r="C901" s="97"/>
      <c r="D901" s="30"/>
      <c r="E901" s="30"/>
    </row>
    <row r="902" ht="15.75" customHeight="1">
      <c r="A902" s="30"/>
      <c r="B902" s="30"/>
      <c r="C902" s="97"/>
      <c r="D902" s="30"/>
      <c r="E902" s="30"/>
    </row>
    <row r="903" ht="15.75" customHeight="1">
      <c r="A903" s="30"/>
      <c r="B903" s="30"/>
      <c r="C903" s="97"/>
      <c r="D903" s="30"/>
      <c r="E903" s="30"/>
    </row>
    <row r="904" ht="15.75" customHeight="1">
      <c r="A904" s="30"/>
      <c r="B904" s="30"/>
      <c r="C904" s="97"/>
      <c r="D904" s="30"/>
      <c r="E904" s="30"/>
    </row>
    <row r="905" ht="15.75" customHeight="1">
      <c r="A905" s="30"/>
      <c r="B905" s="30"/>
      <c r="C905" s="97"/>
      <c r="D905" s="30"/>
      <c r="E905" s="30"/>
    </row>
    <row r="906" ht="15.75" customHeight="1">
      <c r="A906" s="30"/>
      <c r="B906" s="30"/>
      <c r="C906" s="97"/>
      <c r="D906" s="30"/>
      <c r="E906" s="30"/>
    </row>
    <row r="907" ht="15.75" customHeight="1">
      <c r="A907" s="30"/>
      <c r="B907" s="30"/>
      <c r="C907" s="97"/>
      <c r="D907" s="30"/>
      <c r="E907" s="30"/>
    </row>
    <row r="908" ht="15.75" customHeight="1">
      <c r="A908" s="30"/>
      <c r="B908" s="30"/>
      <c r="C908" s="97"/>
      <c r="D908" s="30"/>
      <c r="E908" s="30"/>
    </row>
    <row r="909" ht="15.75" customHeight="1">
      <c r="A909" s="30"/>
      <c r="B909" s="30"/>
      <c r="C909" s="97"/>
      <c r="D909" s="30"/>
      <c r="E909" s="30"/>
    </row>
    <row r="910" ht="15.75" customHeight="1">
      <c r="A910" s="30"/>
      <c r="B910" s="30"/>
      <c r="C910" s="97"/>
      <c r="D910" s="30"/>
      <c r="E910" s="30"/>
    </row>
    <row r="911" ht="15.75" customHeight="1">
      <c r="A911" s="30"/>
      <c r="B911" s="30"/>
      <c r="C911" s="97"/>
      <c r="D911" s="30"/>
      <c r="E911" s="30"/>
    </row>
    <row r="912" ht="15.75" customHeight="1">
      <c r="A912" s="30"/>
      <c r="B912" s="30"/>
      <c r="C912" s="97"/>
      <c r="D912" s="30"/>
      <c r="E912" s="30"/>
    </row>
    <row r="913" ht="15.75" customHeight="1">
      <c r="A913" s="30"/>
      <c r="B913" s="30"/>
      <c r="C913" s="97"/>
      <c r="D913" s="30"/>
      <c r="E913" s="30"/>
    </row>
    <row r="914" ht="15.75" customHeight="1">
      <c r="A914" s="30"/>
      <c r="B914" s="30"/>
      <c r="C914" s="97"/>
      <c r="D914" s="30"/>
      <c r="E914" s="30"/>
    </row>
    <row r="915" ht="15.75" customHeight="1">
      <c r="A915" s="30"/>
      <c r="B915" s="30"/>
      <c r="C915" s="97"/>
      <c r="D915" s="30"/>
      <c r="E915" s="30"/>
    </row>
    <row r="916" ht="15.75" customHeight="1">
      <c r="A916" s="30"/>
      <c r="B916" s="30"/>
      <c r="C916" s="97"/>
      <c r="D916" s="30"/>
      <c r="E916" s="30"/>
    </row>
    <row r="917" ht="15.75" customHeight="1">
      <c r="A917" s="30"/>
      <c r="B917" s="30"/>
      <c r="C917" s="97"/>
      <c r="D917" s="30"/>
      <c r="E917" s="30"/>
    </row>
    <row r="918" ht="15.75" customHeight="1">
      <c r="A918" s="30"/>
      <c r="B918" s="30"/>
      <c r="C918" s="97"/>
      <c r="D918" s="30"/>
      <c r="E918" s="30"/>
    </row>
    <row r="919" ht="15.75" customHeight="1">
      <c r="A919" s="30"/>
      <c r="B919" s="30"/>
      <c r="C919" s="97"/>
      <c r="D919" s="30"/>
      <c r="E919" s="30"/>
    </row>
    <row r="920" ht="15.75" customHeight="1">
      <c r="A920" s="30"/>
      <c r="B920" s="30"/>
      <c r="C920" s="97"/>
      <c r="D920" s="30"/>
      <c r="E920" s="30"/>
    </row>
    <row r="921" ht="15.75" customHeight="1">
      <c r="A921" s="30"/>
      <c r="B921" s="30"/>
      <c r="C921" s="97"/>
      <c r="D921" s="30"/>
      <c r="E921" s="30"/>
    </row>
    <row r="922" ht="15.75" customHeight="1">
      <c r="A922" s="30"/>
      <c r="B922" s="30"/>
      <c r="C922" s="97"/>
      <c r="D922" s="30"/>
      <c r="E922" s="30"/>
    </row>
    <row r="923" ht="15.75" customHeight="1">
      <c r="A923" s="30"/>
      <c r="B923" s="30"/>
      <c r="C923" s="97"/>
      <c r="D923" s="30"/>
      <c r="E923" s="30"/>
    </row>
    <row r="924" ht="15.75" customHeight="1">
      <c r="A924" s="30"/>
      <c r="B924" s="30"/>
      <c r="C924" s="97"/>
      <c r="D924" s="30"/>
      <c r="E924" s="30"/>
    </row>
    <row r="925" ht="15.75" customHeight="1">
      <c r="A925" s="30"/>
      <c r="B925" s="30"/>
      <c r="C925" s="97"/>
      <c r="D925" s="30"/>
      <c r="E925" s="30"/>
    </row>
    <row r="926" ht="15.75" customHeight="1">
      <c r="A926" s="30"/>
      <c r="B926" s="30"/>
      <c r="C926" s="97"/>
      <c r="D926" s="30"/>
      <c r="E926" s="30"/>
    </row>
    <row r="927" ht="15.75" customHeight="1">
      <c r="A927" s="30"/>
      <c r="B927" s="30"/>
      <c r="C927" s="97"/>
      <c r="D927" s="30"/>
      <c r="E927" s="30"/>
    </row>
    <row r="928" ht="15.75" customHeight="1">
      <c r="A928" s="30"/>
      <c r="B928" s="30"/>
      <c r="C928" s="97"/>
      <c r="D928" s="30"/>
      <c r="E928" s="30"/>
    </row>
    <row r="929" ht="15.75" customHeight="1">
      <c r="A929" s="30"/>
      <c r="B929" s="30"/>
      <c r="C929" s="97"/>
      <c r="D929" s="30"/>
      <c r="E929" s="30"/>
    </row>
    <row r="930" ht="15.75" customHeight="1">
      <c r="A930" s="30"/>
      <c r="B930" s="30"/>
      <c r="C930" s="97"/>
      <c r="D930" s="30"/>
      <c r="E930" s="30"/>
    </row>
    <row r="931" ht="15.75" customHeight="1">
      <c r="A931" s="30"/>
      <c r="B931" s="30"/>
      <c r="C931" s="97"/>
      <c r="D931" s="30"/>
      <c r="E931" s="30"/>
    </row>
    <row r="932" ht="15.75" customHeight="1">
      <c r="A932" s="30"/>
      <c r="B932" s="30"/>
      <c r="C932" s="97"/>
      <c r="D932" s="30"/>
      <c r="E932" s="30"/>
    </row>
    <row r="933" ht="15.75" customHeight="1">
      <c r="A933" s="30"/>
      <c r="B933" s="30"/>
      <c r="C933" s="97"/>
      <c r="D933" s="30"/>
      <c r="E933" s="30"/>
    </row>
    <row r="934" ht="15.75" customHeight="1">
      <c r="A934" s="30"/>
      <c r="B934" s="30"/>
      <c r="C934" s="97"/>
      <c r="D934" s="30"/>
      <c r="E934" s="30"/>
    </row>
    <row r="935" ht="15.75" customHeight="1">
      <c r="A935" s="30"/>
      <c r="B935" s="30"/>
      <c r="C935" s="97"/>
      <c r="D935" s="30"/>
      <c r="E935" s="30"/>
    </row>
    <row r="936" ht="15.75" customHeight="1">
      <c r="A936" s="30"/>
      <c r="B936" s="30"/>
      <c r="C936" s="97"/>
      <c r="D936" s="30"/>
      <c r="E936" s="30"/>
    </row>
    <row r="937" ht="15.75" customHeight="1">
      <c r="A937" s="30"/>
      <c r="B937" s="30"/>
      <c r="C937" s="97"/>
      <c r="D937" s="30"/>
      <c r="E937" s="30"/>
    </row>
    <row r="938" ht="15.75" customHeight="1">
      <c r="A938" s="30"/>
      <c r="B938" s="30"/>
      <c r="C938" s="97"/>
      <c r="D938" s="30"/>
      <c r="E938" s="30"/>
    </row>
    <row r="939" ht="15.75" customHeight="1">
      <c r="A939" s="30"/>
      <c r="B939" s="30"/>
      <c r="C939" s="97"/>
      <c r="D939" s="30"/>
      <c r="E939" s="30"/>
    </row>
    <row r="940" ht="15.75" customHeight="1">
      <c r="A940" s="30"/>
      <c r="B940" s="30"/>
      <c r="C940" s="97"/>
      <c r="D940" s="30"/>
      <c r="E940" s="30"/>
    </row>
    <row r="941" ht="15.75" customHeight="1">
      <c r="A941" s="30"/>
      <c r="B941" s="30"/>
      <c r="C941" s="97"/>
      <c r="D941" s="30"/>
      <c r="E941" s="30"/>
    </row>
    <row r="942" ht="15.75" customHeight="1">
      <c r="A942" s="30"/>
      <c r="B942" s="30"/>
      <c r="C942" s="97"/>
      <c r="D942" s="30"/>
      <c r="E942" s="30"/>
    </row>
    <row r="943" ht="15.75" customHeight="1">
      <c r="A943" s="30"/>
      <c r="B943" s="30"/>
      <c r="C943" s="97"/>
      <c r="D943" s="30"/>
      <c r="E943" s="30"/>
    </row>
    <row r="944" ht="15.75" customHeight="1">
      <c r="A944" s="30"/>
      <c r="B944" s="30"/>
      <c r="C944" s="97"/>
      <c r="D944" s="30"/>
      <c r="E944" s="30"/>
    </row>
    <row r="945" ht="15.75" customHeight="1">
      <c r="A945" s="30"/>
      <c r="B945" s="30"/>
      <c r="C945" s="97"/>
      <c r="D945" s="30"/>
      <c r="E945" s="30"/>
    </row>
    <row r="946" ht="15.75" customHeight="1">
      <c r="A946" s="30"/>
      <c r="B946" s="30"/>
      <c r="C946" s="97"/>
      <c r="D946" s="30"/>
      <c r="E946" s="30"/>
    </row>
    <row r="947" ht="15.75" customHeight="1">
      <c r="A947" s="30"/>
      <c r="B947" s="30"/>
      <c r="C947" s="97"/>
      <c r="D947" s="30"/>
      <c r="E947" s="30"/>
    </row>
    <row r="948" ht="15.75" customHeight="1">
      <c r="A948" s="30"/>
      <c r="B948" s="30"/>
      <c r="C948" s="97"/>
      <c r="D948" s="30"/>
      <c r="E948" s="30"/>
    </row>
    <row r="949" ht="15.75" customHeight="1">
      <c r="A949" s="30"/>
      <c r="B949" s="30"/>
      <c r="C949" s="97"/>
      <c r="D949" s="30"/>
      <c r="E949" s="30"/>
    </row>
    <row r="950" ht="15.75" customHeight="1">
      <c r="A950" s="30"/>
      <c r="B950" s="30"/>
      <c r="C950" s="97"/>
      <c r="D950" s="30"/>
      <c r="E950" s="30"/>
    </row>
    <row r="951" ht="15.75" customHeight="1">
      <c r="A951" s="30"/>
      <c r="B951" s="30"/>
      <c r="C951" s="97"/>
      <c r="D951" s="30"/>
      <c r="E951" s="30"/>
    </row>
    <row r="952" ht="15.75" customHeight="1">
      <c r="A952" s="30"/>
      <c r="B952" s="30"/>
      <c r="C952" s="97"/>
      <c r="D952" s="30"/>
      <c r="E952" s="30"/>
    </row>
    <row r="953" ht="15.75" customHeight="1">
      <c r="A953" s="30"/>
      <c r="B953" s="30"/>
      <c r="C953" s="97"/>
      <c r="D953" s="30"/>
      <c r="E953" s="30"/>
    </row>
    <row r="954" ht="15.75" customHeight="1">
      <c r="A954" s="30"/>
      <c r="B954" s="30"/>
      <c r="C954" s="97"/>
      <c r="D954" s="30"/>
      <c r="E954" s="30"/>
    </row>
    <row r="955" ht="15.75" customHeight="1">
      <c r="A955" s="30"/>
      <c r="B955" s="30"/>
      <c r="C955" s="97"/>
      <c r="D955" s="30"/>
      <c r="E955" s="30"/>
    </row>
    <row r="956" ht="15.75" customHeight="1">
      <c r="A956" s="30"/>
      <c r="B956" s="30"/>
      <c r="C956" s="97"/>
      <c r="D956" s="30"/>
      <c r="E956" s="30"/>
    </row>
    <row r="957" ht="15.75" customHeight="1">
      <c r="A957" s="30"/>
      <c r="B957" s="30"/>
      <c r="C957" s="97"/>
      <c r="D957" s="30"/>
      <c r="E957" s="30"/>
    </row>
    <row r="958" ht="15.75" customHeight="1">
      <c r="A958" s="30"/>
      <c r="B958" s="30"/>
      <c r="C958" s="97"/>
      <c r="D958" s="30"/>
      <c r="E958" s="30"/>
    </row>
    <row r="959" ht="15.75" customHeight="1">
      <c r="A959" s="30"/>
      <c r="B959" s="30"/>
      <c r="C959" s="97"/>
      <c r="D959" s="30"/>
      <c r="E959" s="30"/>
    </row>
    <row r="960" ht="15.75" customHeight="1">
      <c r="A960" s="30"/>
      <c r="B960" s="30"/>
      <c r="C960" s="97"/>
      <c r="D960" s="30"/>
      <c r="E960" s="30"/>
    </row>
    <row r="961" ht="15.75" customHeight="1">
      <c r="A961" s="30"/>
      <c r="B961" s="30"/>
      <c r="C961" s="97"/>
      <c r="D961" s="30"/>
      <c r="E961" s="30"/>
    </row>
    <row r="962" ht="15.75" customHeight="1">
      <c r="A962" s="30"/>
      <c r="B962" s="30"/>
      <c r="C962" s="97"/>
      <c r="D962" s="30"/>
      <c r="E962" s="30"/>
    </row>
    <row r="963" ht="15.75" customHeight="1">
      <c r="A963" s="30"/>
      <c r="B963" s="30"/>
      <c r="C963" s="97"/>
      <c r="D963" s="30"/>
      <c r="E963" s="30"/>
    </row>
    <row r="964" ht="15.75" customHeight="1">
      <c r="A964" s="30"/>
      <c r="B964" s="30"/>
      <c r="C964" s="97"/>
      <c r="D964" s="30"/>
      <c r="E964" s="30"/>
    </row>
    <row r="965" ht="15.75" customHeight="1">
      <c r="A965" s="30"/>
      <c r="B965" s="30"/>
      <c r="C965" s="97"/>
      <c r="D965" s="30"/>
      <c r="E965" s="30"/>
    </row>
    <row r="966" ht="15.75" customHeight="1">
      <c r="A966" s="30"/>
      <c r="B966" s="30"/>
      <c r="C966" s="97"/>
      <c r="D966" s="30"/>
      <c r="E966" s="30"/>
    </row>
    <row r="967" ht="15.75" customHeight="1">
      <c r="A967" s="30"/>
      <c r="B967" s="30"/>
      <c r="C967" s="97"/>
      <c r="D967" s="30"/>
      <c r="E967" s="30"/>
    </row>
    <row r="968" ht="15.75" customHeight="1">
      <c r="A968" s="30"/>
      <c r="B968" s="30"/>
      <c r="C968" s="97"/>
      <c r="D968" s="30"/>
      <c r="E968" s="30"/>
    </row>
    <row r="969" ht="15.75" customHeight="1">
      <c r="A969" s="30"/>
      <c r="B969" s="30"/>
      <c r="C969" s="97"/>
      <c r="D969" s="30"/>
      <c r="E969" s="30"/>
    </row>
    <row r="970" ht="15.75" customHeight="1">
      <c r="A970" s="30"/>
      <c r="B970" s="30"/>
      <c r="C970" s="97"/>
      <c r="D970" s="30"/>
      <c r="E970" s="30"/>
    </row>
    <row r="971" ht="15.75" customHeight="1">
      <c r="A971" s="30"/>
      <c r="B971" s="30"/>
      <c r="C971" s="97"/>
      <c r="D971" s="30"/>
      <c r="E971" s="30"/>
    </row>
    <row r="972" ht="15.75" customHeight="1">
      <c r="A972" s="30"/>
      <c r="B972" s="30"/>
      <c r="C972" s="97"/>
      <c r="D972" s="30"/>
      <c r="E972" s="30"/>
    </row>
    <row r="973" ht="15.75" customHeight="1">
      <c r="A973" s="30"/>
      <c r="B973" s="30"/>
      <c r="C973" s="97"/>
      <c r="D973" s="30"/>
      <c r="E973" s="30"/>
    </row>
    <row r="974" ht="15.75" customHeight="1">
      <c r="A974" s="30"/>
      <c r="B974" s="30"/>
      <c r="C974" s="97"/>
      <c r="D974" s="30"/>
      <c r="E974" s="30"/>
    </row>
    <row r="975" ht="15.75" customHeight="1">
      <c r="A975" s="30"/>
      <c r="B975" s="30"/>
      <c r="C975" s="97"/>
      <c r="D975" s="30"/>
      <c r="E975" s="30"/>
    </row>
    <row r="976" ht="15.75" customHeight="1">
      <c r="A976" s="30"/>
      <c r="B976" s="30"/>
      <c r="C976" s="97"/>
      <c r="D976" s="30"/>
      <c r="E976" s="30"/>
    </row>
    <row r="977" ht="15.75" customHeight="1">
      <c r="A977" s="30"/>
      <c r="B977" s="30"/>
      <c r="C977" s="97"/>
      <c r="D977" s="30"/>
      <c r="E977" s="30"/>
    </row>
    <row r="978" ht="15.75" customHeight="1">
      <c r="A978" s="30"/>
      <c r="B978" s="30"/>
      <c r="C978" s="97"/>
      <c r="D978" s="30"/>
      <c r="E978" s="30"/>
    </row>
    <row r="979" ht="15.75" customHeight="1">
      <c r="A979" s="30"/>
      <c r="B979" s="30"/>
      <c r="C979" s="97"/>
      <c r="D979" s="30"/>
      <c r="E979" s="30"/>
    </row>
    <row r="980" ht="15.75" customHeight="1">
      <c r="A980" s="30"/>
      <c r="B980" s="30"/>
      <c r="C980" s="97"/>
      <c r="D980" s="30"/>
      <c r="E980" s="30"/>
    </row>
    <row r="981" ht="15.75" customHeight="1">
      <c r="A981" s="30"/>
      <c r="B981" s="30"/>
      <c r="C981" s="97"/>
      <c r="D981" s="30"/>
      <c r="E981" s="30"/>
    </row>
    <row r="982" ht="15.75" customHeight="1">
      <c r="A982" s="30"/>
      <c r="B982" s="30"/>
      <c r="C982" s="97"/>
      <c r="D982" s="30"/>
      <c r="E982" s="30"/>
    </row>
    <row r="983" ht="15.75" customHeight="1">
      <c r="A983" s="30"/>
      <c r="B983" s="30"/>
      <c r="C983" s="97"/>
      <c r="D983" s="30"/>
      <c r="E983" s="30"/>
    </row>
    <row r="984" ht="15.75" customHeight="1">
      <c r="A984" s="30"/>
      <c r="B984" s="30"/>
      <c r="C984" s="97"/>
      <c r="D984" s="30"/>
      <c r="E984" s="30"/>
    </row>
    <row r="985" ht="15.75" customHeight="1">
      <c r="A985" s="30"/>
      <c r="B985" s="30"/>
      <c r="C985" s="97"/>
      <c r="D985" s="30"/>
      <c r="E985" s="30"/>
    </row>
    <row r="986" ht="15.75" customHeight="1">
      <c r="A986" s="30"/>
      <c r="B986" s="30"/>
      <c r="C986" s="97"/>
      <c r="D986" s="30"/>
      <c r="E986" s="30"/>
    </row>
    <row r="987" ht="15.75" customHeight="1">
      <c r="A987" s="30"/>
      <c r="B987" s="30"/>
      <c r="C987" s="97"/>
      <c r="D987" s="30"/>
      <c r="E987" s="30"/>
    </row>
    <row r="988" ht="15.75" customHeight="1">
      <c r="A988" s="30"/>
      <c r="B988" s="30"/>
      <c r="C988" s="97"/>
      <c r="D988" s="30"/>
      <c r="E988" s="30"/>
    </row>
    <row r="989" ht="15.75" customHeight="1">
      <c r="A989" s="30"/>
      <c r="B989" s="30"/>
      <c r="C989" s="97"/>
      <c r="D989" s="30"/>
      <c r="E989" s="30"/>
    </row>
    <row r="990" ht="15.75" customHeight="1">
      <c r="A990" s="30"/>
      <c r="B990" s="30"/>
      <c r="C990" s="97"/>
      <c r="D990" s="30"/>
      <c r="E990" s="30"/>
    </row>
    <row r="991" ht="15.75" customHeight="1">
      <c r="A991" s="30"/>
      <c r="B991" s="30"/>
      <c r="C991" s="97"/>
      <c r="D991" s="30"/>
      <c r="E991" s="30"/>
    </row>
    <row r="992" ht="15.75" customHeight="1">
      <c r="A992" s="30"/>
      <c r="B992" s="30"/>
      <c r="C992" s="97"/>
      <c r="D992" s="30"/>
      <c r="E992" s="30"/>
    </row>
    <row r="993" ht="15.75" customHeight="1">
      <c r="A993" s="30"/>
      <c r="B993" s="30"/>
      <c r="C993" s="97"/>
      <c r="D993" s="30"/>
      <c r="E993" s="30"/>
    </row>
    <row r="994" ht="15.75" customHeight="1">
      <c r="A994" s="30"/>
      <c r="B994" s="30"/>
      <c r="C994" s="97"/>
      <c r="D994" s="30"/>
      <c r="E994" s="30"/>
    </row>
    <row r="995" ht="15.75" customHeight="1">
      <c r="A995" s="30"/>
      <c r="B995" s="30"/>
      <c r="C995" s="97"/>
      <c r="D995" s="30"/>
      <c r="E995" s="30"/>
    </row>
    <row r="996" ht="15.75" customHeight="1">
      <c r="A996" s="30"/>
      <c r="B996" s="30"/>
      <c r="C996" s="97"/>
      <c r="D996" s="30"/>
      <c r="E996" s="30"/>
    </row>
    <row r="997" ht="15.75" customHeight="1">
      <c r="A997" s="30"/>
      <c r="B997" s="30"/>
      <c r="C997" s="97"/>
      <c r="D997" s="30"/>
      <c r="E997" s="30"/>
    </row>
    <row r="998" ht="15.75" customHeight="1">
      <c r="A998" s="30"/>
      <c r="B998" s="30"/>
      <c r="C998" s="97"/>
      <c r="D998" s="30"/>
      <c r="E998" s="30"/>
    </row>
  </sheetData>
  <mergeCells count="6">
    <mergeCell ref="A1:E1"/>
    <mergeCell ref="A2:E2"/>
    <mergeCell ref="A3:E3"/>
    <mergeCell ref="A14:E14"/>
    <mergeCell ref="A15:E15"/>
    <mergeCell ref="A16:E16"/>
  </mergeCells>
  <dataValidations>
    <dataValidation type="decimal" allowBlank="1" showInputMessage="1" showErrorMessage="1" prompt="Nominal Tidak Valid - Parameter % harus antara 0 - 100% (masukkan dalam desimal, contoh: 0.05 = 5%)" sqref="B5:B13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71A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7.57"/>
    <col customWidth="1" min="3" max="3" width="22.0"/>
    <col customWidth="1" min="4" max="4" width="13.71"/>
    <col customWidth="1" min="5" max="5" width="19.71"/>
    <col customWidth="1" min="6" max="6" width="15.0"/>
    <col customWidth="1" min="7" max="7" width="16.14"/>
    <col customWidth="1" min="8" max="8" width="19.0"/>
    <col customWidth="1" min="9" max="9" width="17.0"/>
    <col customWidth="1" min="10" max="10" width="13.0"/>
    <col customWidth="1" min="11" max="11" width="18.57"/>
    <col customWidth="1" min="12" max="12" width="20.43"/>
    <col customWidth="1" min="13" max="13" width="17.71"/>
    <col customWidth="1" min="14" max="25" width="8.71"/>
  </cols>
  <sheetData>
    <row r="1" ht="36.0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5" t="s">
        <v>352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7" t="s">
        <v>144</v>
      </c>
      <c r="B3" s="7" t="s">
        <v>166</v>
      </c>
      <c r="C3" s="7" t="s">
        <v>167</v>
      </c>
      <c r="D3" s="7" t="s">
        <v>145</v>
      </c>
      <c r="E3" s="7" t="s">
        <v>353</v>
      </c>
      <c r="F3" s="7" t="s">
        <v>354</v>
      </c>
      <c r="G3" s="7" t="s">
        <v>355</v>
      </c>
      <c r="H3" s="7" t="s">
        <v>356</v>
      </c>
      <c r="I3" s="7" t="s">
        <v>357</v>
      </c>
      <c r="J3" s="7" t="s">
        <v>358</v>
      </c>
      <c r="K3" s="7" t="s">
        <v>170</v>
      </c>
      <c r="L3" s="7" t="s">
        <v>359</v>
      </c>
      <c r="M3" s="7" t="s">
        <v>360</v>
      </c>
    </row>
    <row r="4" ht="18.75" customHeight="1">
      <c r="A4" s="72" t="s">
        <v>361</v>
      </c>
      <c r="B4" s="72" t="s">
        <v>174</v>
      </c>
      <c r="C4" s="112" t="str">
        <f t="array" ref="C4">IFERROR(IF(B4="","",INDEX(PRODUK!$B:$B,MATCH(B4,PRODUK!$A:$A,0))),"")</f>
        <v>Abaya Premium Linen</v>
      </c>
      <c r="D4" s="113">
        <v>148.0</v>
      </c>
      <c r="E4" s="74">
        <v>2.2E7</v>
      </c>
      <c r="F4" s="74">
        <v>3330000.0</v>
      </c>
      <c r="G4" s="74">
        <v>890000.0</v>
      </c>
      <c r="H4" s="114">
        <f>IFERROR(IF(A4="",0,(E4+F4)*PARAM_OVERHEAD_PCT),0)</f>
        <v>2533000</v>
      </c>
      <c r="I4" s="114">
        <f t="shared" ref="I4:I203" si="1">IFERROR(IF(A4="",0,E4+F4+G4+H4),0)</f>
        <v>28753000</v>
      </c>
      <c r="J4" s="114">
        <f t="shared" ref="J4:J203" si="2">IFERROR(IF(OR(A4="",D4=0),0,I4/D4),0)</f>
        <v>194277.027</v>
      </c>
      <c r="K4" s="115">
        <f t="array" ref="K4">IFERROR(IF(B4="",0,INDEX(PRODUK!$E:$E,MATCH(B4,PRODUK!$A:$A,0))),0)</f>
        <v>185000</v>
      </c>
      <c r="L4" s="114">
        <f t="shared" ref="L4:L203" si="3">IFERROR(IF(A4="","—",IF(K4=0,"—",K4-J4)),"—")</f>
        <v>-9277.027027</v>
      </c>
      <c r="M4" s="76" t="str">
        <f>IFERROR(IF(A4="","—",IF(D4=0,"—",IF(J4=0,"—",IF(J4&lt;=K4,"✓ OK",IF(J4&lt;=K4*(1+PARAM_HPP_TIPIS),"⚠ TIPIS","⚠ MAHAL"))))),  "—")</f>
        <v>⚠ MAHAL</v>
      </c>
    </row>
    <row r="5" ht="18.75" customHeight="1">
      <c r="A5" s="77" t="s">
        <v>362</v>
      </c>
      <c r="B5" s="77" t="s">
        <v>178</v>
      </c>
      <c r="C5" s="116" t="str">
        <f t="array" ref="C5">IFERROR(IF(B5="","",INDEX(PRODUK!$B:$B,MATCH(B5,PRODUK!$A:$A,0))),"")</f>
        <v>Gamis Velvet Bordir</v>
      </c>
      <c r="D5" s="117">
        <v>185.0</v>
      </c>
      <c r="E5" s="79">
        <v>3.5E7</v>
      </c>
      <c r="F5" s="79">
        <v>5280000.0</v>
      </c>
      <c r="G5" s="79">
        <v>1320000.0</v>
      </c>
      <c r="H5" s="118">
        <f>IFERROR(IF(A5="",0,(E5+F5)*PARAM_OVERHEAD_PCT),0)</f>
        <v>4028000</v>
      </c>
      <c r="I5" s="118">
        <f t="shared" si="1"/>
        <v>45628000</v>
      </c>
      <c r="J5" s="118">
        <f t="shared" si="2"/>
        <v>246637.8378</v>
      </c>
      <c r="K5" s="119">
        <f t="array" ref="K5">IFERROR(IF(B5="",0,INDEX(PRODUK!$E:$E,MATCH(B5,PRODUK!$A:$A,0))),0)</f>
        <v>220000</v>
      </c>
      <c r="L5" s="118">
        <f t="shared" si="3"/>
        <v>-26637.83784</v>
      </c>
      <c r="M5" s="81" t="str">
        <f>IFERROR(IF(A5="","—",IF(D5=0,"—",IF(J5=0,"—",IF(J5&lt;=K5,"✓ OK",IF(J5&lt;=K5*(1+PARAM_HPP_TIPIS),"⚠ TIPIS","⚠ MAHAL"))))),  "—")</f>
        <v>⚠ MAHAL</v>
      </c>
    </row>
    <row r="6" ht="18.75" customHeight="1">
      <c r="A6" s="72" t="s">
        <v>363</v>
      </c>
      <c r="B6" s="72" t="s">
        <v>182</v>
      </c>
      <c r="C6" s="112" t="str">
        <f t="array" ref="C6">IFERROR(IF(B6="","",INDEX(PRODUK!$B:$B,MATCH(B6,PRODUK!$A:$A,0))),"")</f>
        <v>Kaftan Silk Premium</v>
      </c>
      <c r="D6" s="113">
        <v>80.0</v>
      </c>
      <c r="E6" s="74">
        <v>1.68E7</v>
      </c>
      <c r="F6" s="74">
        <v>2720000.0</v>
      </c>
      <c r="G6" s="74">
        <v>680000.0</v>
      </c>
      <c r="H6" s="114">
        <f>IFERROR(IF(A6="",0,(E6+F6)*PARAM_OVERHEAD_PCT),0)</f>
        <v>1952000</v>
      </c>
      <c r="I6" s="114">
        <f t="shared" si="1"/>
        <v>22152000</v>
      </c>
      <c r="J6" s="114">
        <f t="shared" si="2"/>
        <v>276900</v>
      </c>
      <c r="K6" s="115">
        <f t="array" ref="K6">IFERROR(IF(B6="",0,INDEX(PRODUK!$E:$E,MATCH(B6,PRODUK!$A:$A,0))),0)</f>
        <v>280000</v>
      </c>
      <c r="L6" s="114">
        <f t="shared" si="3"/>
        <v>3100</v>
      </c>
      <c r="M6" s="76" t="str">
        <f>IFERROR(IF(A6="","—",IF(D6=0,"—",IF(J6=0,"—",IF(J6&lt;=K6,"✓ OK",IF(J6&lt;=K6*(1+PARAM_HPP_TIPIS),"⚠ TIPIS","⚠ MAHAL"))))),  "—")</f>
        <v>✓ OK</v>
      </c>
    </row>
    <row r="7" ht="18.75" customHeight="1">
      <c r="A7" s="77" t="s">
        <v>364</v>
      </c>
      <c r="B7" s="77" t="s">
        <v>186</v>
      </c>
      <c r="C7" s="116" t="str">
        <f t="array" ref="C7">IFERROR(IF(B7="","",INDEX(PRODUK!$B:$B,MATCH(B7,PRODUK!$A:$A,0))),"")</f>
        <v>Tunik Casual Linen</v>
      </c>
      <c r="D7" s="117">
        <v>120.0</v>
      </c>
      <c r="E7" s="79">
        <v>1.104E7</v>
      </c>
      <c r="F7" s="79">
        <v>2040000.0</v>
      </c>
      <c r="G7" s="79">
        <v>510000.0</v>
      </c>
      <c r="H7" s="118">
        <f>IFERROR(IF(A7="",0,(E7+F7)*PARAM_OVERHEAD_PCT),0)</f>
        <v>1308000</v>
      </c>
      <c r="I7" s="118">
        <f t="shared" si="1"/>
        <v>14898000</v>
      </c>
      <c r="J7" s="118">
        <f t="shared" si="2"/>
        <v>124150</v>
      </c>
      <c r="K7" s="119">
        <f t="array" ref="K7">IFERROR(IF(B7="",0,INDEX(PRODUK!$E:$E,MATCH(B7,PRODUK!$A:$A,0))),0)</f>
        <v>110000</v>
      </c>
      <c r="L7" s="118">
        <f t="shared" si="3"/>
        <v>-14150</v>
      </c>
      <c r="M7" s="81" t="str">
        <f>IFERROR(IF(A7="","—",IF(D7=0,"—",IF(J7=0,"—",IF(J7&lt;=K7,"✓ OK",IF(J7&lt;=K7*(1+PARAM_HPP_TIPIS),"⚠ TIPIS","⚠ MAHAL"))))),  "—")</f>
        <v>⚠ MAHAL</v>
      </c>
    </row>
    <row r="8" ht="18.75" customHeight="1">
      <c r="A8" s="72" t="s">
        <v>365</v>
      </c>
      <c r="B8" s="72" t="s">
        <v>189</v>
      </c>
      <c r="C8" s="112" t="str">
        <f t="array" ref="C8">IFERROR(IF(B8="","",INDEX(PRODUK!$B:$B,MATCH(B8,PRODUK!$A:$A,0))),"")</f>
        <v>Dress Batik Modern</v>
      </c>
      <c r="D8" s="120">
        <v>50.0</v>
      </c>
      <c r="E8" s="121">
        <v>1.0E7</v>
      </c>
      <c r="F8" s="121">
        <v>4000000.0</v>
      </c>
      <c r="G8" s="121">
        <v>400000.0</v>
      </c>
      <c r="H8" s="114">
        <f>IFERROR(IF(A8="",0,(E8+F8)*PARAM_OVERHEAD_PCT),0)</f>
        <v>1400000</v>
      </c>
      <c r="I8" s="114">
        <f t="shared" si="1"/>
        <v>15800000</v>
      </c>
      <c r="J8" s="114">
        <f t="shared" si="2"/>
        <v>316000</v>
      </c>
      <c r="K8" s="115">
        <f t="array" ref="K8">IFERROR(IF(B8="",0,INDEX(PRODUK!$E:$E,MATCH(B8,PRODUK!$A:$A,0))),0)</f>
        <v>150000</v>
      </c>
      <c r="L8" s="114">
        <f t="shared" si="3"/>
        <v>-166000</v>
      </c>
      <c r="M8" s="76" t="str">
        <f>IFERROR(IF(A8="","—",IF(D8=0,"—",IF(J8=0,"—",IF(J8&lt;=K8,"✓ OK",IF(J8&lt;=K8*(1+PARAM_HPP_TIPIS),"⚠ TIPIS","⚠ MAHAL"))))),  "—")</f>
        <v>⚠ MAHAL</v>
      </c>
    </row>
    <row r="9" ht="18.75" customHeight="1">
      <c r="A9" s="77" t="s">
        <v>366</v>
      </c>
      <c r="B9" s="77" t="s">
        <v>174</v>
      </c>
      <c r="C9" s="116" t="str">
        <f t="array" ref="C9">IFERROR(IF(B9="","",INDEX(PRODUK!$B:$B,MATCH(B9,PRODUK!$A:$A,0))),"")</f>
        <v>Abaya Premium Linen</v>
      </c>
      <c r="D9" s="117">
        <v>240.0</v>
      </c>
      <c r="E9" s="79">
        <v>3.675E7</v>
      </c>
      <c r="F9" s="79">
        <v>5400000.0</v>
      </c>
      <c r="G9" s="79">
        <v>1350000.0</v>
      </c>
      <c r="H9" s="118">
        <f>IFERROR(IF(A9="",0,(E9+F9)*PARAM_OVERHEAD_PCT),0)</f>
        <v>4215000</v>
      </c>
      <c r="I9" s="118">
        <f t="shared" si="1"/>
        <v>47715000</v>
      </c>
      <c r="J9" s="118">
        <f t="shared" si="2"/>
        <v>198812.5</v>
      </c>
      <c r="K9" s="119">
        <f t="array" ref="K9">IFERROR(IF(B9="",0,INDEX(PRODUK!$E:$E,MATCH(B9,PRODUK!$A:$A,0))),0)</f>
        <v>185000</v>
      </c>
      <c r="L9" s="118">
        <f t="shared" si="3"/>
        <v>-13812.5</v>
      </c>
      <c r="M9" s="81" t="str">
        <f>IFERROR(IF(A9="","—",IF(D9=0,"—",IF(J9=0,"—",IF(J9&lt;=K9,"✓ OK",IF(J9&lt;=K9*(1+PARAM_HPP_TIPIS),"⚠ TIPIS","⚠ MAHAL"))))),  "—")</f>
        <v>⚠ MAHAL</v>
      </c>
    </row>
    <row r="10" ht="18.75" customHeight="1">
      <c r="A10" s="72" t="s">
        <v>367</v>
      </c>
      <c r="B10" s="72" t="s">
        <v>178</v>
      </c>
      <c r="C10" s="112" t="str">
        <f t="array" ref="C10">IFERROR(IF(B10="","",INDEX(PRODUK!$B:$B,MATCH(B10,PRODUK!$A:$A,0))),"")</f>
        <v>Gamis Velvet Bordir</v>
      </c>
      <c r="D10" s="113">
        <v>170.0</v>
      </c>
      <c r="E10" s="74">
        <v>3.145E7</v>
      </c>
      <c r="F10" s="74">
        <v>4760000.0</v>
      </c>
      <c r="G10" s="74">
        <v>1190000.0</v>
      </c>
      <c r="H10" s="114">
        <f>IFERROR(IF(A10="",0,(E10+F10)*PARAM_OVERHEAD_PCT),0)</f>
        <v>3621000</v>
      </c>
      <c r="I10" s="114">
        <f t="shared" si="1"/>
        <v>41021000</v>
      </c>
      <c r="J10" s="114">
        <f t="shared" si="2"/>
        <v>241300</v>
      </c>
      <c r="K10" s="115">
        <f t="array" ref="K10">IFERROR(IF(B10="",0,INDEX(PRODUK!$E:$E,MATCH(B10,PRODUK!$A:$A,0))),0)</f>
        <v>220000</v>
      </c>
      <c r="L10" s="114">
        <f t="shared" si="3"/>
        <v>-21300</v>
      </c>
      <c r="M10" s="76" t="str">
        <f>IFERROR(IF(A10="","—",IF(D10=0,"—",IF(J10=0,"—",IF(J10&lt;=K10,"✓ OK",IF(J10&lt;=K10*(1+PARAM_HPP_TIPIS),"⚠ TIPIS","⚠ MAHAL"))))),  "—")</f>
        <v>⚠ MAHAL</v>
      </c>
    </row>
    <row r="11" ht="18.75" customHeight="1">
      <c r="A11" s="77"/>
      <c r="B11" s="77"/>
      <c r="C11" s="116" t="str">
        <f t="array" ref="C11">IFERROR(IF(B11="","",INDEX(PRODUK!$B:$B,MATCH(B11,PRODUK!$A:$A,0))),"")</f>
        <v/>
      </c>
      <c r="D11" s="117"/>
      <c r="E11" s="79"/>
      <c r="F11" s="79"/>
      <c r="G11" s="79"/>
      <c r="H11" s="118">
        <f>IFERROR(IF(A11="",0,(E11+F11)*PARAM_OVERHEAD_PCT),0)</f>
        <v>0</v>
      </c>
      <c r="I11" s="118">
        <f t="shared" si="1"/>
        <v>0</v>
      </c>
      <c r="J11" s="118">
        <f t="shared" si="2"/>
        <v>0</v>
      </c>
      <c r="K11" s="119">
        <f t="array" ref="K11">IFERROR(IF(B11="",0,INDEX(PRODUK!$E:$E,MATCH(B11,PRODUK!$A:$A,0))),0)</f>
        <v>0</v>
      </c>
      <c r="L11" s="118" t="str">
        <f t="shared" si="3"/>
        <v>—</v>
      </c>
      <c r="M11" s="81" t="str">
        <f>IFERROR(IF(A11="","—",IF(D11=0,"—",IF(J11=0,"—",IF(J11&lt;=K11,"✓ OK",IF(J11&lt;=K11*(1+PARAM_HPP_TIPIS),"⚠ TIPIS","⚠ MAHAL"))))),  "—")</f>
        <v>—</v>
      </c>
    </row>
    <row r="12" ht="18.75" customHeight="1">
      <c r="A12" s="72"/>
      <c r="B12" s="72"/>
      <c r="C12" s="112" t="str">
        <f t="array" ref="C12">IFERROR(IF(B12="","",INDEX(PRODUK!$B:$B,MATCH(B12,PRODUK!$A:$A,0))),"")</f>
        <v/>
      </c>
      <c r="D12" s="113"/>
      <c r="E12" s="74"/>
      <c r="F12" s="74"/>
      <c r="G12" s="74"/>
      <c r="H12" s="114">
        <f>IFERROR(IF(A12="",0,(E12+F12)*PARAM_OVERHEAD_PCT),0)</f>
        <v>0</v>
      </c>
      <c r="I12" s="114">
        <f t="shared" si="1"/>
        <v>0</v>
      </c>
      <c r="J12" s="114">
        <f t="shared" si="2"/>
        <v>0</v>
      </c>
      <c r="K12" s="115">
        <f t="array" ref="K12">IFERROR(IF(B12="",0,INDEX(PRODUK!$E:$E,MATCH(B12,PRODUK!$A:$A,0))),0)</f>
        <v>0</v>
      </c>
      <c r="L12" s="114" t="str">
        <f t="shared" si="3"/>
        <v>—</v>
      </c>
      <c r="M12" s="76" t="str">
        <f>IFERROR(IF(A12="","—",IF(D12=0,"—",IF(J12=0,"—",IF(J12&lt;=K12,"✓ OK",IF(J12&lt;=K12*(1+PARAM_HPP_TIPIS),"⚠ TIPIS","⚠ MAHAL"))))),  "—")</f>
        <v>—</v>
      </c>
    </row>
    <row r="13" ht="18.75" customHeight="1">
      <c r="A13" s="77"/>
      <c r="B13" s="77"/>
      <c r="C13" s="116" t="str">
        <f t="array" ref="C13">IFERROR(IF(B13="","",INDEX(PRODUK!$B:$B,MATCH(B13,PRODUK!$A:$A,0))),"")</f>
        <v/>
      </c>
      <c r="D13" s="117"/>
      <c r="E13" s="79"/>
      <c r="F13" s="79"/>
      <c r="G13" s="79"/>
      <c r="H13" s="118">
        <f>IFERROR(IF(A13="",0,(E13+F13)*PARAM_OVERHEAD_PCT),0)</f>
        <v>0</v>
      </c>
      <c r="I13" s="118">
        <f t="shared" si="1"/>
        <v>0</v>
      </c>
      <c r="J13" s="118">
        <f t="shared" si="2"/>
        <v>0</v>
      </c>
      <c r="K13" s="119">
        <f t="array" ref="K13">IFERROR(IF(B13="",0,INDEX(PRODUK!$E:$E,MATCH(B13,PRODUK!$A:$A,0))),0)</f>
        <v>0</v>
      </c>
      <c r="L13" s="118" t="str">
        <f t="shared" si="3"/>
        <v>—</v>
      </c>
      <c r="M13" s="81" t="str">
        <f>IFERROR(IF(A13="","—",IF(D13=0,"—",IF(J13=0,"—",IF(J13&lt;=K13,"✓ OK",IF(J13&lt;=K13*(1+PARAM_HPP_TIPIS),"⚠ TIPIS","⚠ MAHAL"))))),  "—")</f>
        <v>—</v>
      </c>
    </row>
    <row r="14" ht="18.75" customHeight="1">
      <c r="A14" s="72"/>
      <c r="B14" s="72"/>
      <c r="C14" s="112" t="str">
        <f t="array" ref="C14">IFERROR(IF(B14="","",INDEX(PRODUK!$B:$B,MATCH(B14,PRODUK!$A:$A,0))),"")</f>
        <v/>
      </c>
      <c r="D14" s="113"/>
      <c r="E14" s="74"/>
      <c r="F14" s="74"/>
      <c r="G14" s="74"/>
      <c r="H14" s="114">
        <f>IFERROR(IF(A14="",0,(E14+F14)*PARAM_OVERHEAD_PCT),0)</f>
        <v>0</v>
      </c>
      <c r="I14" s="114">
        <f t="shared" si="1"/>
        <v>0</v>
      </c>
      <c r="J14" s="114">
        <f t="shared" si="2"/>
        <v>0</v>
      </c>
      <c r="K14" s="115">
        <f t="array" ref="K14">IFERROR(IF(B14="",0,INDEX(PRODUK!$E:$E,MATCH(B14,PRODUK!$A:$A,0))),0)</f>
        <v>0</v>
      </c>
      <c r="L14" s="114" t="str">
        <f t="shared" si="3"/>
        <v>—</v>
      </c>
      <c r="M14" s="76" t="str">
        <f>IFERROR(IF(A14="","—",IF(D14=0,"—",IF(J14=0,"—",IF(J14&lt;=K14,"✓ OK",IF(J14&lt;=K14*(1+PARAM_HPP_TIPIS),"⚠ TIPIS","⚠ MAHAL"))))),  "—")</f>
        <v>—</v>
      </c>
    </row>
    <row r="15" ht="18.75" customHeight="1">
      <c r="A15" s="77"/>
      <c r="B15" s="77"/>
      <c r="C15" s="116" t="str">
        <f t="array" ref="C15">IFERROR(IF(B15="","",INDEX(PRODUK!$B:$B,MATCH(B15,PRODUK!$A:$A,0))),"")</f>
        <v/>
      </c>
      <c r="D15" s="117"/>
      <c r="E15" s="79"/>
      <c r="F15" s="79"/>
      <c r="G15" s="79"/>
      <c r="H15" s="118">
        <f>IFERROR(IF(A15="",0,(E15+F15)*PARAM_OVERHEAD_PCT),0)</f>
        <v>0</v>
      </c>
      <c r="I15" s="118">
        <f t="shared" si="1"/>
        <v>0</v>
      </c>
      <c r="J15" s="118">
        <f t="shared" si="2"/>
        <v>0</v>
      </c>
      <c r="K15" s="119">
        <f t="array" ref="K15">IFERROR(IF(B15="",0,INDEX(PRODUK!$E:$E,MATCH(B15,PRODUK!$A:$A,0))),0)</f>
        <v>0</v>
      </c>
      <c r="L15" s="118" t="str">
        <f t="shared" si="3"/>
        <v>—</v>
      </c>
      <c r="M15" s="81" t="str">
        <f>IFERROR(IF(A15="","—",IF(D15=0,"—",IF(J15=0,"—",IF(J15&lt;=K15,"✓ OK",IF(J15&lt;=K15*(1+PARAM_HPP_TIPIS),"⚠ TIPIS","⚠ MAHAL"))))),  "—")</f>
        <v>—</v>
      </c>
    </row>
    <row r="16" ht="18.75" customHeight="1">
      <c r="A16" s="72"/>
      <c r="B16" s="72"/>
      <c r="C16" s="112" t="str">
        <f t="array" ref="C16">IFERROR(IF(B16="","",INDEX(PRODUK!$B:$B,MATCH(B16,PRODUK!$A:$A,0))),"")</f>
        <v/>
      </c>
      <c r="D16" s="113"/>
      <c r="E16" s="74"/>
      <c r="F16" s="74"/>
      <c r="G16" s="74"/>
      <c r="H16" s="114">
        <f>IFERROR(IF(A16="",0,(E16+F16)*PARAM_OVERHEAD_PCT),0)</f>
        <v>0</v>
      </c>
      <c r="I16" s="114">
        <f t="shared" si="1"/>
        <v>0</v>
      </c>
      <c r="J16" s="114">
        <f t="shared" si="2"/>
        <v>0</v>
      </c>
      <c r="K16" s="115">
        <f t="array" ref="K16">IFERROR(IF(B16="",0,INDEX(PRODUK!$E:$E,MATCH(B16,PRODUK!$A:$A,0))),0)</f>
        <v>0</v>
      </c>
      <c r="L16" s="114" t="str">
        <f t="shared" si="3"/>
        <v>—</v>
      </c>
      <c r="M16" s="76" t="str">
        <f>IFERROR(IF(A16="","—",IF(D16=0,"—",IF(J16=0,"—",IF(J16&lt;=K16,"✓ OK",IF(J16&lt;=K16*(1+PARAM_HPP_TIPIS),"⚠ TIPIS","⚠ MAHAL"))))),  "—")</f>
        <v>—</v>
      </c>
    </row>
    <row r="17" ht="18.75" customHeight="1">
      <c r="A17" s="77"/>
      <c r="B17" s="77"/>
      <c r="C17" s="116" t="str">
        <f t="array" ref="C17">IFERROR(IF(B17="","",INDEX(PRODUK!$B:$B,MATCH(B17,PRODUK!$A:$A,0))),"")</f>
        <v/>
      </c>
      <c r="D17" s="117"/>
      <c r="E17" s="79"/>
      <c r="F17" s="79"/>
      <c r="G17" s="79"/>
      <c r="H17" s="118">
        <f>IFERROR(IF(A17="",0,(E17+F17)*PARAM_OVERHEAD_PCT),0)</f>
        <v>0</v>
      </c>
      <c r="I17" s="118">
        <f t="shared" si="1"/>
        <v>0</v>
      </c>
      <c r="J17" s="118">
        <f t="shared" si="2"/>
        <v>0</v>
      </c>
      <c r="K17" s="119">
        <f t="array" ref="K17">IFERROR(IF(B17="",0,INDEX(PRODUK!$E:$E,MATCH(B17,PRODUK!$A:$A,0))),0)</f>
        <v>0</v>
      </c>
      <c r="L17" s="118" t="str">
        <f t="shared" si="3"/>
        <v>—</v>
      </c>
      <c r="M17" s="81" t="str">
        <f>IFERROR(IF(A17="","—",IF(D17=0,"—",IF(J17=0,"—",IF(J17&lt;=K17,"✓ OK",IF(J17&lt;=K17*(1+PARAM_HPP_TIPIS),"⚠ TIPIS","⚠ MAHAL"))))),  "—")</f>
        <v>—</v>
      </c>
    </row>
    <row r="18" ht="18.75" customHeight="1">
      <c r="A18" s="72"/>
      <c r="B18" s="72"/>
      <c r="C18" s="112" t="str">
        <f t="array" ref="C18">IFERROR(IF(B18="","",INDEX(PRODUK!$B:$B,MATCH(B18,PRODUK!$A:$A,0))),"")</f>
        <v/>
      </c>
      <c r="D18" s="113"/>
      <c r="E18" s="74"/>
      <c r="F18" s="74"/>
      <c r="G18" s="74"/>
      <c r="H18" s="114">
        <f>IFERROR(IF(A18="",0,(E18+F18)*PARAM_OVERHEAD_PCT),0)</f>
        <v>0</v>
      </c>
      <c r="I18" s="114">
        <f t="shared" si="1"/>
        <v>0</v>
      </c>
      <c r="J18" s="114">
        <f t="shared" si="2"/>
        <v>0</v>
      </c>
      <c r="K18" s="115">
        <f t="array" ref="K18">IFERROR(IF(B18="",0,INDEX(PRODUK!$E:$E,MATCH(B18,PRODUK!$A:$A,0))),0)</f>
        <v>0</v>
      </c>
      <c r="L18" s="114" t="str">
        <f t="shared" si="3"/>
        <v>—</v>
      </c>
      <c r="M18" s="76" t="str">
        <f>IFERROR(IF(A18="","—",IF(D18=0,"—",IF(J18=0,"—",IF(J18&lt;=K18,"✓ OK",IF(J18&lt;=K18*(1+PARAM_HPP_TIPIS),"⚠ TIPIS","⚠ MAHAL"))))),  "—")</f>
        <v>—</v>
      </c>
    </row>
    <row r="19" ht="18.75" customHeight="1">
      <c r="A19" s="77"/>
      <c r="B19" s="77"/>
      <c r="C19" s="116" t="str">
        <f t="array" ref="C19">IFERROR(IF(B19="","",INDEX(PRODUK!$B:$B,MATCH(B19,PRODUK!$A:$A,0))),"")</f>
        <v/>
      </c>
      <c r="D19" s="117"/>
      <c r="E19" s="79"/>
      <c r="F19" s="79"/>
      <c r="G19" s="79"/>
      <c r="H19" s="118">
        <f>IFERROR(IF(A19="",0,(E19+F19)*PARAM_OVERHEAD_PCT),0)</f>
        <v>0</v>
      </c>
      <c r="I19" s="118">
        <f t="shared" si="1"/>
        <v>0</v>
      </c>
      <c r="J19" s="118">
        <f t="shared" si="2"/>
        <v>0</v>
      </c>
      <c r="K19" s="119">
        <f t="array" ref="K19">IFERROR(IF(B19="",0,INDEX(PRODUK!$E:$E,MATCH(B19,PRODUK!$A:$A,0))),0)</f>
        <v>0</v>
      </c>
      <c r="L19" s="118" t="str">
        <f t="shared" si="3"/>
        <v>—</v>
      </c>
      <c r="M19" s="81" t="str">
        <f>IFERROR(IF(A19="","—",IF(D19=0,"—",IF(J19=0,"—",IF(J19&lt;=K19,"✓ OK",IF(J19&lt;=K19*(1+PARAM_HPP_TIPIS),"⚠ TIPIS","⚠ MAHAL"))))),  "—")</f>
        <v>—</v>
      </c>
    </row>
    <row r="20" ht="18.75" customHeight="1">
      <c r="A20" s="72"/>
      <c r="B20" s="72"/>
      <c r="C20" s="112" t="str">
        <f t="array" ref="C20">IFERROR(IF(B20="","",INDEX(PRODUK!$B:$B,MATCH(B20,PRODUK!$A:$A,0))),"")</f>
        <v/>
      </c>
      <c r="D20" s="113"/>
      <c r="E20" s="74"/>
      <c r="F20" s="74"/>
      <c r="G20" s="74"/>
      <c r="H20" s="114">
        <f>IFERROR(IF(A20="",0,(E20+F20)*PARAM_OVERHEAD_PCT),0)</f>
        <v>0</v>
      </c>
      <c r="I20" s="114">
        <f t="shared" si="1"/>
        <v>0</v>
      </c>
      <c r="J20" s="114">
        <f t="shared" si="2"/>
        <v>0</v>
      </c>
      <c r="K20" s="115">
        <f t="array" ref="K20">IFERROR(IF(B20="",0,INDEX(PRODUK!$E:$E,MATCH(B20,PRODUK!$A:$A,0))),0)</f>
        <v>0</v>
      </c>
      <c r="L20" s="114" t="str">
        <f t="shared" si="3"/>
        <v>—</v>
      </c>
      <c r="M20" s="76" t="str">
        <f>IFERROR(IF(A20="","—",IF(D20=0,"—",IF(J20=0,"—",IF(J20&lt;=K20,"✓ OK",IF(J20&lt;=K20*(1+PARAM_HPP_TIPIS),"⚠ TIPIS","⚠ MAHAL"))))),  "—")</f>
        <v>—</v>
      </c>
    </row>
    <row r="21" ht="18.75" customHeight="1">
      <c r="A21" s="77"/>
      <c r="B21" s="77"/>
      <c r="C21" s="116" t="str">
        <f t="array" ref="C21">IFERROR(IF(B21="","",INDEX(PRODUK!$B:$B,MATCH(B21,PRODUK!$A:$A,0))),"")</f>
        <v/>
      </c>
      <c r="D21" s="117"/>
      <c r="E21" s="79"/>
      <c r="F21" s="79"/>
      <c r="G21" s="79"/>
      <c r="H21" s="118">
        <f>IFERROR(IF(A21="",0,(E21+F21)*PARAM_OVERHEAD_PCT),0)</f>
        <v>0</v>
      </c>
      <c r="I21" s="118">
        <f t="shared" si="1"/>
        <v>0</v>
      </c>
      <c r="J21" s="118">
        <f t="shared" si="2"/>
        <v>0</v>
      </c>
      <c r="K21" s="119">
        <f t="array" ref="K21">IFERROR(IF(B21="",0,INDEX(PRODUK!$E:$E,MATCH(B21,PRODUK!$A:$A,0))),0)</f>
        <v>0</v>
      </c>
      <c r="L21" s="118" t="str">
        <f t="shared" si="3"/>
        <v>—</v>
      </c>
      <c r="M21" s="81" t="str">
        <f>IFERROR(IF(A21="","—",IF(D21=0,"—",IF(J21=0,"—",IF(J21&lt;=K21,"✓ OK",IF(J21&lt;=K21*(1+PARAM_HPP_TIPIS),"⚠ TIPIS","⚠ MAHAL"))))),  "—")</f>
        <v>—</v>
      </c>
    </row>
    <row r="22" ht="18.75" customHeight="1">
      <c r="A22" s="72"/>
      <c r="B22" s="72"/>
      <c r="C22" s="112" t="str">
        <f t="array" ref="C22">IFERROR(IF(B22="","",INDEX(PRODUK!$B:$B,MATCH(B22,PRODUK!$A:$A,0))),"")</f>
        <v/>
      </c>
      <c r="D22" s="113"/>
      <c r="E22" s="74"/>
      <c r="F22" s="74"/>
      <c r="G22" s="74"/>
      <c r="H22" s="114">
        <f>IFERROR(IF(A22="",0,(E22+F22)*PARAM_OVERHEAD_PCT),0)</f>
        <v>0</v>
      </c>
      <c r="I22" s="114">
        <f t="shared" si="1"/>
        <v>0</v>
      </c>
      <c r="J22" s="114">
        <f t="shared" si="2"/>
        <v>0</v>
      </c>
      <c r="K22" s="115">
        <f t="array" ref="K22">IFERROR(IF(B22="",0,INDEX(PRODUK!$E:$E,MATCH(B22,PRODUK!$A:$A,0))),0)</f>
        <v>0</v>
      </c>
      <c r="L22" s="114" t="str">
        <f t="shared" si="3"/>
        <v>—</v>
      </c>
      <c r="M22" s="76" t="str">
        <f>IFERROR(IF(A22="","—",IF(D22=0,"—",IF(J22=0,"—",IF(J22&lt;=K22,"✓ OK",IF(J22&lt;=K22*(1+PARAM_HPP_TIPIS),"⚠ TIPIS","⚠ MAHAL"))))),  "—")</f>
        <v>—</v>
      </c>
    </row>
    <row r="23" ht="18.75" customHeight="1">
      <c r="A23" s="77"/>
      <c r="B23" s="77"/>
      <c r="C23" s="116" t="str">
        <f t="array" ref="C23">IFERROR(IF(B23="","",INDEX(PRODUK!$B:$B,MATCH(B23,PRODUK!$A:$A,0))),"")</f>
        <v/>
      </c>
      <c r="D23" s="117"/>
      <c r="E23" s="79"/>
      <c r="F23" s="79"/>
      <c r="G23" s="79"/>
      <c r="H23" s="118">
        <f>IFERROR(IF(A23="",0,(E23+F23)*PARAM_OVERHEAD_PCT),0)</f>
        <v>0</v>
      </c>
      <c r="I23" s="118">
        <f t="shared" si="1"/>
        <v>0</v>
      </c>
      <c r="J23" s="118">
        <f t="shared" si="2"/>
        <v>0</v>
      </c>
      <c r="K23" s="119">
        <f t="array" ref="K23">IFERROR(IF(B23="",0,INDEX(PRODUK!$E:$E,MATCH(B23,PRODUK!$A:$A,0))),0)</f>
        <v>0</v>
      </c>
      <c r="L23" s="118" t="str">
        <f t="shared" si="3"/>
        <v>—</v>
      </c>
      <c r="M23" s="81" t="str">
        <f>IFERROR(IF(A23="","—",IF(D23=0,"—",IF(J23=0,"—",IF(J23&lt;=K23,"✓ OK",IF(J23&lt;=K23*(1+PARAM_HPP_TIPIS),"⚠ TIPIS","⚠ MAHAL"))))),  "—")</f>
        <v>—</v>
      </c>
    </row>
    <row r="24" ht="18.75" customHeight="1">
      <c r="A24" s="72"/>
      <c r="B24" s="72"/>
      <c r="C24" s="112" t="str">
        <f t="array" ref="C24">IFERROR(IF(B24="","",INDEX(PRODUK!$B:$B,MATCH(B24,PRODUK!$A:$A,0))),"")</f>
        <v/>
      </c>
      <c r="D24" s="113"/>
      <c r="E24" s="74"/>
      <c r="F24" s="74"/>
      <c r="G24" s="74"/>
      <c r="H24" s="114">
        <f>IFERROR(IF(A24="",0,(E24+F24)*PARAM_OVERHEAD_PCT),0)</f>
        <v>0</v>
      </c>
      <c r="I24" s="114">
        <f t="shared" si="1"/>
        <v>0</v>
      </c>
      <c r="J24" s="114">
        <f t="shared" si="2"/>
        <v>0</v>
      </c>
      <c r="K24" s="115">
        <f t="array" ref="K24">IFERROR(IF(B24="",0,INDEX(PRODUK!$E:$E,MATCH(B24,PRODUK!$A:$A,0))),0)</f>
        <v>0</v>
      </c>
      <c r="L24" s="114" t="str">
        <f t="shared" si="3"/>
        <v>—</v>
      </c>
      <c r="M24" s="76" t="str">
        <f>IFERROR(IF(A24="","—",IF(D24=0,"—",IF(J24=0,"—",IF(J24&lt;=K24,"✓ OK",IF(J24&lt;=K24*(1+PARAM_HPP_TIPIS),"⚠ TIPIS","⚠ MAHAL"))))),  "—")</f>
        <v>—</v>
      </c>
    </row>
    <row r="25" ht="18.75" customHeight="1">
      <c r="A25" s="77"/>
      <c r="B25" s="77"/>
      <c r="C25" s="116" t="str">
        <f t="array" ref="C25">IFERROR(IF(B25="","",INDEX(PRODUK!$B:$B,MATCH(B25,PRODUK!$A:$A,0))),"")</f>
        <v/>
      </c>
      <c r="D25" s="117"/>
      <c r="E25" s="79"/>
      <c r="F25" s="79"/>
      <c r="G25" s="79"/>
      <c r="H25" s="118">
        <f>IFERROR(IF(A25="",0,(E25+F25)*PARAM_OVERHEAD_PCT),0)</f>
        <v>0</v>
      </c>
      <c r="I25" s="118">
        <f t="shared" si="1"/>
        <v>0</v>
      </c>
      <c r="J25" s="118">
        <f t="shared" si="2"/>
        <v>0</v>
      </c>
      <c r="K25" s="119">
        <f t="array" ref="K25">IFERROR(IF(B25="",0,INDEX(PRODUK!$E:$E,MATCH(B25,PRODUK!$A:$A,0))),0)</f>
        <v>0</v>
      </c>
      <c r="L25" s="118" t="str">
        <f t="shared" si="3"/>
        <v>—</v>
      </c>
      <c r="M25" s="81" t="str">
        <f>IFERROR(IF(A25="","—",IF(D25=0,"—",IF(J25=0,"—",IF(J25&lt;=K25,"✓ OK",IF(J25&lt;=K25*(1+PARAM_HPP_TIPIS),"⚠ TIPIS","⚠ MAHAL"))))),  "—")</f>
        <v>—</v>
      </c>
    </row>
    <row r="26" ht="18.75" customHeight="1">
      <c r="A26" s="72"/>
      <c r="B26" s="72"/>
      <c r="C26" s="112" t="str">
        <f t="array" ref="C26">IFERROR(IF(B26="","",INDEX(PRODUK!$B:$B,MATCH(B26,PRODUK!$A:$A,0))),"")</f>
        <v/>
      </c>
      <c r="D26" s="113"/>
      <c r="E26" s="74"/>
      <c r="F26" s="74"/>
      <c r="G26" s="74"/>
      <c r="H26" s="114">
        <f>IFERROR(IF(A26="",0,(E26+F26)*PARAM_OVERHEAD_PCT),0)</f>
        <v>0</v>
      </c>
      <c r="I26" s="114">
        <f t="shared" si="1"/>
        <v>0</v>
      </c>
      <c r="J26" s="114">
        <f t="shared" si="2"/>
        <v>0</v>
      </c>
      <c r="K26" s="115">
        <f t="array" ref="K26">IFERROR(IF(B26="",0,INDEX(PRODUK!$E:$E,MATCH(B26,PRODUK!$A:$A,0))),0)</f>
        <v>0</v>
      </c>
      <c r="L26" s="114" t="str">
        <f t="shared" si="3"/>
        <v>—</v>
      </c>
      <c r="M26" s="76" t="str">
        <f>IFERROR(IF(A26="","—",IF(D26=0,"—",IF(J26=0,"—",IF(J26&lt;=K26,"✓ OK",IF(J26&lt;=K26*(1+PARAM_HPP_TIPIS),"⚠ TIPIS","⚠ MAHAL"))))),  "—")</f>
        <v>—</v>
      </c>
    </row>
    <row r="27" ht="18.75" customHeight="1">
      <c r="A27" s="77"/>
      <c r="B27" s="77"/>
      <c r="C27" s="116" t="str">
        <f t="array" ref="C27">IFERROR(IF(B27="","",INDEX(PRODUK!$B:$B,MATCH(B27,PRODUK!$A:$A,0))),"")</f>
        <v/>
      </c>
      <c r="D27" s="117"/>
      <c r="E27" s="79"/>
      <c r="F27" s="79"/>
      <c r="G27" s="79"/>
      <c r="H27" s="118">
        <f>IFERROR(IF(A27="",0,(E27+F27)*PARAM_OVERHEAD_PCT),0)</f>
        <v>0</v>
      </c>
      <c r="I27" s="118">
        <f t="shared" si="1"/>
        <v>0</v>
      </c>
      <c r="J27" s="118">
        <f t="shared" si="2"/>
        <v>0</v>
      </c>
      <c r="K27" s="119">
        <f t="array" ref="K27">IFERROR(IF(B27="",0,INDEX(PRODUK!$E:$E,MATCH(B27,PRODUK!$A:$A,0))),0)</f>
        <v>0</v>
      </c>
      <c r="L27" s="118" t="str">
        <f t="shared" si="3"/>
        <v>—</v>
      </c>
      <c r="M27" s="81" t="str">
        <f>IFERROR(IF(A27="","—",IF(D27=0,"—",IF(J27=0,"—",IF(J27&lt;=K27,"✓ OK",IF(J27&lt;=K27*(1+PARAM_HPP_TIPIS),"⚠ TIPIS","⚠ MAHAL"))))),  "—")</f>
        <v>—</v>
      </c>
    </row>
    <row r="28" ht="18.75" customHeight="1">
      <c r="A28" s="72"/>
      <c r="B28" s="72"/>
      <c r="C28" s="112" t="str">
        <f t="array" ref="C28">IFERROR(IF(B28="","",INDEX(PRODUK!$B:$B,MATCH(B28,PRODUK!$A:$A,0))),"")</f>
        <v/>
      </c>
      <c r="D28" s="113"/>
      <c r="E28" s="74"/>
      <c r="F28" s="74"/>
      <c r="G28" s="74"/>
      <c r="H28" s="114">
        <f>IFERROR(IF(A28="",0,(E28+F28)*PARAM_OVERHEAD_PCT),0)</f>
        <v>0</v>
      </c>
      <c r="I28" s="114">
        <f t="shared" si="1"/>
        <v>0</v>
      </c>
      <c r="J28" s="114">
        <f t="shared" si="2"/>
        <v>0</v>
      </c>
      <c r="K28" s="115">
        <f t="array" ref="K28">IFERROR(IF(B28="",0,INDEX(PRODUK!$E:$E,MATCH(B28,PRODUK!$A:$A,0))),0)</f>
        <v>0</v>
      </c>
      <c r="L28" s="114" t="str">
        <f t="shared" si="3"/>
        <v>—</v>
      </c>
      <c r="M28" s="76" t="str">
        <f>IFERROR(IF(A28="","—",IF(D28=0,"—",IF(J28=0,"—",IF(J28&lt;=K28,"✓ OK",IF(J28&lt;=K28*(1+PARAM_HPP_TIPIS),"⚠ TIPIS","⚠ MAHAL"))))),  "—")</f>
        <v>—</v>
      </c>
    </row>
    <row r="29" ht="18.75" customHeight="1">
      <c r="A29" s="77"/>
      <c r="B29" s="77"/>
      <c r="C29" s="116" t="str">
        <f t="array" ref="C29">IFERROR(IF(B29="","",INDEX(PRODUK!$B:$B,MATCH(B29,PRODUK!$A:$A,0))),"")</f>
        <v/>
      </c>
      <c r="D29" s="117"/>
      <c r="E29" s="79"/>
      <c r="F29" s="79"/>
      <c r="G29" s="79"/>
      <c r="H29" s="118">
        <f>IFERROR(IF(A29="",0,(E29+F29)*PARAM_OVERHEAD_PCT),0)</f>
        <v>0</v>
      </c>
      <c r="I29" s="118">
        <f t="shared" si="1"/>
        <v>0</v>
      </c>
      <c r="J29" s="118">
        <f t="shared" si="2"/>
        <v>0</v>
      </c>
      <c r="K29" s="119">
        <f t="array" ref="K29">IFERROR(IF(B29="",0,INDEX(PRODUK!$E:$E,MATCH(B29,PRODUK!$A:$A,0))),0)</f>
        <v>0</v>
      </c>
      <c r="L29" s="118" t="str">
        <f t="shared" si="3"/>
        <v>—</v>
      </c>
      <c r="M29" s="81" t="str">
        <f>IFERROR(IF(A29="","—",IF(D29=0,"—",IF(J29=0,"—",IF(J29&lt;=K29,"✓ OK",IF(J29&lt;=K29*(1+PARAM_HPP_TIPIS),"⚠ TIPIS","⚠ MAHAL"))))),  "—")</f>
        <v>—</v>
      </c>
    </row>
    <row r="30" ht="18.75" customHeight="1">
      <c r="A30" s="72"/>
      <c r="B30" s="72"/>
      <c r="C30" s="112" t="str">
        <f t="array" ref="C30">IFERROR(IF(B30="","",INDEX(PRODUK!$B:$B,MATCH(B30,PRODUK!$A:$A,0))),"")</f>
        <v/>
      </c>
      <c r="D30" s="113"/>
      <c r="E30" s="74"/>
      <c r="F30" s="74"/>
      <c r="G30" s="74"/>
      <c r="H30" s="114">
        <f>IFERROR(IF(A30="",0,(E30+F30)*PARAM_OVERHEAD_PCT),0)</f>
        <v>0</v>
      </c>
      <c r="I30" s="114">
        <f t="shared" si="1"/>
        <v>0</v>
      </c>
      <c r="J30" s="114">
        <f t="shared" si="2"/>
        <v>0</v>
      </c>
      <c r="K30" s="115">
        <f t="array" ref="K30">IFERROR(IF(B30="",0,INDEX(PRODUK!$E:$E,MATCH(B30,PRODUK!$A:$A,0))),0)</f>
        <v>0</v>
      </c>
      <c r="L30" s="114" t="str">
        <f t="shared" si="3"/>
        <v>—</v>
      </c>
      <c r="M30" s="76" t="str">
        <f>IFERROR(IF(A30="","—",IF(D30=0,"—",IF(J30=0,"—",IF(J30&lt;=K30,"✓ OK",IF(J30&lt;=K30*(1+PARAM_HPP_TIPIS),"⚠ TIPIS","⚠ MAHAL"))))),  "—")</f>
        <v>—</v>
      </c>
    </row>
    <row r="31" ht="18.75" customHeight="1">
      <c r="A31" s="77"/>
      <c r="B31" s="77"/>
      <c r="C31" s="116" t="str">
        <f t="array" ref="C31">IFERROR(IF(B31="","",INDEX(PRODUK!$B:$B,MATCH(B31,PRODUK!$A:$A,0))),"")</f>
        <v/>
      </c>
      <c r="D31" s="117"/>
      <c r="E31" s="79"/>
      <c r="F31" s="79"/>
      <c r="G31" s="79"/>
      <c r="H31" s="118">
        <f>IFERROR(IF(A31="",0,(E31+F31)*PARAM_OVERHEAD_PCT),0)</f>
        <v>0</v>
      </c>
      <c r="I31" s="118">
        <f t="shared" si="1"/>
        <v>0</v>
      </c>
      <c r="J31" s="118">
        <f t="shared" si="2"/>
        <v>0</v>
      </c>
      <c r="K31" s="119">
        <f t="array" ref="K31">IFERROR(IF(B31="",0,INDEX(PRODUK!$E:$E,MATCH(B31,PRODUK!$A:$A,0))),0)</f>
        <v>0</v>
      </c>
      <c r="L31" s="118" t="str">
        <f t="shared" si="3"/>
        <v>—</v>
      </c>
      <c r="M31" s="81" t="str">
        <f>IFERROR(IF(A31="","—",IF(D31=0,"—",IF(J31=0,"—",IF(J31&lt;=K31,"✓ OK",IF(J31&lt;=K31*(1+PARAM_HPP_TIPIS),"⚠ TIPIS","⚠ MAHAL"))))),  "—")</f>
        <v>—</v>
      </c>
    </row>
    <row r="32" ht="18.75" customHeight="1">
      <c r="A32" s="72"/>
      <c r="B32" s="72"/>
      <c r="C32" s="112" t="str">
        <f t="array" ref="C32">IFERROR(IF(B32="","",INDEX(PRODUK!$B:$B,MATCH(B32,PRODUK!$A:$A,0))),"")</f>
        <v/>
      </c>
      <c r="D32" s="113"/>
      <c r="E32" s="74"/>
      <c r="F32" s="74"/>
      <c r="G32" s="74"/>
      <c r="H32" s="114">
        <f>IFERROR(IF(A32="",0,(E32+F32)*PARAM_OVERHEAD_PCT),0)</f>
        <v>0</v>
      </c>
      <c r="I32" s="114">
        <f t="shared" si="1"/>
        <v>0</v>
      </c>
      <c r="J32" s="114">
        <f t="shared" si="2"/>
        <v>0</v>
      </c>
      <c r="K32" s="115">
        <f t="array" ref="K32">IFERROR(IF(B32="",0,INDEX(PRODUK!$E:$E,MATCH(B32,PRODUK!$A:$A,0))),0)</f>
        <v>0</v>
      </c>
      <c r="L32" s="114" t="str">
        <f t="shared" si="3"/>
        <v>—</v>
      </c>
      <c r="M32" s="76" t="str">
        <f>IFERROR(IF(A32="","—",IF(D32=0,"—",IF(J32=0,"—",IF(J32&lt;=K32,"✓ OK",IF(J32&lt;=K32*(1+PARAM_HPP_TIPIS),"⚠ TIPIS","⚠ MAHAL"))))),  "—")</f>
        <v>—</v>
      </c>
    </row>
    <row r="33" ht="18.75" customHeight="1">
      <c r="A33" s="77"/>
      <c r="B33" s="77"/>
      <c r="C33" s="116" t="str">
        <f t="array" ref="C33">IFERROR(IF(B33="","",INDEX(PRODUK!$B:$B,MATCH(B33,PRODUK!$A:$A,0))),"")</f>
        <v/>
      </c>
      <c r="D33" s="117"/>
      <c r="E33" s="79"/>
      <c r="F33" s="79"/>
      <c r="G33" s="79"/>
      <c r="H33" s="118">
        <f>IFERROR(IF(A33="",0,(E33+F33)*PARAM_OVERHEAD_PCT),0)</f>
        <v>0</v>
      </c>
      <c r="I33" s="118">
        <f t="shared" si="1"/>
        <v>0</v>
      </c>
      <c r="J33" s="118">
        <f t="shared" si="2"/>
        <v>0</v>
      </c>
      <c r="K33" s="119">
        <f t="array" ref="K33">IFERROR(IF(B33="",0,INDEX(PRODUK!$E:$E,MATCH(B33,PRODUK!$A:$A,0))),0)</f>
        <v>0</v>
      </c>
      <c r="L33" s="118" t="str">
        <f t="shared" si="3"/>
        <v>—</v>
      </c>
      <c r="M33" s="81" t="str">
        <f>IFERROR(IF(A33="","—",IF(D33=0,"—",IF(J33=0,"—",IF(J33&lt;=K33,"✓ OK",IF(J33&lt;=K33*(1+PARAM_HPP_TIPIS),"⚠ TIPIS","⚠ MAHAL"))))),  "—")</f>
        <v>—</v>
      </c>
    </row>
    <row r="34" ht="18.75" customHeight="1">
      <c r="A34" s="72"/>
      <c r="B34" s="72"/>
      <c r="C34" s="112" t="str">
        <f t="array" ref="C34">IFERROR(IF(B34="","",INDEX(PRODUK!$B:$B,MATCH(B34,PRODUK!$A:$A,0))),"")</f>
        <v/>
      </c>
      <c r="D34" s="113"/>
      <c r="E34" s="74"/>
      <c r="F34" s="74"/>
      <c r="G34" s="74"/>
      <c r="H34" s="114">
        <f>IFERROR(IF(A34="",0,(E34+F34)*PARAM_OVERHEAD_PCT),0)</f>
        <v>0</v>
      </c>
      <c r="I34" s="114">
        <f t="shared" si="1"/>
        <v>0</v>
      </c>
      <c r="J34" s="114">
        <f t="shared" si="2"/>
        <v>0</v>
      </c>
      <c r="K34" s="115">
        <f t="array" ref="K34">IFERROR(IF(B34="",0,INDEX(PRODUK!$E:$E,MATCH(B34,PRODUK!$A:$A,0))),0)</f>
        <v>0</v>
      </c>
      <c r="L34" s="114" t="str">
        <f t="shared" si="3"/>
        <v>—</v>
      </c>
      <c r="M34" s="76" t="str">
        <f>IFERROR(IF(A34="","—",IF(D34=0,"—",IF(J34=0,"—",IF(J34&lt;=K34,"✓ OK",IF(J34&lt;=K34*(1+PARAM_HPP_TIPIS),"⚠ TIPIS","⚠ MAHAL"))))),  "—")</f>
        <v>—</v>
      </c>
    </row>
    <row r="35" ht="18.75" customHeight="1">
      <c r="A35" s="77"/>
      <c r="B35" s="77"/>
      <c r="C35" s="116" t="str">
        <f t="array" ref="C35">IFERROR(IF(B35="","",INDEX(PRODUK!$B:$B,MATCH(B35,PRODUK!$A:$A,0))),"")</f>
        <v/>
      </c>
      <c r="D35" s="117"/>
      <c r="E35" s="79"/>
      <c r="F35" s="79"/>
      <c r="G35" s="79"/>
      <c r="H35" s="118">
        <f>IFERROR(IF(A35="",0,(E35+F35)*PARAM_OVERHEAD_PCT),0)</f>
        <v>0</v>
      </c>
      <c r="I35" s="118">
        <f t="shared" si="1"/>
        <v>0</v>
      </c>
      <c r="J35" s="118">
        <f t="shared" si="2"/>
        <v>0</v>
      </c>
      <c r="K35" s="119">
        <f t="array" ref="K35">IFERROR(IF(B35="",0,INDEX(PRODUK!$E:$E,MATCH(B35,PRODUK!$A:$A,0))),0)</f>
        <v>0</v>
      </c>
      <c r="L35" s="118" t="str">
        <f t="shared" si="3"/>
        <v>—</v>
      </c>
      <c r="M35" s="81" t="str">
        <f>IFERROR(IF(A35="","—",IF(D35=0,"—",IF(J35=0,"—",IF(J35&lt;=K35,"✓ OK",IF(J35&lt;=K35*(1+PARAM_HPP_TIPIS),"⚠ TIPIS","⚠ MAHAL"))))),  "—")</f>
        <v>—</v>
      </c>
    </row>
    <row r="36" ht="18.75" customHeight="1">
      <c r="A36" s="72"/>
      <c r="B36" s="72"/>
      <c r="C36" s="112" t="str">
        <f t="array" ref="C36">IFERROR(IF(B36="","",INDEX(PRODUK!$B:$B,MATCH(B36,PRODUK!$A:$A,0))),"")</f>
        <v/>
      </c>
      <c r="D36" s="113"/>
      <c r="E36" s="74"/>
      <c r="F36" s="74"/>
      <c r="G36" s="74"/>
      <c r="H36" s="114">
        <f>IFERROR(IF(A36="",0,(E36+F36)*PARAM_OVERHEAD_PCT),0)</f>
        <v>0</v>
      </c>
      <c r="I36" s="114">
        <f t="shared" si="1"/>
        <v>0</v>
      </c>
      <c r="J36" s="114">
        <f t="shared" si="2"/>
        <v>0</v>
      </c>
      <c r="K36" s="115">
        <f t="array" ref="K36">IFERROR(IF(B36="",0,INDEX(PRODUK!$E:$E,MATCH(B36,PRODUK!$A:$A,0))),0)</f>
        <v>0</v>
      </c>
      <c r="L36" s="114" t="str">
        <f t="shared" si="3"/>
        <v>—</v>
      </c>
      <c r="M36" s="76" t="str">
        <f>IFERROR(IF(A36="","—",IF(D36=0,"—",IF(J36=0,"—",IF(J36&lt;=K36,"✓ OK",IF(J36&lt;=K36*(1+PARAM_HPP_TIPIS),"⚠ TIPIS","⚠ MAHAL"))))),  "—")</f>
        <v>—</v>
      </c>
    </row>
    <row r="37" ht="18.75" customHeight="1">
      <c r="A37" s="77"/>
      <c r="B37" s="77"/>
      <c r="C37" s="116" t="str">
        <f t="array" ref="C37">IFERROR(IF(B37="","",INDEX(PRODUK!$B:$B,MATCH(B37,PRODUK!$A:$A,0))),"")</f>
        <v/>
      </c>
      <c r="D37" s="117"/>
      <c r="E37" s="79"/>
      <c r="F37" s="79"/>
      <c r="G37" s="79"/>
      <c r="H37" s="118">
        <f>IFERROR(IF(A37="",0,(E37+F37)*PARAM_OVERHEAD_PCT),0)</f>
        <v>0</v>
      </c>
      <c r="I37" s="118">
        <f t="shared" si="1"/>
        <v>0</v>
      </c>
      <c r="J37" s="118">
        <f t="shared" si="2"/>
        <v>0</v>
      </c>
      <c r="K37" s="119">
        <f t="array" ref="K37">IFERROR(IF(B37="",0,INDEX(PRODUK!$E:$E,MATCH(B37,PRODUK!$A:$A,0))),0)</f>
        <v>0</v>
      </c>
      <c r="L37" s="118" t="str">
        <f t="shared" si="3"/>
        <v>—</v>
      </c>
      <c r="M37" s="81" t="str">
        <f>IFERROR(IF(A37="","—",IF(D37=0,"—",IF(J37=0,"—",IF(J37&lt;=K37,"✓ OK",IF(J37&lt;=K37*(1+PARAM_HPP_TIPIS),"⚠ TIPIS","⚠ MAHAL"))))),  "—")</f>
        <v>—</v>
      </c>
    </row>
    <row r="38" ht="18.75" customHeight="1">
      <c r="A38" s="72"/>
      <c r="B38" s="72"/>
      <c r="C38" s="112" t="str">
        <f t="array" ref="C38">IFERROR(IF(B38="","",INDEX(PRODUK!$B:$B,MATCH(B38,PRODUK!$A:$A,0))),"")</f>
        <v/>
      </c>
      <c r="D38" s="113"/>
      <c r="E38" s="74"/>
      <c r="F38" s="74"/>
      <c r="G38" s="74"/>
      <c r="H38" s="114">
        <f>IFERROR(IF(A38="",0,(E38+F38)*PARAM_OVERHEAD_PCT),0)</f>
        <v>0</v>
      </c>
      <c r="I38" s="114">
        <f t="shared" si="1"/>
        <v>0</v>
      </c>
      <c r="J38" s="114">
        <f t="shared" si="2"/>
        <v>0</v>
      </c>
      <c r="K38" s="115">
        <f t="array" ref="K38">IFERROR(IF(B38="",0,INDEX(PRODUK!$E:$E,MATCH(B38,PRODUK!$A:$A,0))),0)</f>
        <v>0</v>
      </c>
      <c r="L38" s="114" t="str">
        <f t="shared" si="3"/>
        <v>—</v>
      </c>
      <c r="M38" s="76" t="str">
        <f>IFERROR(IF(A38="","—",IF(D38=0,"—",IF(J38=0,"—",IF(J38&lt;=K38,"✓ OK",IF(J38&lt;=K38*(1+PARAM_HPP_TIPIS),"⚠ TIPIS","⚠ MAHAL"))))),  "—")</f>
        <v>—</v>
      </c>
    </row>
    <row r="39" ht="18.75" customHeight="1">
      <c r="A39" s="77"/>
      <c r="B39" s="77"/>
      <c r="C39" s="116" t="str">
        <f t="array" ref="C39">IFERROR(IF(B39="","",INDEX(PRODUK!$B:$B,MATCH(B39,PRODUK!$A:$A,0))),"")</f>
        <v/>
      </c>
      <c r="D39" s="117"/>
      <c r="E39" s="79"/>
      <c r="F39" s="79"/>
      <c r="G39" s="79"/>
      <c r="H39" s="118">
        <f>IFERROR(IF(A39="",0,(E39+F39)*PARAM_OVERHEAD_PCT),0)</f>
        <v>0</v>
      </c>
      <c r="I39" s="118">
        <f t="shared" si="1"/>
        <v>0</v>
      </c>
      <c r="J39" s="118">
        <f t="shared" si="2"/>
        <v>0</v>
      </c>
      <c r="K39" s="119">
        <f t="array" ref="K39">IFERROR(IF(B39="",0,INDEX(PRODUK!$E:$E,MATCH(B39,PRODUK!$A:$A,0))),0)</f>
        <v>0</v>
      </c>
      <c r="L39" s="118" t="str">
        <f t="shared" si="3"/>
        <v>—</v>
      </c>
      <c r="M39" s="81" t="str">
        <f>IFERROR(IF(A39="","—",IF(D39=0,"—",IF(J39=0,"—",IF(J39&lt;=K39,"✓ OK",IF(J39&lt;=K39*(1+PARAM_HPP_TIPIS),"⚠ TIPIS","⚠ MAHAL"))))),  "—")</f>
        <v>—</v>
      </c>
    </row>
    <row r="40" ht="18.75" customHeight="1">
      <c r="A40" s="72"/>
      <c r="B40" s="72"/>
      <c r="C40" s="112" t="str">
        <f t="array" ref="C40">IFERROR(IF(B40="","",INDEX(PRODUK!$B:$B,MATCH(B40,PRODUK!$A:$A,0))),"")</f>
        <v/>
      </c>
      <c r="D40" s="113"/>
      <c r="E40" s="74"/>
      <c r="F40" s="74"/>
      <c r="G40" s="74"/>
      <c r="H40" s="114">
        <f>IFERROR(IF(A40="",0,(E40+F40)*PARAM_OVERHEAD_PCT),0)</f>
        <v>0</v>
      </c>
      <c r="I40" s="114">
        <f t="shared" si="1"/>
        <v>0</v>
      </c>
      <c r="J40" s="114">
        <f t="shared" si="2"/>
        <v>0</v>
      </c>
      <c r="K40" s="115">
        <f t="array" ref="K40">IFERROR(IF(B40="",0,INDEX(PRODUK!$E:$E,MATCH(B40,PRODUK!$A:$A,0))),0)</f>
        <v>0</v>
      </c>
      <c r="L40" s="114" t="str">
        <f t="shared" si="3"/>
        <v>—</v>
      </c>
      <c r="M40" s="76" t="str">
        <f>IFERROR(IF(A40="","—",IF(D40=0,"—",IF(J40=0,"—",IF(J40&lt;=K40,"✓ OK",IF(J40&lt;=K40*(1+PARAM_HPP_TIPIS),"⚠ TIPIS","⚠ MAHAL"))))),  "—")</f>
        <v>—</v>
      </c>
    </row>
    <row r="41" ht="18.75" customHeight="1">
      <c r="A41" s="77"/>
      <c r="B41" s="77"/>
      <c r="C41" s="116" t="str">
        <f t="array" ref="C41">IFERROR(IF(B41="","",INDEX(PRODUK!$B:$B,MATCH(B41,PRODUK!$A:$A,0))),"")</f>
        <v/>
      </c>
      <c r="D41" s="117"/>
      <c r="E41" s="79"/>
      <c r="F41" s="79"/>
      <c r="G41" s="79"/>
      <c r="H41" s="118">
        <f>IFERROR(IF(A41="",0,(E41+F41)*PARAM_OVERHEAD_PCT),0)</f>
        <v>0</v>
      </c>
      <c r="I41" s="118">
        <f t="shared" si="1"/>
        <v>0</v>
      </c>
      <c r="J41" s="118">
        <f t="shared" si="2"/>
        <v>0</v>
      </c>
      <c r="K41" s="119">
        <f t="array" ref="K41">IFERROR(IF(B41="",0,INDEX(PRODUK!$E:$E,MATCH(B41,PRODUK!$A:$A,0))),0)</f>
        <v>0</v>
      </c>
      <c r="L41" s="118" t="str">
        <f t="shared" si="3"/>
        <v>—</v>
      </c>
      <c r="M41" s="81" t="str">
        <f>IFERROR(IF(A41="","—",IF(D41=0,"—",IF(J41=0,"—",IF(J41&lt;=K41,"✓ OK",IF(J41&lt;=K41*(1+PARAM_HPP_TIPIS),"⚠ TIPIS","⚠ MAHAL"))))),  "—")</f>
        <v>—</v>
      </c>
    </row>
    <row r="42" ht="18.75" customHeight="1">
      <c r="A42" s="72"/>
      <c r="B42" s="72"/>
      <c r="C42" s="112" t="str">
        <f t="array" ref="C42">IFERROR(IF(B42="","",INDEX(PRODUK!$B:$B,MATCH(B42,PRODUK!$A:$A,0))),"")</f>
        <v/>
      </c>
      <c r="D42" s="113"/>
      <c r="E42" s="74"/>
      <c r="F42" s="74"/>
      <c r="G42" s="74"/>
      <c r="H42" s="114">
        <f>IFERROR(IF(A42="",0,(E42+F42)*PARAM_OVERHEAD_PCT),0)</f>
        <v>0</v>
      </c>
      <c r="I42" s="114">
        <f t="shared" si="1"/>
        <v>0</v>
      </c>
      <c r="J42" s="114">
        <f t="shared" si="2"/>
        <v>0</v>
      </c>
      <c r="K42" s="115">
        <f t="array" ref="K42">IFERROR(IF(B42="",0,INDEX(PRODUK!$E:$E,MATCH(B42,PRODUK!$A:$A,0))),0)</f>
        <v>0</v>
      </c>
      <c r="L42" s="114" t="str">
        <f t="shared" si="3"/>
        <v>—</v>
      </c>
      <c r="M42" s="76" t="str">
        <f>IFERROR(IF(A42="","—",IF(D42=0,"—",IF(J42=0,"—",IF(J42&lt;=K42,"✓ OK",IF(J42&lt;=K42*(1+PARAM_HPP_TIPIS),"⚠ TIPIS","⚠ MAHAL"))))),  "—")</f>
        <v>—</v>
      </c>
    </row>
    <row r="43" ht="18.75" customHeight="1">
      <c r="A43" s="77"/>
      <c r="B43" s="77"/>
      <c r="C43" s="116" t="str">
        <f t="array" ref="C43">IFERROR(IF(B43="","",INDEX(PRODUK!$B:$B,MATCH(B43,PRODUK!$A:$A,0))),"")</f>
        <v/>
      </c>
      <c r="D43" s="117"/>
      <c r="E43" s="79"/>
      <c r="F43" s="79"/>
      <c r="G43" s="79"/>
      <c r="H43" s="118">
        <f>IFERROR(IF(A43="",0,(E43+F43)*PARAM_OVERHEAD_PCT),0)</f>
        <v>0</v>
      </c>
      <c r="I43" s="118">
        <f t="shared" si="1"/>
        <v>0</v>
      </c>
      <c r="J43" s="118">
        <f t="shared" si="2"/>
        <v>0</v>
      </c>
      <c r="K43" s="119">
        <f t="array" ref="K43">IFERROR(IF(B43="",0,INDEX(PRODUK!$E:$E,MATCH(B43,PRODUK!$A:$A,0))),0)</f>
        <v>0</v>
      </c>
      <c r="L43" s="118" t="str">
        <f t="shared" si="3"/>
        <v>—</v>
      </c>
      <c r="M43" s="81" t="str">
        <f>IFERROR(IF(A43="","—",IF(D43=0,"—",IF(J43=0,"—",IF(J43&lt;=K43,"✓ OK",IF(J43&lt;=K43*(1+PARAM_HPP_TIPIS),"⚠ TIPIS","⚠ MAHAL"))))),  "—")</f>
        <v>—</v>
      </c>
    </row>
    <row r="44" ht="18.75" customHeight="1">
      <c r="A44" s="72"/>
      <c r="B44" s="72"/>
      <c r="C44" s="112" t="str">
        <f t="array" ref="C44">IFERROR(IF(B44="","",INDEX(PRODUK!$B:$B,MATCH(B44,PRODUK!$A:$A,0))),"")</f>
        <v/>
      </c>
      <c r="D44" s="113"/>
      <c r="E44" s="74"/>
      <c r="F44" s="74"/>
      <c r="G44" s="74"/>
      <c r="H44" s="114">
        <f>IFERROR(IF(A44="",0,(E44+F44)*PARAM_OVERHEAD_PCT),0)</f>
        <v>0</v>
      </c>
      <c r="I44" s="114">
        <f t="shared" si="1"/>
        <v>0</v>
      </c>
      <c r="J44" s="114">
        <f t="shared" si="2"/>
        <v>0</v>
      </c>
      <c r="K44" s="115">
        <f t="array" ref="K44">IFERROR(IF(B44="",0,INDEX(PRODUK!$E:$E,MATCH(B44,PRODUK!$A:$A,0))),0)</f>
        <v>0</v>
      </c>
      <c r="L44" s="114" t="str">
        <f t="shared" si="3"/>
        <v>—</v>
      </c>
      <c r="M44" s="76" t="str">
        <f>IFERROR(IF(A44="","—",IF(D44=0,"—",IF(J44=0,"—",IF(J44&lt;=K44,"✓ OK",IF(J44&lt;=K44*(1+PARAM_HPP_TIPIS),"⚠ TIPIS","⚠ MAHAL"))))),  "—")</f>
        <v>—</v>
      </c>
    </row>
    <row r="45" ht="18.75" customHeight="1">
      <c r="A45" s="77"/>
      <c r="B45" s="77"/>
      <c r="C45" s="116" t="str">
        <f t="array" ref="C45">IFERROR(IF(B45="","",INDEX(PRODUK!$B:$B,MATCH(B45,PRODUK!$A:$A,0))),"")</f>
        <v/>
      </c>
      <c r="D45" s="117"/>
      <c r="E45" s="79"/>
      <c r="F45" s="79"/>
      <c r="G45" s="79"/>
      <c r="H45" s="118">
        <f>IFERROR(IF(A45="",0,(E45+F45)*PARAM_OVERHEAD_PCT),0)</f>
        <v>0</v>
      </c>
      <c r="I45" s="118">
        <f t="shared" si="1"/>
        <v>0</v>
      </c>
      <c r="J45" s="118">
        <f t="shared" si="2"/>
        <v>0</v>
      </c>
      <c r="K45" s="119">
        <f t="array" ref="K45">IFERROR(IF(B45="",0,INDEX(PRODUK!$E:$E,MATCH(B45,PRODUK!$A:$A,0))),0)</f>
        <v>0</v>
      </c>
      <c r="L45" s="118" t="str">
        <f t="shared" si="3"/>
        <v>—</v>
      </c>
      <c r="M45" s="81" t="str">
        <f>IFERROR(IF(A45="","—",IF(D45=0,"—",IF(J45=0,"—",IF(J45&lt;=K45,"✓ OK",IF(J45&lt;=K45*(1+PARAM_HPP_TIPIS),"⚠ TIPIS","⚠ MAHAL"))))),  "—")</f>
        <v>—</v>
      </c>
    </row>
    <row r="46" ht="18.75" customHeight="1">
      <c r="A46" s="72"/>
      <c r="B46" s="72"/>
      <c r="C46" s="112" t="str">
        <f t="array" ref="C46">IFERROR(IF(B46="","",INDEX(PRODUK!$B:$B,MATCH(B46,PRODUK!$A:$A,0))),"")</f>
        <v/>
      </c>
      <c r="D46" s="113"/>
      <c r="E46" s="74"/>
      <c r="F46" s="74"/>
      <c r="G46" s="74"/>
      <c r="H46" s="114">
        <f>IFERROR(IF(A46="",0,(E46+F46)*PARAM_OVERHEAD_PCT),0)</f>
        <v>0</v>
      </c>
      <c r="I46" s="114">
        <f t="shared" si="1"/>
        <v>0</v>
      </c>
      <c r="J46" s="114">
        <f t="shared" si="2"/>
        <v>0</v>
      </c>
      <c r="K46" s="115">
        <f t="array" ref="K46">IFERROR(IF(B46="",0,INDEX(PRODUK!$E:$E,MATCH(B46,PRODUK!$A:$A,0))),0)</f>
        <v>0</v>
      </c>
      <c r="L46" s="114" t="str">
        <f t="shared" si="3"/>
        <v>—</v>
      </c>
      <c r="M46" s="76" t="str">
        <f>IFERROR(IF(A46="","—",IF(D46=0,"—",IF(J46=0,"—",IF(J46&lt;=K46,"✓ OK",IF(J46&lt;=K46*(1+PARAM_HPP_TIPIS),"⚠ TIPIS","⚠ MAHAL"))))),  "—")</f>
        <v>—</v>
      </c>
    </row>
    <row r="47" ht="18.75" customHeight="1">
      <c r="A47" s="77"/>
      <c r="B47" s="77"/>
      <c r="C47" s="116" t="str">
        <f t="array" ref="C47">IFERROR(IF(B47="","",INDEX(PRODUK!$B:$B,MATCH(B47,PRODUK!$A:$A,0))),"")</f>
        <v/>
      </c>
      <c r="D47" s="117"/>
      <c r="E47" s="79"/>
      <c r="F47" s="79"/>
      <c r="G47" s="79"/>
      <c r="H47" s="118">
        <f>IFERROR(IF(A47="",0,(E47+F47)*PARAM_OVERHEAD_PCT),0)</f>
        <v>0</v>
      </c>
      <c r="I47" s="118">
        <f t="shared" si="1"/>
        <v>0</v>
      </c>
      <c r="J47" s="118">
        <f t="shared" si="2"/>
        <v>0</v>
      </c>
      <c r="K47" s="119">
        <f t="array" ref="K47">IFERROR(IF(B47="",0,INDEX(PRODUK!$E:$E,MATCH(B47,PRODUK!$A:$A,0))),0)</f>
        <v>0</v>
      </c>
      <c r="L47" s="118" t="str">
        <f t="shared" si="3"/>
        <v>—</v>
      </c>
      <c r="M47" s="81" t="str">
        <f>IFERROR(IF(A47="","—",IF(D47=0,"—",IF(J47=0,"—",IF(J47&lt;=K47,"✓ OK",IF(J47&lt;=K47*(1+PARAM_HPP_TIPIS),"⚠ TIPIS","⚠ MAHAL"))))),  "—")</f>
        <v>—</v>
      </c>
    </row>
    <row r="48" ht="18.75" customHeight="1">
      <c r="A48" s="72"/>
      <c r="B48" s="72"/>
      <c r="C48" s="112" t="str">
        <f t="array" ref="C48">IFERROR(IF(B48="","",INDEX(PRODUK!$B:$B,MATCH(B48,PRODUK!$A:$A,0))),"")</f>
        <v/>
      </c>
      <c r="D48" s="113"/>
      <c r="E48" s="74"/>
      <c r="F48" s="74"/>
      <c r="G48" s="74"/>
      <c r="H48" s="114">
        <f>IFERROR(IF(A48="",0,(E48+F48)*PARAM_OVERHEAD_PCT),0)</f>
        <v>0</v>
      </c>
      <c r="I48" s="114">
        <f t="shared" si="1"/>
        <v>0</v>
      </c>
      <c r="J48" s="114">
        <f t="shared" si="2"/>
        <v>0</v>
      </c>
      <c r="K48" s="115">
        <f t="array" ref="K48">IFERROR(IF(B48="",0,INDEX(PRODUK!$E:$E,MATCH(B48,PRODUK!$A:$A,0))),0)</f>
        <v>0</v>
      </c>
      <c r="L48" s="114" t="str">
        <f t="shared" si="3"/>
        <v>—</v>
      </c>
      <c r="M48" s="76" t="str">
        <f>IFERROR(IF(A48="","—",IF(D48=0,"—",IF(J48=0,"—",IF(J48&lt;=K48,"✓ OK",IF(J48&lt;=K48*(1+PARAM_HPP_TIPIS),"⚠ TIPIS","⚠ MAHAL"))))),  "—")</f>
        <v>—</v>
      </c>
    </row>
    <row r="49" ht="18.75" customHeight="1">
      <c r="A49" s="77"/>
      <c r="B49" s="77"/>
      <c r="C49" s="116" t="str">
        <f t="array" ref="C49">IFERROR(IF(B49="","",INDEX(PRODUK!$B:$B,MATCH(B49,PRODUK!$A:$A,0))),"")</f>
        <v/>
      </c>
      <c r="D49" s="117"/>
      <c r="E49" s="79"/>
      <c r="F49" s="79"/>
      <c r="G49" s="79"/>
      <c r="H49" s="118">
        <f>IFERROR(IF(A49="",0,(E49+F49)*PARAM_OVERHEAD_PCT),0)</f>
        <v>0</v>
      </c>
      <c r="I49" s="118">
        <f t="shared" si="1"/>
        <v>0</v>
      </c>
      <c r="J49" s="118">
        <f t="shared" si="2"/>
        <v>0</v>
      </c>
      <c r="K49" s="119">
        <f t="array" ref="K49">IFERROR(IF(B49="",0,INDEX(PRODUK!$E:$E,MATCH(B49,PRODUK!$A:$A,0))),0)</f>
        <v>0</v>
      </c>
      <c r="L49" s="118" t="str">
        <f t="shared" si="3"/>
        <v>—</v>
      </c>
      <c r="M49" s="81" t="str">
        <f>IFERROR(IF(A49="","—",IF(D49=0,"—",IF(J49=0,"—",IF(J49&lt;=K49,"✓ OK",IF(J49&lt;=K49*(1+PARAM_HPP_TIPIS),"⚠ TIPIS","⚠ MAHAL"))))),  "—")</f>
        <v>—</v>
      </c>
    </row>
    <row r="50" ht="18.75" customHeight="1">
      <c r="A50" s="72"/>
      <c r="B50" s="72"/>
      <c r="C50" s="112" t="str">
        <f t="array" ref="C50">IFERROR(IF(B50="","",INDEX(PRODUK!$B:$B,MATCH(B50,PRODUK!$A:$A,0))),"")</f>
        <v/>
      </c>
      <c r="D50" s="113"/>
      <c r="E50" s="74"/>
      <c r="F50" s="74"/>
      <c r="G50" s="74"/>
      <c r="H50" s="114">
        <f>IFERROR(IF(A50="",0,(E50+F50)*PARAM_OVERHEAD_PCT),0)</f>
        <v>0</v>
      </c>
      <c r="I50" s="114">
        <f t="shared" si="1"/>
        <v>0</v>
      </c>
      <c r="J50" s="114">
        <f t="shared" si="2"/>
        <v>0</v>
      </c>
      <c r="K50" s="115">
        <f t="array" ref="K50">IFERROR(IF(B50="",0,INDEX(PRODUK!$E:$E,MATCH(B50,PRODUK!$A:$A,0))),0)</f>
        <v>0</v>
      </c>
      <c r="L50" s="114" t="str">
        <f t="shared" si="3"/>
        <v>—</v>
      </c>
      <c r="M50" s="76" t="str">
        <f>IFERROR(IF(A50="","—",IF(D50=0,"—",IF(J50=0,"—",IF(J50&lt;=K50,"✓ OK",IF(J50&lt;=K50*(1+PARAM_HPP_TIPIS),"⚠ TIPIS","⚠ MAHAL"))))),  "—")</f>
        <v>—</v>
      </c>
    </row>
    <row r="51" ht="18.75" customHeight="1">
      <c r="A51" s="77"/>
      <c r="B51" s="77"/>
      <c r="C51" s="116" t="str">
        <f t="array" ref="C51">IFERROR(IF(B51="","",INDEX(PRODUK!$B:$B,MATCH(B51,PRODUK!$A:$A,0))),"")</f>
        <v/>
      </c>
      <c r="D51" s="117"/>
      <c r="E51" s="79"/>
      <c r="F51" s="79"/>
      <c r="G51" s="79"/>
      <c r="H51" s="118">
        <f>IFERROR(IF(A51="",0,(E51+F51)*PARAM_OVERHEAD_PCT),0)</f>
        <v>0</v>
      </c>
      <c r="I51" s="118">
        <f t="shared" si="1"/>
        <v>0</v>
      </c>
      <c r="J51" s="118">
        <f t="shared" si="2"/>
        <v>0</v>
      </c>
      <c r="K51" s="119">
        <f t="array" ref="K51">IFERROR(IF(B51="",0,INDEX(PRODUK!$E:$E,MATCH(B51,PRODUK!$A:$A,0))),0)</f>
        <v>0</v>
      </c>
      <c r="L51" s="118" t="str">
        <f t="shared" si="3"/>
        <v>—</v>
      </c>
      <c r="M51" s="81" t="str">
        <f>IFERROR(IF(A51="","—",IF(D51=0,"—",IF(J51=0,"—",IF(J51&lt;=K51,"✓ OK",IF(J51&lt;=K51*(1+PARAM_HPP_TIPIS),"⚠ TIPIS","⚠ MAHAL"))))),  "—")</f>
        <v>—</v>
      </c>
    </row>
    <row r="52" ht="18.75" customHeight="1">
      <c r="A52" s="72"/>
      <c r="B52" s="72"/>
      <c r="C52" s="112" t="str">
        <f t="array" ref="C52">IFERROR(IF(B52="","",INDEX(PRODUK!$B:$B,MATCH(B52,PRODUK!$A:$A,0))),"")</f>
        <v/>
      </c>
      <c r="D52" s="113"/>
      <c r="E52" s="74"/>
      <c r="F52" s="74"/>
      <c r="G52" s="74"/>
      <c r="H52" s="114">
        <f>IFERROR(IF(A52="",0,(E52+F52)*PARAM_OVERHEAD_PCT),0)</f>
        <v>0</v>
      </c>
      <c r="I52" s="114">
        <f t="shared" si="1"/>
        <v>0</v>
      </c>
      <c r="J52" s="114">
        <f t="shared" si="2"/>
        <v>0</v>
      </c>
      <c r="K52" s="115">
        <f t="array" ref="K52">IFERROR(IF(B52="",0,INDEX(PRODUK!$E:$E,MATCH(B52,PRODUK!$A:$A,0))),0)</f>
        <v>0</v>
      </c>
      <c r="L52" s="114" t="str">
        <f t="shared" si="3"/>
        <v>—</v>
      </c>
      <c r="M52" s="76" t="str">
        <f>IFERROR(IF(A52="","—",IF(D52=0,"—",IF(J52=0,"—",IF(J52&lt;=K52,"✓ OK",IF(J52&lt;=K52*(1+PARAM_HPP_TIPIS),"⚠ TIPIS","⚠ MAHAL"))))),  "—")</f>
        <v>—</v>
      </c>
    </row>
    <row r="53" ht="18.75" customHeight="1">
      <c r="A53" s="77"/>
      <c r="B53" s="77"/>
      <c r="C53" s="116" t="str">
        <f t="array" ref="C53">IFERROR(IF(B53="","",INDEX(PRODUK!$B:$B,MATCH(B53,PRODUK!$A:$A,0))),"")</f>
        <v/>
      </c>
      <c r="D53" s="117"/>
      <c r="E53" s="79"/>
      <c r="F53" s="79"/>
      <c r="G53" s="79"/>
      <c r="H53" s="118">
        <f>IFERROR(IF(A53="",0,(E53+F53)*PARAM_OVERHEAD_PCT),0)</f>
        <v>0</v>
      </c>
      <c r="I53" s="118">
        <f t="shared" si="1"/>
        <v>0</v>
      </c>
      <c r="J53" s="118">
        <f t="shared" si="2"/>
        <v>0</v>
      </c>
      <c r="K53" s="119">
        <f t="array" ref="K53">IFERROR(IF(B53="",0,INDEX(PRODUK!$E:$E,MATCH(B53,PRODUK!$A:$A,0))),0)</f>
        <v>0</v>
      </c>
      <c r="L53" s="118" t="str">
        <f t="shared" si="3"/>
        <v>—</v>
      </c>
      <c r="M53" s="81" t="str">
        <f>IFERROR(IF(A53="","—",IF(D53=0,"—",IF(J53=0,"—",IF(J53&lt;=K53,"✓ OK",IF(J53&lt;=K53*(1+PARAM_HPP_TIPIS),"⚠ TIPIS","⚠ MAHAL"))))),  "—")</f>
        <v>—</v>
      </c>
    </row>
    <row r="54" ht="18.75" customHeight="1">
      <c r="A54" s="72"/>
      <c r="B54" s="72"/>
      <c r="C54" s="112" t="str">
        <f t="array" ref="C54">IFERROR(IF(B54="","",INDEX(PRODUK!$B:$B,MATCH(B54,PRODUK!$A:$A,0))),"")</f>
        <v/>
      </c>
      <c r="D54" s="113"/>
      <c r="E54" s="74"/>
      <c r="F54" s="74"/>
      <c r="G54" s="74"/>
      <c r="H54" s="114">
        <f>IFERROR(IF(A54="",0,(E54+F54)*PARAM_OVERHEAD_PCT),0)</f>
        <v>0</v>
      </c>
      <c r="I54" s="114">
        <f t="shared" si="1"/>
        <v>0</v>
      </c>
      <c r="J54" s="114">
        <f t="shared" si="2"/>
        <v>0</v>
      </c>
      <c r="K54" s="115">
        <f t="array" ref="K54">IFERROR(IF(B54="",0,INDEX(PRODUK!$E:$E,MATCH(B54,PRODUK!$A:$A,0))),0)</f>
        <v>0</v>
      </c>
      <c r="L54" s="114" t="str">
        <f t="shared" si="3"/>
        <v>—</v>
      </c>
      <c r="M54" s="76" t="str">
        <f>IFERROR(IF(A54="","—",IF(D54=0,"—",IF(J54=0,"—",IF(J54&lt;=K54,"✓ OK",IF(J54&lt;=K54*(1+PARAM_HPP_TIPIS),"⚠ TIPIS","⚠ MAHAL"))))),  "—")</f>
        <v>—</v>
      </c>
    </row>
    <row r="55" ht="18.75" customHeight="1">
      <c r="A55" s="77"/>
      <c r="B55" s="77"/>
      <c r="C55" s="116" t="str">
        <f t="array" ref="C55">IFERROR(IF(B55="","",INDEX(PRODUK!$B:$B,MATCH(B55,PRODUK!$A:$A,0))),"")</f>
        <v/>
      </c>
      <c r="D55" s="117"/>
      <c r="E55" s="79"/>
      <c r="F55" s="79"/>
      <c r="G55" s="79"/>
      <c r="H55" s="118">
        <f>IFERROR(IF(A55="",0,(E55+F55)*PARAM_OVERHEAD_PCT),0)</f>
        <v>0</v>
      </c>
      <c r="I55" s="118">
        <f t="shared" si="1"/>
        <v>0</v>
      </c>
      <c r="J55" s="118">
        <f t="shared" si="2"/>
        <v>0</v>
      </c>
      <c r="K55" s="119">
        <f t="array" ref="K55">IFERROR(IF(B55="",0,INDEX(PRODUK!$E:$E,MATCH(B55,PRODUK!$A:$A,0))),0)</f>
        <v>0</v>
      </c>
      <c r="L55" s="118" t="str">
        <f t="shared" si="3"/>
        <v>—</v>
      </c>
      <c r="M55" s="81" t="str">
        <f>IFERROR(IF(A55="","—",IF(D55=0,"—",IF(J55=0,"—",IF(J55&lt;=K55,"✓ OK",IF(J55&lt;=K55*(1+PARAM_HPP_TIPIS),"⚠ TIPIS","⚠ MAHAL"))))),  "—")</f>
        <v>—</v>
      </c>
    </row>
    <row r="56" ht="18.75" customHeight="1">
      <c r="A56" s="72"/>
      <c r="B56" s="72"/>
      <c r="C56" s="112" t="str">
        <f t="array" ref="C56">IFERROR(IF(B56="","",INDEX(PRODUK!$B:$B,MATCH(B56,PRODUK!$A:$A,0))),"")</f>
        <v/>
      </c>
      <c r="D56" s="113"/>
      <c r="E56" s="74"/>
      <c r="F56" s="74"/>
      <c r="G56" s="74"/>
      <c r="H56" s="114">
        <f>IFERROR(IF(A56="",0,(E56+F56)*PARAM_OVERHEAD_PCT),0)</f>
        <v>0</v>
      </c>
      <c r="I56" s="114">
        <f t="shared" si="1"/>
        <v>0</v>
      </c>
      <c r="J56" s="114">
        <f t="shared" si="2"/>
        <v>0</v>
      </c>
      <c r="K56" s="115">
        <f t="array" ref="K56">IFERROR(IF(B56="",0,INDEX(PRODUK!$E:$E,MATCH(B56,PRODUK!$A:$A,0))),0)</f>
        <v>0</v>
      </c>
      <c r="L56" s="114" t="str">
        <f t="shared" si="3"/>
        <v>—</v>
      </c>
      <c r="M56" s="76" t="str">
        <f>IFERROR(IF(A56="","—",IF(D56=0,"—",IF(J56=0,"—",IF(J56&lt;=K56,"✓ OK",IF(J56&lt;=K56*(1+PARAM_HPP_TIPIS),"⚠ TIPIS","⚠ MAHAL"))))),  "—")</f>
        <v>—</v>
      </c>
    </row>
    <row r="57" ht="18.75" customHeight="1">
      <c r="A57" s="77"/>
      <c r="B57" s="77"/>
      <c r="C57" s="116" t="str">
        <f t="array" ref="C57">IFERROR(IF(B57="","",INDEX(PRODUK!$B:$B,MATCH(B57,PRODUK!$A:$A,0))),"")</f>
        <v/>
      </c>
      <c r="D57" s="117"/>
      <c r="E57" s="79"/>
      <c r="F57" s="79"/>
      <c r="G57" s="79"/>
      <c r="H57" s="118">
        <f>IFERROR(IF(A57="",0,(E57+F57)*PARAM_OVERHEAD_PCT),0)</f>
        <v>0</v>
      </c>
      <c r="I57" s="118">
        <f t="shared" si="1"/>
        <v>0</v>
      </c>
      <c r="J57" s="118">
        <f t="shared" si="2"/>
        <v>0</v>
      </c>
      <c r="K57" s="119">
        <f t="array" ref="K57">IFERROR(IF(B57="",0,INDEX(PRODUK!$E:$E,MATCH(B57,PRODUK!$A:$A,0))),0)</f>
        <v>0</v>
      </c>
      <c r="L57" s="118" t="str">
        <f t="shared" si="3"/>
        <v>—</v>
      </c>
      <c r="M57" s="81" t="str">
        <f>IFERROR(IF(A57="","—",IF(D57=0,"—",IF(J57=0,"—",IF(J57&lt;=K57,"✓ OK",IF(J57&lt;=K57*(1+PARAM_HPP_TIPIS),"⚠ TIPIS","⚠ MAHAL"))))),  "—")</f>
        <v>—</v>
      </c>
    </row>
    <row r="58" ht="18.75" customHeight="1">
      <c r="A58" s="72"/>
      <c r="B58" s="72"/>
      <c r="C58" s="112" t="str">
        <f t="array" ref="C58">IFERROR(IF(B58="","",INDEX(PRODUK!$B:$B,MATCH(B58,PRODUK!$A:$A,0))),"")</f>
        <v/>
      </c>
      <c r="D58" s="113"/>
      <c r="E58" s="74"/>
      <c r="F58" s="74"/>
      <c r="G58" s="74"/>
      <c r="H58" s="114">
        <f>IFERROR(IF(A58="",0,(E58+F58)*PARAM_OVERHEAD_PCT),0)</f>
        <v>0</v>
      </c>
      <c r="I58" s="114">
        <f t="shared" si="1"/>
        <v>0</v>
      </c>
      <c r="J58" s="114">
        <f t="shared" si="2"/>
        <v>0</v>
      </c>
      <c r="K58" s="115">
        <f t="array" ref="K58">IFERROR(IF(B58="",0,INDEX(PRODUK!$E:$E,MATCH(B58,PRODUK!$A:$A,0))),0)</f>
        <v>0</v>
      </c>
      <c r="L58" s="114" t="str">
        <f t="shared" si="3"/>
        <v>—</v>
      </c>
      <c r="M58" s="76" t="str">
        <f>IFERROR(IF(A58="","—",IF(D58=0,"—",IF(J58=0,"—",IF(J58&lt;=K58,"✓ OK",IF(J58&lt;=K58*(1+PARAM_HPP_TIPIS),"⚠ TIPIS","⚠ MAHAL"))))),  "—")</f>
        <v>—</v>
      </c>
    </row>
    <row r="59" ht="18.75" customHeight="1">
      <c r="A59" s="77"/>
      <c r="B59" s="77"/>
      <c r="C59" s="116" t="str">
        <f t="array" ref="C59">IFERROR(IF(B59="","",INDEX(PRODUK!$B:$B,MATCH(B59,PRODUK!$A:$A,0))),"")</f>
        <v/>
      </c>
      <c r="D59" s="117"/>
      <c r="E59" s="79"/>
      <c r="F59" s="79"/>
      <c r="G59" s="79"/>
      <c r="H59" s="118">
        <f>IFERROR(IF(A59="",0,(E59+F59)*PARAM_OVERHEAD_PCT),0)</f>
        <v>0</v>
      </c>
      <c r="I59" s="118">
        <f t="shared" si="1"/>
        <v>0</v>
      </c>
      <c r="J59" s="118">
        <f t="shared" si="2"/>
        <v>0</v>
      </c>
      <c r="K59" s="119">
        <f t="array" ref="K59">IFERROR(IF(B59="",0,INDEX(PRODUK!$E:$E,MATCH(B59,PRODUK!$A:$A,0))),0)</f>
        <v>0</v>
      </c>
      <c r="L59" s="118" t="str">
        <f t="shared" si="3"/>
        <v>—</v>
      </c>
      <c r="M59" s="81" t="str">
        <f>IFERROR(IF(A59="","—",IF(D59=0,"—",IF(J59=0,"—",IF(J59&lt;=K59,"✓ OK",IF(J59&lt;=K59*(1+PARAM_HPP_TIPIS),"⚠ TIPIS","⚠ MAHAL"))))),  "—")</f>
        <v>—</v>
      </c>
    </row>
    <row r="60" ht="18.75" customHeight="1">
      <c r="A60" s="72"/>
      <c r="B60" s="72"/>
      <c r="C60" s="112" t="str">
        <f t="array" ref="C60">IFERROR(IF(B60="","",INDEX(PRODUK!$B:$B,MATCH(B60,PRODUK!$A:$A,0))),"")</f>
        <v/>
      </c>
      <c r="D60" s="113"/>
      <c r="E60" s="74"/>
      <c r="F60" s="74"/>
      <c r="G60" s="74"/>
      <c r="H60" s="114">
        <f>IFERROR(IF(A60="",0,(E60+F60)*PARAM_OVERHEAD_PCT),0)</f>
        <v>0</v>
      </c>
      <c r="I60" s="114">
        <f t="shared" si="1"/>
        <v>0</v>
      </c>
      <c r="J60" s="114">
        <f t="shared" si="2"/>
        <v>0</v>
      </c>
      <c r="K60" s="115">
        <f t="array" ref="K60">IFERROR(IF(B60="",0,INDEX(PRODUK!$E:$E,MATCH(B60,PRODUK!$A:$A,0))),0)</f>
        <v>0</v>
      </c>
      <c r="L60" s="114" t="str">
        <f t="shared" si="3"/>
        <v>—</v>
      </c>
      <c r="M60" s="76" t="str">
        <f>IFERROR(IF(A60="","—",IF(D60=0,"—",IF(J60=0,"—",IF(J60&lt;=K60,"✓ OK",IF(J60&lt;=K60*(1+PARAM_HPP_TIPIS),"⚠ TIPIS","⚠ MAHAL"))))),  "—")</f>
        <v>—</v>
      </c>
    </row>
    <row r="61" ht="18.75" customHeight="1">
      <c r="A61" s="77"/>
      <c r="B61" s="77"/>
      <c r="C61" s="116" t="str">
        <f t="array" ref="C61">IFERROR(IF(B61="","",INDEX(PRODUK!$B:$B,MATCH(B61,PRODUK!$A:$A,0))),"")</f>
        <v/>
      </c>
      <c r="D61" s="117"/>
      <c r="E61" s="79"/>
      <c r="F61" s="79"/>
      <c r="G61" s="79"/>
      <c r="H61" s="118">
        <f>IFERROR(IF(A61="",0,(E61+F61)*PARAM_OVERHEAD_PCT),0)</f>
        <v>0</v>
      </c>
      <c r="I61" s="118">
        <f t="shared" si="1"/>
        <v>0</v>
      </c>
      <c r="J61" s="118">
        <f t="shared" si="2"/>
        <v>0</v>
      </c>
      <c r="K61" s="119">
        <f t="array" ref="K61">IFERROR(IF(B61="",0,INDEX(PRODUK!$E:$E,MATCH(B61,PRODUK!$A:$A,0))),0)</f>
        <v>0</v>
      </c>
      <c r="L61" s="118" t="str">
        <f t="shared" si="3"/>
        <v>—</v>
      </c>
      <c r="M61" s="81" t="str">
        <f>IFERROR(IF(A61="","—",IF(D61=0,"—",IF(J61=0,"—",IF(J61&lt;=K61,"✓ OK",IF(J61&lt;=K61*(1+PARAM_HPP_TIPIS),"⚠ TIPIS","⚠ MAHAL"))))),  "—")</f>
        <v>—</v>
      </c>
    </row>
    <row r="62" ht="18.75" customHeight="1">
      <c r="A62" s="72"/>
      <c r="B62" s="72"/>
      <c r="C62" s="112" t="str">
        <f t="array" ref="C62">IFERROR(IF(B62="","",INDEX(PRODUK!$B:$B,MATCH(B62,PRODUK!$A:$A,0))),"")</f>
        <v/>
      </c>
      <c r="D62" s="113"/>
      <c r="E62" s="74"/>
      <c r="F62" s="74"/>
      <c r="G62" s="74"/>
      <c r="H62" s="114">
        <f>IFERROR(IF(A62="",0,(E62+F62)*PARAM_OVERHEAD_PCT),0)</f>
        <v>0</v>
      </c>
      <c r="I62" s="114">
        <f t="shared" si="1"/>
        <v>0</v>
      </c>
      <c r="J62" s="114">
        <f t="shared" si="2"/>
        <v>0</v>
      </c>
      <c r="K62" s="115">
        <f t="array" ref="K62">IFERROR(IF(B62="",0,INDEX(PRODUK!$E:$E,MATCH(B62,PRODUK!$A:$A,0))),0)</f>
        <v>0</v>
      </c>
      <c r="L62" s="114" t="str">
        <f t="shared" si="3"/>
        <v>—</v>
      </c>
      <c r="M62" s="76" t="str">
        <f>IFERROR(IF(A62="","—",IF(D62=0,"—",IF(J62=0,"—",IF(J62&lt;=K62,"✓ OK",IF(J62&lt;=K62*(1+PARAM_HPP_TIPIS),"⚠ TIPIS","⚠ MAHAL"))))),  "—")</f>
        <v>—</v>
      </c>
    </row>
    <row r="63" ht="18.75" customHeight="1">
      <c r="A63" s="77"/>
      <c r="B63" s="77"/>
      <c r="C63" s="116" t="str">
        <f t="array" ref="C63">IFERROR(IF(B63="","",INDEX(PRODUK!$B:$B,MATCH(B63,PRODUK!$A:$A,0))),"")</f>
        <v/>
      </c>
      <c r="D63" s="117"/>
      <c r="E63" s="79"/>
      <c r="F63" s="79"/>
      <c r="G63" s="79"/>
      <c r="H63" s="118">
        <f>IFERROR(IF(A63="",0,(E63+F63)*PARAM_OVERHEAD_PCT),0)</f>
        <v>0</v>
      </c>
      <c r="I63" s="118">
        <f t="shared" si="1"/>
        <v>0</v>
      </c>
      <c r="J63" s="118">
        <f t="shared" si="2"/>
        <v>0</v>
      </c>
      <c r="K63" s="119">
        <f t="array" ref="K63">IFERROR(IF(B63="",0,INDEX(PRODUK!$E:$E,MATCH(B63,PRODUK!$A:$A,0))),0)</f>
        <v>0</v>
      </c>
      <c r="L63" s="118" t="str">
        <f t="shared" si="3"/>
        <v>—</v>
      </c>
      <c r="M63" s="81" t="str">
        <f>IFERROR(IF(A63="","—",IF(D63=0,"—",IF(J63=0,"—",IF(J63&lt;=K63,"✓ OK",IF(J63&lt;=K63*(1+PARAM_HPP_TIPIS),"⚠ TIPIS","⚠ MAHAL"))))),  "—")</f>
        <v>—</v>
      </c>
    </row>
    <row r="64" ht="18.75" customHeight="1">
      <c r="A64" s="72"/>
      <c r="B64" s="72"/>
      <c r="C64" s="112" t="str">
        <f t="array" ref="C64">IFERROR(IF(B64="","",INDEX(PRODUK!$B:$B,MATCH(B64,PRODUK!$A:$A,0))),"")</f>
        <v/>
      </c>
      <c r="D64" s="113"/>
      <c r="E64" s="74"/>
      <c r="F64" s="74"/>
      <c r="G64" s="74"/>
      <c r="H64" s="114">
        <f>IFERROR(IF(A64="",0,(E64+F64)*PARAM_OVERHEAD_PCT),0)</f>
        <v>0</v>
      </c>
      <c r="I64" s="114">
        <f t="shared" si="1"/>
        <v>0</v>
      </c>
      <c r="J64" s="114">
        <f t="shared" si="2"/>
        <v>0</v>
      </c>
      <c r="K64" s="115">
        <f t="array" ref="K64">IFERROR(IF(B64="",0,INDEX(PRODUK!$E:$E,MATCH(B64,PRODUK!$A:$A,0))),0)</f>
        <v>0</v>
      </c>
      <c r="L64" s="114" t="str">
        <f t="shared" si="3"/>
        <v>—</v>
      </c>
      <c r="M64" s="76" t="str">
        <f>IFERROR(IF(A64="","—",IF(D64=0,"—",IF(J64=0,"—",IF(J64&lt;=K64,"✓ OK",IF(J64&lt;=K64*(1+PARAM_HPP_TIPIS),"⚠ TIPIS","⚠ MAHAL"))))),  "—")</f>
        <v>—</v>
      </c>
    </row>
    <row r="65" ht="18.75" customHeight="1">
      <c r="A65" s="77"/>
      <c r="B65" s="77"/>
      <c r="C65" s="116" t="str">
        <f t="array" ref="C65">IFERROR(IF(B65="","",INDEX(PRODUK!$B:$B,MATCH(B65,PRODUK!$A:$A,0))),"")</f>
        <v/>
      </c>
      <c r="D65" s="117"/>
      <c r="E65" s="79"/>
      <c r="F65" s="79"/>
      <c r="G65" s="79"/>
      <c r="H65" s="118">
        <f>IFERROR(IF(A65="",0,(E65+F65)*PARAM_OVERHEAD_PCT),0)</f>
        <v>0</v>
      </c>
      <c r="I65" s="118">
        <f t="shared" si="1"/>
        <v>0</v>
      </c>
      <c r="J65" s="118">
        <f t="shared" si="2"/>
        <v>0</v>
      </c>
      <c r="K65" s="119">
        <f t="array" ref="K65">IFERROR(IF(B65="",0,INDEX(PRODUK!$E:$E,MATCH(B65,PRODUK!$A:$A,0))),0)</f>
        <v>0</v>
      </c>
      <c r="L65" s="118" t="str">
        <f t="shared" si="3"/>
        <v>—</v>
      </c>
      <c r="M65" s="81" t="str">
        <f>IFERROR(IF(A65="","—",IF(D65=0,"—",IF(J65=0,"—",IF(J65&lt;=K65,"✓ OK",IF(J65&lt;=K65*(1+PARAM_HPP_TIPIS),"⚠ TIPIS","⚠ MAHAL"))))),  "—")</f>
        <v>—</v>
      </c>
    </row>
    <row r="66" ht="18.75" customHeight="1">
      <c r="A66" s="72"/>
      <c r="B66" s="72"/>
      <c r="C66" s="112" t="str">
        <f t="array" ref="C66">IFERROR(IF(B66="","",INDEX(PRODUK!$B:$B,MATCH(B66,PRODUK!$A:$A,0))),"")</f>
        <v/>
      </c>
      <c r="D66" s="113"/>
      <c r="E66" s="74"/>
      <c r="F66" s="74"/>
      <c r="G66" s="74"/>
      <c r="H66" s="114">
        <f>IFERROR(IF(A66="",0,(E66+F66)*PARAM_OVERHEAD_PCT),0)</f>
        <v>0</v>
      </c>
      <c r="I66" s="114">
        <f t="shared" si="1"/>
        <v>0</v>
      </c>
      <c r="J66" s="114">
        <f t="shared" si="2"/>
        <v>0</v>
      </c>
      <c r="K66" s="115">
        <f t="array" ref="K66">IFERROR(IF(B66="",0,INDEX(PRODUK!$E:$E,MATCH(B66,PRODUK!$A:$A,0))),0)</f>
        <v>0</v>
      </c>
      <c r="L66" s="114" t="str">
        <f t="shared" si="3"/>
        <v>—</v>
      </c>
      <c r="M66" s="76" t="str">
        <f>IFERROR(IF(A66="","—",IF(D66=0,"—",IF(J66=0,"—",IF(J66&lt;=K66,"✓ OK",IF(J66&lt;=K66*(1+PARAM_HPP_TIPIS),"⚠ TIPIS","⚠ MAHAL"))))),  "—")</f>
        <v>—</v>
      </c>
    </row>
    <row r="67" ht="18.75" customHeight="1">
      <c r="A67" s="77"/>
      <c r="B67" s="77"/>
      <c r="C67" s="116" t="str">
        <f t="array" ref="C67">IFERROR(IF(B67="","",INDEX(PRODUK!$B:$B,MATCH(B67,PRODUK!$A:$A,0))),"")</f>
        <v/>
      </c>
      <c r="D67" s="117"/>
      <c r="E67" s="79"/>
      <c r="F67" s="79"/>
      <c r="G67" s="79"/>
      <c r="H67" s="118">
        <f>IFERROR(IF(A67="",0,(E67+F67)*PARAM_OVERHEAD_PCT),0)</f>
        <v>0</v>
      </c>
      <c r="I67" s="118">
        <f t="shared" si="1"/>
        <v>0</v>
      </c>
      <c r="J67" s="118">
        <f t="shared" si="2"/>
        <v>0</v>
      </c>
      <c r="K67" s="119">
        <f t="array" ref="K67">IFERROR(IF(B67="",0,INDEX(PRODUK!$E:$E,MATCH(B67,PRODUK!$A:$A,0))),0)</f>
        <v>0</v>
      </c>
      <c r="L67" s="118" t="str">
        <f t="shared" si="3"/>
        <v>—</v>
      </c>
      <c r="M67" s="81" t="str">
        <f>IFERROR(IF(A67="","—",IF(D67=0,"—",IF(J67=0,"—",IF(J67&lt;=K67,"✓ OK",IF(J67&lt;=K67*(1+PARAM_HPP_TIPIS),"⚠ TIPIS","⚠ MAHAL"))))),  "—")</f>
        <v>—</v>
      </c>
    </row>
    <row r="68" ht="18.75" customHeight="1">
      <c r="A68" s="72"/>
      <c r="B68" s="72"/>
      <c r="C68" s="112" t="str">
        <f t="array" ref="C68">IFERROR(IF(B68="","",INDEX(PRODUK!$B:$B,MATCH(B68,PRODUK!$A:$A,0))),"")</f>
        <v/>
      </c>
      <c r="D68" s="113"/>
      <c r="E68" s="74"/>
      <c r="F68" s="74"/>
      <c r="G68" s="74"/>
      <c r="H68" s="114">
        <f>IFERROR(IF(A68="",0,(E68+F68)*PARAM_OVERHEAD_PCT),0)</f>
        <v>0</v>
      </c>
      <c r="I68" s="114">
        <f t="shared" si="1"/>
        <v>0</v>
      </c>
      <c r="J68" s="114">
        <f t="shared" si="2"/>
        <v>0</v>
      </c>
      <c r="K68" s="115">
        <f t="array" ref="K68">IFERROR(IF(B68="",0,INDEX(PRODUK!$E:$E,MATCH(B68,PRODUK!$A:$A,0))),0)</f>
        <v>0</v>
      </c>
      <c r="L68" s="114" t="str">
        <f t="shared" si="3"/>
        <v>—</v>
      </c>
      <c r="M68" s="76" t="str">
        <f>IFERROR(IF(A68="","—",IF(D68=0,"—",IF(J68=0,"—",IF(J68&lt;=K68,"✓ OK",IF(J68&lt;=K68*(1+PARAM_HPP_TIPIS),"⚠ TIPIS","⚠ MAHAL"))))),  "—")</f>
        <v>—</v>
      </c>
    </row>
    <row r="69" ht="18.75" customHeight="1">
      <c r="A69" s="77"/>
      <c r="B69" s="77"/>
      <c r="C69" s="116" t="str">
        <f t="array" ref="C69">IFERROR(IF(B69="","",INDEX(PRODUK!$B:$B,MATCH(B69,PRODUK!$A:$A,0))),"")</f>
        <v/>
      </c>
      <c r="D69" s="117"/>
      <c r="E69" s="79"/>
      <c r="F69" s="79"/>
      <c r="G69" s="79"/>
      <c r="H69" s="118">
        <f>IFERROR(IF(A69="",0,(E69+F69)*PARAM_OVERHEAD_PCT),0)</f>
        <v>0</v>
      </c>
      <c r="I69" s="118">
        <f t="shared" si="1"/>
        <v>0</v>
      </c>
      <c r="J69" s="118">
        <f t="shared" si="2"/>
        <v>0</v>
      </c>
      <c r="K69" s="119">
        <f t="array" ref="K69">IFERROR(IF(B69="",0,INDEX(PRODUK!$E:$E,MATCH(B69,PRODUK!$A:$A,0))),0)</f>
        <v>0</v>
      </c>
      <c r="L69" s="118" t="str">
        <f t="shared" si="3"/>
        <v>—</v>
      </c>
      <c r="M69" s="81" t="str">
        <f>IFERROR(IF(A69="","—",IF(D69=0,"—",IF(J69=0,"—",IF(J69&lt;=K69,"✓ OK",IF(J69&lt;=K69*(1+PARAM_HPP_TIPIS),"⚠ TIPIS","⚠ MAHAL"))))),  "—")</f>
        <v>—</v>
      </c>
    </row>
    <row r="70" ht="18.75" customHeight="1">
      <c r="A70" s="72"/>
      <c r="B70" s="72"/>
      <c r="C70" s="112" t="str">
        <f t="array" ref="C70">IFERROR(IF(B70="","",INDEX(PRODUK!$B:$B,MATCH(B70,PRODUK!$A:$A,0))),"")</f>
        <v/>
      </c>
      <c r="D70" s="113"/>
      <c r="E70" s="74"/>
      <c r="F70" s="74"/>
      <c r="G70" s="74"/>
      <c r="H70" s="114">
        <f>IFERROR(IF(A70="",0,(E70+F70)*PARAM_OVERHEAD_PCT),0)</f>
        <v>0</v>
      </c>
      <c r="I70" s="114">
        <f t="shared" si="1"/>
        <v>0</v>
      </c>
      <c r="J70" s="114">
        <f t="shared" si="2"/>
        <v>0</v>
      </c>
      <c r="K70" s="115">
        <f t="array" ref="K70">IFERROR(IF(B70="",0,INDEX(PRODUK!$E:$E,MATCH(B70,PRODUK!$A:$A,0))),0)</f>
        <v>0</v>
      </c>
      <c r="L70" s="114" t="str">
        <f t="shared" si="3"/>
        <v>—</v>
      </c>
      <c r="M70" s="76" t="str">
        <f>IFERROR(IF(A70="","—",IF(D70=0,"—",IF(J70=0,"—",IF(J70&lt;=K70,"✓ OK",IF(J70&lt;=K70*(1+PARAM_HPP_TIPIS),"⚠ TIPIS","⚠ MAHAL"))))),  "—")</f>
        <v>—</v>
      </c>
    </row>
    <row r="71" ht="18.75" customHeight="1">
      <c r="A71" s="77"/>
      <c r="B71" s="77"/>
      <c r="C71" s="116" t="str">
        <f t="array" ref="C71">IFERROR(IF(B71="","",INDEX(PRODUK!$B:$B,MATCH(B71,PRODUK!$A:$A,0))),"")</f>
        <v/>
      </c>
      <c r="D71" s="117"/>
      <c r="E71" s="79"/>
      <c r="F71" s="79"/>
      <c r="G71" s="79"/>
      <c r="H71" s="118">
        <f>IFERROR(IF(A71="",0,(E71+F71)*PARAM_OVERHEAD_PCT),0)</f>
        <v>0</v>
      </c>
      <c r="I71" s="118">
        <f t="shared" si="1"/>
        <v>0</v>
      </c>
      <c r="J71" s="118">
        <f t="shared" si="2"/>
        <v>0</v>
      </c>
      <c r="K71" s="119">
        <f t="array" ref="K71">IFERROR(IF(B71="",0,INDEX(PRODUK!$E:$E,MATCH(B71,PRODUK!$A:$A,0))),0)</f>
        <v>0</v>
      </c>
      <c r="L71" s="118" t="str">
        <f t="shared" si="3"/>
        <v>—</v>
      </c>
      <c r="M71" s="81" t="str">
        <f>IFERROR(IF(A71="","—",IF(D71=0,"—",IF(J71=0,"—",IF(J71&lt;=K71,"✓ OK",IF(J71&lt;=K71*(1+PARAM_HPP_TIPIS),"⚠ TIPIS","⚠ MAHAL"))))),  "—")</f>
        <v>—</v>
      </c>
    </row>
    <row r="72" ht="18.75" customHeight="1">
      <c r="A72" s="72"/>
      <c r="B72" s="72"/>
      <c r="C72" s="112" t="str">
        <f t="array" ref="C72">IFERROR(IF(B72="","",INDEX(PRODUK!$B:$B,MATCH(B72,PRODUK!$A:$A,0))),"")</f>
        <v/>
      </c>
      <c r="D72" s="113"/>
      <c r="E72" s="74"/>
      <c r="F72" s="74"/>
      <c r="G72" s="74"/>
      <c r="H72" s="114">
        <f>IFERROR(IF(A72="",0,(E72+F72)*PARAM_OVERHEAD_PCT),0)</f>
        <v>0</v>
      </c>
      <c r="I72" s="114">
        <f t="shared" si="1"/>
        <v>0</v>
      </c>
      <c r="J72" s="114">
        <f t="shared" si="2"/>
        <v>0</v>
      </c>
      <c r="K72" s="115">
        <f t="array" ref="K72">IFERROR(IF(B72="",0,INDEX(PRODUK!$E:$E,MATCH(B72,PRODUK!$A:$A,0))),0)</f>
        <v>0</v>
      </c>
      <c r="L72" s="114" t="str">
        <f t="shared" si="3"/>
        <v>—</v>
      </c>
      <c r="M72" s="76" t="str">
        <f>IFERROR(IF(A72="","—",IF(D72=0,"—",IF(J72=0,"—",IF(J72&lt;=K72,"✓ OK",IF(J72&lt;=K72*(1+PARAM_HPP_TIPIS),"⚠ TIPIS","⚠ MAHAL"))))),  "—")</f>
        <v>—</v>
      </c>
    </row>
    <row r="73" ht="18.75" customHeight="1">
      <c r="A73" s="77"/>
      <c r="B73" s="77"/>
      <c r="C73" s="116" t="str">
        <f t="array" ref="C73">IFERROR(IF(B73="","",INDEX(PRODUK!$B:$B,MATCH(B73,PRODUK!$A:$A,0))),"")</f>
        <v/>
      </c>
      <c r="D73" s="117"/>
      <c r="E73" s="79"/>
      <c r="F73" s="79"/>
      <c r="G73" s="79"/>
      <c r="H73" s="118">
        <f>IFERROR(IF(A73="",0,(E73+F73)*PARAM_OVERHEAD_PCT),0)</f>
        <v>0</v>
      </c>
      <c r="I73" s="118">
        <f t="shared" si="1"/>
        <v>0</v>
      </c>
      <c r="J73" s="118">
        <f t="shared" si="2"/>
        <v>0</v>
      </c>
      <c r="K73" s="119">
        <f t="array" ref="K73">IFERROR(IF(B73="",0,INDEX(PRODUK!$E:$E,MATCH(B73,PRODUK!$A:$A,0))),0)</f>
        <v>0</v>
      </c>
      <c r="L73" s="118" t="str">
        <f t="shared" si="3"/>
        <v>—</v>
      </c>
      <c r="M73" s="81" t="str">
        <f>IFERROR(IF(A73="","—",IF(D73=0,"—",IF(J73=0,"—",IF(J73&lt;=K73,"✓ OK",IF(J73&lt;=K73*(1+PARAM_HPP_TIPIS),"⚠ TIPIS","⚠ MAHAL"))))),  "—")</f>
        <v>—</v>
      </c>
    </row>
    <row r="74" ht="18.75" customHeight="1">
      <c r="A74" s="72"/>
      <c r="B74" s="72"/>
      <c r="C74" s="112" t="str">
        <f t="array" ref="C74">IFERROR(IF(B74="","",INDEX(PRODUK!$B:$B,MATCH(B74,PRODUK!$A:$A,0))),"")</f>
        <v/>
      </c>
      <c r="D74" s="113"/>
      <c r="E74" s="74"/>
      <c r="F74" s="74"/>
      <c r="G74" s="74"/>
      <c r="H74" s="114">
        <f>IFERROR(IF(A74="",0,(E74+F74)*PARAM_OVERHEAD_PCT),0)</f>
        <v>0</v>
      </c>
      <c r="I74" s="114">
        <f t="shared" si="1"/>
        <v>0</v>
      </c>
      <c r="J74" s="114">
        <f t="shared" si="2"/>
        <v>0</v>
      </c>
      <c r="K74" s="115">
        <f t="array" ref="K74">IFERROR(IF(B74="",0,INDEX(PRODUK!$E:$E,MATCH(B74,PRODUK!$A:$A,0))),0)</f>
        <v>0</v>
      </c>
      <c r="L74" s="114" t="str">
        <f t="shared" si="3"/>
        <v>—</v>
      </c>
      <c r="M74" s="76" t="str">
        <f>IFERROR(IF(A74="","—",IF(D74=0,"—",IF(J74=0,"—",IF(J74&lt;=K74,"✓ OK",IF(J74&lt;=K74*(1+PARAM_HPP_TIPIS),"⚠ TIPIS","⚠ MAHAL"))))),  "—")</f>
        <v>—</v>
      </c>
    </row>
    <row r="75" ht="18.75" customHeight="1">
      <c r="A75" s="77"/>
      <c r="B75" s="77"/>
      <c r="C75" s="116" t="str">
        <f t="array" ref="C75">IFERROR(IF(B75="","",INDEX(PRODUK!$B:$B,MATCH(B75,PRODUK!$A:$A,0))),"")</f>
        <v/>
      </c>
      <c r="D75" s="117"/>
      <c r="E75" s="79"/>
      <c r="F75" s="79"/>
      <c r="G75" s="79"/>
      <c r="H75" s="118">
        <f>IFERROR(IF(A75="",0,(E75+F75)*PARAM_OVERHEAD_PCT),0)</f>
        <v>0</v>
      </c>
      <c r="I75" s="118">
        <f t="shared" si="1"/>
        <v>0</v>
      </c>
      <c r="J75" s="118">
        <f t="shared" si="2"/>
        <v>0</v>
      </c>
      <c r="K75" s="119">
        <f t="array" ref="K75">IFERROR(IF(B75="",0,INDEX(PRODUK!$E:$E,MATCH(B75,PRODUK!$A:$A,0))),0)</f>
        <v>0</v>
      </c>
      <c r="L75" s="118" t="str">
        <f t="shared" si="3"/>
        <v>—</v>
      </c>
      <c r="M75" s="81" t="str">
        <f>IFERROR(IF(A75="","—",IF(D75=0,"—",IF(J75=0,"—",IF(J75&lt;=K75,"✓ OK",IF(J75&lt;=K75*(1+PARAM_HPP_TIPIS),"⚠ TIPIS","⚠ MAHAL"))))),  "—")</f>
        <v>—</v>
      </c>
    </row>
    <row r="76" ht="18.75" customHeight="1">
      <c r="A76" s="72"/>
      <c r="B76" s="72"/>
      <c r="C76" s="112" t="str">
        <f t="array" ref="C76">IFERROR(IF(B76="","",INDEX(PRODUK!$B:$B,MATCH(B76,PRODUK!$A:$A,0))),"")</f>
        <v/>
      </c>
      <c r="D76" s="113"/>
      <c r="E76" s="74"/>
      <c r="F76" s="74"/>
      <c r="G76" s="74"/>
      <c r="H76" s="114">
        <f>IFERROR(IF(A76="",0,(E76+F76)*PARAM_OVERHEAD_PCT),0)</f>
        <v>0</v>
      </c>
      <c r="I76" s="114">
        <f t="shared" si="1"/>
        <v>0</v>
      </c>
      <c r="J76" s="114">
        <f t="shared" si="2"/>
        <v>0</v>
      </c>
      <c r="K76" s="115">
        <f t="array" ref="K76">IFERROR(IF(B76="",0,INDEX(PRODUK!$E:$E,MATCH(B76,PRODUK!$A:$A,0))),0)</f>
        <v>0</v>
      </c>
      <c r="L76" s="114" t="str">
        <f t="shared" si="3"/>
        <v>—</v>
      </c>
      <c r="M76" s="76" t="str">
        <f>IFERROR(IF(A76="","—",IF(D76=0,"—",IF(J76=0,"—",IF(J76&lt;=K76,"✓ OK",IF(J76&lt;=K76*(1+PARAM_HPP_TIPIS),"⚠ TIPIS","⚠ MAHAL"))))),  "—")</f>
        <v>—</v>
      </c>
    </row>
    <row r="77" ht="18.75" customHeight="1">
      <c r="A77" s="77"/>
      <c r="B77" s="77"/>
      <c r="C77" s="116" t="str">
        <f t="array" ref="C77">IFERROR(IF(B77="","",INDEX(PRODUK!$B:$B,MATCH(B77,PRODUK!$A:$A,0))),"")</f>
        <v/>
      </c>
      <c r="D77" s="117"/>
      <c r="E77" s="79"/>
      <c r="F77" s="79"/>
      <c r="G77" s="79"/>
      <c r="H77" s="118">
        <f>IFERROR(IF(A77="",0,(E77+F77)*PARAM_OVERHEAD_PCT),0)</f>
        <v>0</v>
      </c>
      <c r="I77" s="118">
        <f t="shared" si="1"/>
        <v>0</v>
      </c>
      <c r="J77" s="118">
        <f t="shared" si="2"/>
        <v>0</v>
      </c>
      <c r="K77" s="119">
        <f t="array" ref="K77">IFERROR(IF(B77="",0,INDEX(PRODUK!$E:$E,MATCH(B77,PRODUK!$A:$A,0))),0)</f>
        <v>0</v>
      </c>
      <c r="L77" s="118" t="str">
        <f t="shared" si="3"/>
        <v>—</v>
      </c>
      <c r="M77" s="81" t="str">
        <f>IFERROR(IF(A77="","—",IF(D77=0,"—",IF(J77=0,"—",IF(J77&lt;=K77,"✓ OK",IF(J77&lt;=K77*(1+PARAM_HPP_TIPIS),"⚠ TIPIS","⚠ MAHAL"))))),  "—")</f>
        <v>—</v>
      </c>
    </row>
    <row r="78" ht="18.75" customHeight="1">
      <c r="A78" s="72"/>
      <c r="B78" s="72"/>
      <c r="C78" s="112" t="str">
        <f t="array" ref="C78">IFERROR(IF(B78="","",INDEX(PRODUK!$B:$B,MATCH(B78,PRODUK!$A:$A,0))),"")</f>
        <v/>
      </c>
      <c r="D78" s="113"/>
      <c r="E78" s="74"/>
      <c r="F78" s="74"/>
      <c r="G78" s="74"/>
      <c r="H78" s="114">
        <f>IFERROR(IF(A78="",0,(E78+F78)*PARAM_OVERHEAD_PCT),0)</f>
        <v>0</v>
      </c>
      <c r="I78" s="114">
        <f t="shared" si="1"/>
        <v>0</v>
      </c>
      <c r="J78" s="114">
        <f t="shared" si="2"/>
        <v>0</v>
      </c>
      <c r="K78" s="115">
        <f t="array" ref="K78">IFERROR(IF(B78="",0,INDEX(PRODUK!$E:$E,MATCH(B78,PRODUK!$A:$A,0))),0)</f>
        <v>0</v>
      </c>
      <c r="L78" s="114" t="str">
        <f t="shared" si="3"/>
        <v>—</v>
      </c>
      <c r="M78" s="76" t="str">
        <f>IFERROR(IF(A78="","—",IF(D78=0,"—",IF(J78=0,"—",IF(J78&lt;=K78,"✓ OK",IF(J78&lt;=K78*(1+PARAM_HPP_TIPIS),"⚠ TIPIS","⚠ MAHAL"))))),  "—")</f>
        <v>—</v>
      </c>
    </row>
    <row r="79" ht="18.75" customHeight="1">
      <c r="A79" s="77"/>
      <c r="B79" s="77"/>
      <c r="C79" s="116" t="str">
        <f t="array" ref="C79">IFERROR(IF(B79="","",INDEX(PRODUK!$B:$B,MATCH(B79,PRODUK!$A:$A,0))),"")</f>
        <v/>
      </c>
      <c r="D79" s="117"/>
      <c r="E79" s="79"/>
      <c r="F79" s="79"/>
      <c r="G79" s="79"/>
      <c r="H79" s="118">
        <f>IFERROR(IF(A79="",0,(E79+F79)*PARAM_OVERHEAD_PCT),0)</f>
        <v>0</v>
      </c>
      <c r="I79" s="118">
        <f t="shared" si="1"/>
        <v>0</v>
      </c>
      <c r="J79" s="118">
        <f t="shared" si="2"/>
        <v>0</v>
      </c>
      <c r="K79" s="119">
        <f t="array" ref="K79">IFERROR(IF(B79="",0,INDEX(PRODUK!$E:$E,MATCH(B79,PRODUK!$A:$A,0))),0)</f>
        <v>0</v>
      </c>
      <c r="L79" s="118" t="str">
        <f t="shared" si="3"/>
        <v>—</v>
      </c>
      <c r="M79" s="81" t="str">
        <f>IFERROR(IF(A79="","—",IF(D79=0,"—",IF(J79=0,"—",IF(J79&lt;=K79,"✓ OK",IF(J79&lt;=K79*(1+PARAM_HPP_TIPIS),"⚠ TIPIS","⚠ MAHAL"))))),  "—")</f>
        <v>—</v>
      </c>
    </row>
    <row r="80" ht="18.75" customHeight="1">
      <c r="A80" s="72"/>
      <c r="B80" s="72"/>
      <c r="C80" s="112" t="str">
        <f t="array" ref="C80">IFERROR(IF(B80="","",INDEX(PRODUK!$B:$B,MATCH(B80,PRODUK!$A:$A,0))),"")</f>
        <v/>
      </c>
      <c r="D80" s="113"/>
      <c r="E80" s="74"/>
      <c r="F80" s="74"/>
      <c r="G80" s="74"/>
      <c r="H80" s="114">
        <f>IFERROR(IF(A80="",0,(E80+F80)*PARAM_OVERHEAD_PCT),0)</f>
        <v>0</v>
      </c>
      <c r="I80" s="114">
        <f t="shared" si="1"/>
        <v>0</v>
      </c>
      <c r="J80" s="114">
        <f t="shared" si="2"/>
        <v>0</v>
      </c>
      <c r="K80" s="115">
        <f t="array" ref="K80">IFERROR(IF(B80="",0,INDEX(PRODUK!$E:$E,MATCH(B80,PRODUK!$A:$A,0))),0)</f>
        <v>0</v>
      </c>
      <c r="L80" s="114" t="str">
        <f t="shared" si="3"/>
        <v>—</v>
      </c>
      <c r="M80" s="76" t="str">
        <f>IFERROR(IF(A80="","—",IF(D80=0,"—",IF(J80=0,"—",IF(J80&lt;=K80,"✓ OK",IF(J80&lt;=K80*(1+PARAM_HPP_TIPIS),"⚠ TIPIS","⚠ MAHAL"))))),  "—")</f>
        <v>—</v>
      </c>
    </row>
    <row r="81" ht="18.75" customHeight="1">
      <c r="A81" s="77"/>
      <c r="B81" s="77"/>
      <c r="C81" s="116" t="str">
        <f t="array" ref="C81">IFERROR(IF(B81="","",INDEX(PRODUK!$B:$B,MATCH(B81,PRODUK!$A:$A,0))),"")</f>
        <v/>
      </c>
      <c r="D81" s="117"/>
      <c r="E81" s="79"/>
      <c r="F81" s="79"/>
      <c r="G81" s="79"/>
      <c r="H81" s="118">
        <f>IFERROR(IF(A81="",0,(E81+F81)*PARAM_OVERHEAD_PCT),0)</f>
        <v>0</v>
      </c>
      <c r="I81" s="118">
        <f t="shared" si="1"/>
        <v>0</v>
      </c>
      <c r="J81" s="118">
        <f t="shared" si="2"/>
        <v>0</v>
      </c>
      <c r="K81" s="119">
        <f t="array" ref="K81">IFERROR(IF(B81="",0,INDEX(PRODUK!$E:$E,MATCH(B81,PRODUK!$A:$A,0))),0)</f>
        <v>0</v>
      </c>
      <c r="L81" s="118" t="str">
        <f t="shared" si="3"/>
        <v>—</v>
      </c>
      <c r="M81" s="81" t="str">
        <f>IFERROR(IF(A81="","—",IF(D81=0,"—",IF(J81=0,"—",IF(J81&lt;=K81,"✓ OK",IF(J81&lt;=K81*(1+PARAM_HPP_TIPIS),"⚠ TIPIS","⚠ MAHAL"))))),  "—")</f>
        <v>—</v>
      </c>
    </row>
    <row r="82" ht="18.75" customHeight="1">
      <c r="A82" s="72"/>
      <c r="B82" s="72"/>
      <c r="C82" s="112" t="str">
        <f t="array" ref="C82">IFERROR(IF(B82="","",INDEX(PRODUK!$B:$B,MATCH(B82,PRODUK!$A:$A,0))),"")</f>
        <v/>
      </c>
      <c r="D82" s="113"/>
      <c r="E82" s="74"/>
      <c r="F82" s="74"/>
      <c r="G82" s="74"/>
      <c r="H82" s="114">
        <f>IFERROR(IF(A82="",0,(E82+F82)*PARAM_OVERHEAD_PCT),0)</f>
        <v>0</v>
      </c>
      <c r="I82" s="114">
        <f t="shared" si="1"/>
        <v>0</v>
      </c>
      <c r="J82" s="114">
        <f t="shared" si="2"/>
        <v>0</v>
      </c>
      <c r="K82" s="115">
        <f t="array" ref="K82">IFERROR(IF(B82="",0,INDEX(PRODUK!$E:$E,MATCH(B82,PRODUK!$A:$A,0))),0)</f>
        <v>0</v>
      </c>
      <c r="L82" s="114" t="str">
        <f t="shared" si="3"/>
        <v>—</v>
      </c>
      <c r="M82" s="76" t="str">
        <f>IFERROR(IF(A82="","—",IF(D82=0,"—",IF(J82=0,"—",IF(J82&lt;=K82,"✓ OK",IF(J82&lt;=K82*(1+PARAM_HPP_TIPIS),"⚠ TIPIS","⚠ MAHAL"))))),  "—")</f>
        <v>—</v>
      </c>
    </row>
    <row r="83" ht="18.75" customHeight="1">
      <c r="A83" s="77"/>
      <c r="B83" s="77"/>
      <c r="C83" s="116" t="str">
        <f t="array" ref="C83">IFERROR(IF(B83="","",INDEX(PRODUK!$B:$B,MATCH(B83,PRODUK!$A:$A,0))),"")</f>
        <v/>
      </c>
      <c r="D83" s="117"/>
      <c r="E83" s="79"/>
      <c r="F83" s="79"/>
      <c r="G83" s="79"/>
      <c r="H83" s="118">
        <f>IFERROR(IF(A83="",0,(E83+F83)*PARAM_OVERHEAD_PCT),0)</f>
        <v>0</v>
      </c>
      <c r="I83" s="118">
        <f t="shared" si="1"/>
        <v>0</v>
      </c>
      <c r="J83" s="118">
        <f t="shared" si="2"/>
        <v>0</v>
      </c>
      <c r="K83" s="119">
        <f t="array" ref="K83">IFERROR(IF(B83="",0,INDEX(PRODUK!$E:$E,MATCH(B83,PRODUK!$A:$A,0))),0)</f>
        <v>0</v>
      </c>
      <c r="L83" s="118" t="str">
        <f t="shared" si="3"/>
        <v>—</v>
      </c>
      <c r="M83" s="81" t="str">
        <f>IFERROR(IF(A83="","—",IF(D83=0,"—",IF(J83=0,"—",IF(J83&lt;=K83,"✓ OK",IF(J83&lt;=K83*(1+PARAM_HPP_TIPIS),"⚠ TIPIS","⚠ MAHAL"))))),  "—")</f>
        <v>—</v>
      </c>
    </row>
    <row r="84" ht="18.75" customHeight="1">
      <c r="A84" s="72"/>
      <c r="B84" s="72"/>
      <c r="C84" s="112" t="str">
        <f t="array" ref="C84">IFERROR(IF(B84="","",INDEX(PRODUK!$B:$B,MATCH(B84,PRODUK!$A:$A,0))),"")</f>
        <v/>
      </c>
      <c r="D84" s="113"/>
      <c r="E84" s="74"/>
      <c r="F84" s="74"/>
      <c r="G84" s="74"/>
      <c r="H84" s="114">
        <f>IFERROR(IF(A84="",0,(E84+F84)*PARAM_OVERHEAD_PCT),0)</f>
        <v>0</v>
      </c>
      <c r="I84" s="114">
        <f t="shared" si="1"/>
        <v>0</v>
      </c>
      <c r="J84" s="114">
        <f t="shared" si="2"/>
        <v>0</v>
      </c>
      <c r="K84" s="115">
        <f t="array" ref="K84">IFERROR(IF(B84="",0,INDEX(PRODUK!$E:$E,MATCH(B84,PRODUK!$A:$A,0))),0)</f>
        <v>0</v>
      </c>
      <c r="L84" s="114" t="str">
        <f t="shared" si="3"/>
        <v>—</v>
      </c>
      <c r="M84" s="76" t="str">
        <f>IFERROR(IF(A84="","—",IF(D84=0,"—",IF(J84=0,"—",IF(J84&lt;=K84,"✓ OK",IF(J84&lt;=K84*(1+PARAM_HPP_TIPIS),"⚠ TIPIS","⚠ MAHAL"))))),  "—")</f>
        <v>—</v>
      </c>
    </row>
    <row r="85" ht="18.75" customHeight="1">
      <c r="A85" s="77"/>
      <c r="B85" s="77"/>
      <c r="C85" s="116" t="str">
        <f t="array" ref="C85">IFERROR(IF(B85="","",INDEX(PRODUK!$B:$B,MATCH(B85,PRODUK!$A:$A,0))),"")</f>
        <v/>
      </c>
      <c r="D85" s="117"/>
      <c r="E85" s="79"/>
      <c r="F85" s="79"/>
      <c r="G85" s="79"/>
      <c r="H85" s="118">
        <f>IFERROR(IF(A85="",0,(E85+F85)*PARAM_OVERHEAD_PCT),0)</f>
        <v>0</v>
      </c>
      <c r="I85" s="118">
        <f t="shared" si="1"/>
        <v>0</v>
      </c>
      <c r="J85" s="118">
        <f t="shared" si="2"/>
        <v>0</v>
      </c>
      <c r="K85" s="119">
        <f t="array" ref="K85">IFERROR(IF(B85="",0,INDEX(PRODUK!$E:$E,MATCH(B85,PRODUK!$A:$A,0))),0)</f>
        <v>0</v>
      </c>
      <c r="L85" s="118" t="str">
        <f t="shared" si="3"/>
        <v>—</v>
      </c>
      <c r="M85" s="81" t="str">
        <f>IFERROR(IF(A85="","—",IF(D85=0,"—",IF(J85=0,"—",IF(J85&lt;=K85,"✓ OK",IF(J85&lt;=K85*(1+PARAM_HPP_TIPIS),"⚠ TIPIS","⚠ MAHAL"))))),  "—")</f>
        <v>—</v>
      </c>
    </row>
    <row r="86" ht="18.75" customHeight="1">
      <c r="A86" s="72"/>
      <c r="B86" s="72"/>
      <c r="C86" s="112" t="str">
        <f t="array" ref="C86">IFERROR(IF(B86="","",INDEX(PRODUK!$B:$B,MATCH(B86,PRODUK!$A:$A,0))),"")</f>
        <v/>
      </c>
      <c r="D86" s="113"/>
      <c r="E86" s="74"/>
      <c r="F86" s="74"/>
      <c r="G86" s="74"/>
      <c r="H86" s="114">
        <f>IFERROR(IF(A86="",0,(E86+F86)*PARAM_OVERHEAD_PCT),0)</f>
        <v>0</v>
      </c>
      <c r="I86" s="114">
        <f t="shared" si="1"/>
        <v>0</v>
      </c>
      <c r="J86" s="114">
        <f t="shared" si="2"/>
        <v>0</v>
      </c>
      <c r="K86" s="115">
        <f t="array" ref="K86">IFERROR(IF(B86="",0,INDEX(PRODUK!$E:$E,MATCH(B86,PRODUK!$A:$A,0))),0)</f>
        <v>0</v>
      </c>
      <c r="L86" s="114" t="str">
        <f t="shared" si="3"/>
        <v>—</v>
      </c>
      <c r="M86" s="76" t="str">
        <f>IFERROR(IF(A86="","—",IF(D86=0,"—",IF(J86=0,"—",IF(J86&lt;=K86,"✓ OK",IF(J86&lt;=K86*(1+PARAM_HPP_TIPIS),"⚠ TIPIS","⚠ MAHAL"))))),  "—")</f>
        <v>—</v>
      </c>
    </row>
    <row r="87" ht="18.75" customHeight="1">
      <c r="A87" s="77"/>
      <c r="B87" s="77"/>
      <c r="C87" s="116" t="str">
        <f t="array" ref="C87">IFERROR(IF(B87="","",INDEX(PRODUK!$B:$B,MATCH(B87,PRODUK!$A:$A,0))),"")</f>
        <v/>
      </c>
      <c r="D87" s="117"/>
      <c r="E87" s="79"/>
      <c r="F87" s="79"/>
      <c r="G87" s="79"/>
      <c r="H87" s="118">
        <f>IFERROR(IF(A87="",0,(E87+F87)*PARAM_OVERHEAD_PCT),0)</f>
        <v>0</v>
      </c>
      <c r="I87" s="118">
        <f t="shared" si="1"/>
        <v>0</v>
      </c>
      <c r="J87" s="118">
        <f t="shared" si="2"/>
        <v>0</v>
      </c>
      <c r="K87" s="119">
        <f t="array" ref="K87">IFERROR(IF(B87="",0,INDEX(PRODUK!$E:$E,MATCH(B87,PRODUK!$A:$A,0))),0)</f>
        <v>0</v>
      </c>
      <c r="L87" s="118" t="str">
        <f t="shared" si="3"/>
        <v>—</v>
      </c>
      <c r="M87" s="81" t="str">
        <f>IFERROR(IF(A87="","—",IF(D87=0,"—",IF(J87=0,"—",IF(J87&lt;=K87,"✓ OK",IF(J87&lt;=K87*(1+PARAM_HPP_TIPIS),"⚠ TIPIS","⚠ MAHAL"))))),  "—")</f>
        <v>—</v>
      </c>
    </row>
    <row r="88" ht="18.75" customHeight="1">
      <c r="A88" s="72"/>
      <c r="B88" s="72"/>
      <c r="C88" s="112" t="str">
        <f t="array" ref="C88">IFERROR(IF(B88="","",INDEX(PRODUK!$B:$B,MATCH(B88,PRODUK!$A:$A,0))),"")</f>
        <v/>
      </c>
      <c r="D88" s="113"/>
      <c r="E88" s="74"/>
      <c r="F88" s="74"/>
      <c r="G88" s="74"/>
      <c r="H88" s="114">
        <f>IFERROR(IF(A88="",0,(E88+F88)*PARAM_OVERHEAD_PCT),0)</f>
        <v>0</v>
      </c>
      <c r="I88" s="114">
        <f t="shared" si="1"/>
        <v>0</v>
      </c>
      <c r="J88" s="114">
        <f t="shared" si="2"/>
        <v>0</v>
      </c>
      <c r="K88" s="115">
        <f t="array" ref="K88">IFERROR(IF(B88="",0,INDEX(PRODUK!$E:$E,MATCH(B88,PRODUK!$A:$A,0))),0)</f>
        <v>0</v>
      </c>
      <c r="L88" s="114" t="str">
        <f t="shared" si="3"/>
        <v>—</v>
      </c>
      <c r="M88" s="76" t="str">
        <f>IFERROR(IF(A88="","—",IF(D88=0,"—",IF(J88=0,"—",IF(J88&lt;=K88,"✓ OK",IF(J88&lt;=K88*(1+PARAM_HPP_TIPIS),"⚠ TIPIS","⚠ MAHAL"))))),  "—")</f>
        <v>—</v>
      </c>
    </row>
    <row r="89" ht="18.75" customHeight="1">
      <c r="A89" s="77"/>
      <c r="B89" s="77"/>
      <c r="C89" s="116" t="str">
        <f t="array" ref="C89">IFERROR(IF(B89="","",INDEX(PRODUK!$B:$B,MATCH(B89,PRODUK!$A:$A,0))),"")</f>
        <v/>
      </c>
      <c r="D89" s="117"/>
      <c r="E89" s="79"/>
      <c r="F89" s="79"/>
      <c r="G89" s="79"/>
      <c r="H89" s="118">
        <f>IFERROR(IF(A89="",0,(E89+F89)*PARAM_OVERHEAD_PCT),0)</f>
        <v>0</v>
      </c>
      <c r="I89" s="118">
        <f t="shared" si="1"/>
        <v>0</v>
      </c>
      <c r="J89" s="118">
        <f t="shared" si="2"/>
        <v>0</v>
      </c>
      <c r="K89" s="119">
        <f t="array" ref="K89">IFERROR(IF(B89="",0,INDEX(PRODUK!$E:$E,MATCH(B89,PRODUK!$A:$A,0))),0)</f>
        <v>0</v>
      </c>
      <c r="L89" s="118" t="str">
        <f t="shared" si="3"/>
        <v>—</v>
      </c>
      <c r="M89" s="81" t="str">
        <f>IFERROR(IF(A89="","—",IF(D89=0,"—",IF(J89=0,"—",IF(J89&lt;=K89,"✓ OK",IF(J89&lt;=K89*(1+PARAM_HPP_TIPIS),"⚠ TIPIS","⚠ MAHAL"))))),  "—")</f>
        <v>—</v>
      </c>
    </row>
    <row r="90" ht="18.75" customHeight="1">
      <c r="A90" s="72"/>
      <c r="B90" s="72"/>
      <c r="C90" s="112" t="str">
        <f t="array" ref="C90">IFERROR(IF(B90="","",INDEX(PRODUK!$B:$B,MATCH(B90,PRODUK!$A:$A,0))),"")</f>
        <v/>
      </c>
      <c r="D90" s="113"/>
      <c r="E90" s="74"/>
      <c r="F90" s="74"/>
      <c r="G90" s="74"/>
      <c r="H90" s="114">
        <f>IFERROR(IF(A90="",0,(E90+F90)*PARAM_OVERHEAD_PCT),0)</f>
        <v>0</v>
      </c>
      <c r="I90" s="114">
        <f t="shared" si="1"/>
        <v>0</v>
      </c>
      <c r="J90" s="114">
        <f t="shared" si="2"/>
        <v>0</v>
      </c>
      <c r="K90" s="115">
        <f t="array" ref="K90">IFERROR(IF(B90="",0,INDEX(PRODUK!$E:$E,MATCH(B90,PRODUK!$A:$A,0))),0)</f>
        <v>0</v>
      </c>
      <c r="L90" s="114" t="str">
        <f t="shared" si="3"/>
        <v>—</v>
      </c>
      <c r="M90" s="76" t="str">
        <f>IFERROR(IF(A90="","—",IF(D90=0,"—",IF(J90=0,"—",IF(J90&lt;=K90,"✓ OK",IF(J90&lt;=K90*(1+PARAM_HPP_TIPIS),"⚠ TIPIS","⚠ MAHAL"))))),  "—")</f>
        <v>—</v>
      </c>
    </row>
    <row r="91" ht="18.75" customHeight="1">
      <c r="A91" s="77"/>
      <c r="B91" s="77"/>
      <c r="C91" s="116" t="str">
        <f t="array" ref="C91">IFERROR(IF(B91="","",INDEX(PRODUK!$B:$B,MATCH(B91,PRODUK!$A:$A,0))),"")</f>
        <v/>
      </c>
      <c r="D91" s="117"/>
      <c r="E91" s="79"/>
      <c r="F91" s="79"/>
      <c r="G91" s="79"/>
      <c r="H91" s="118">
        <f>IFERROR(IF(A91="",0,(E91+F91)*PARAM_OVERHEAD_PCT),0)</f>
        <v>0</v>
      </c>
      <c r="I91" s="118">
        <f t="shared" si="1"/>
        <v>0</v>
      </c>
      <c r="J91" s="118">
        <f t="shared" si="2"/>
        <v>0</v>
      </c>
      <c r="K91" s="119">
        <f t="array" ref="K91">IFERROR(IF(B91="",0,INDEX(PRODUK!$E:$E,MATCH(B91,PRODUK!$A:$A,0))),0)</f>
        <v>0</v>
      </c>
      <c r="L91" s="118" t="str">
        <f t="shared" si="3"/>
        <v>—</v>
      </c>
      <c r="M91" s="81" t="str">
        <f>IFERROR(IF(A91="","—",IF(D91=0,"—",IF(J91=0,"—",IF(J91&lt;=K91,"✓ OK",IF(J91&lt;=K91*(1+PARAM_HPP_TIPIS),"⚠ TIPIS","⚠ MAHAL"))))),  "—")</f>
        <v>—</v>
      </c>
    </row>
    <row r="92" ht="18.75" customHeight="1">
      <c r="A92" s="72"/>
      <c r="B92" s="72"/>
      <c r="C92" s="112" t="str">
        <f t="array" ref="C92">IFERROR(IF(B92="","",INDEX(PRODUK!$B:$B,MATCH(B92,PRODUK!$A:$A,0))),"")</f>
        <v/>
      </c>
      <c r="D92" s="113"/>
      <c r="E92" s="74"/>
      <c r="F92" s="74"/>
      <c r="G92" s="74"/>
      <c r="H92" s="114">
        <f>IFERROR(IF(A92="",0,(E92+F92)*PARAM_OVERHEAD_PCT),0)</f>
        <v>0</v>
      </c>
      <c r="I92" s="114">
        <f t="shared" si="1"/>
        <v>0</v>
      </c>
      <c r="J92" s="114">
        <f t="shared" si="2"/>
        <v>0</v>
      </c>
      <c r="K92" s="115">
        <f t="array" ref="K92">IFERROR(IF(B92="",0,INDEX(PRODUK!$E:$E,MATCH(B92,PRODUK!$A:$A,0))),0)</f>
        <v>0</v>
      </c>
      <c r="L92" s="114" t="str">
        <f t="shared" si="3"/>
        <v>—</v>
      </c>
      <c r="M92" s="76" t="str">
        <f>IFERROR(IF(A92="","—",IF(D92=0,"—",IF(J92=0,"—",IF(J92&lt;=K92,"✓ OK",IF(J92&lt;=K92*(1+PARAM_HPP_TIPIS),"⚠ TIPIS","⚠ MAHAL"))))),  "—")</f>
        <v>—</v>
      </c>
    </row>
    <row r="93" ht="18.75" customHeight="1">
      <c r="A93" s="77"/>
      <c r="B93" s="77"/>
      <c r="C93" s="116" t="str">
        <f t="array" ref="C93">IFERROR(IF(B93="","",INDEX(PRODUK!$B:$B,MATCH(B93,PRODUK!$A:$A,0))),"")</f>
        <v/>
      </c>
      <c r="D93" s="117"/>
      <c r="E93" s="79"/>
      <c r="F93" s="79"/>
      <c r="G93" s="79"/>
      <c r="H93" s="118">
        <f>IFERROR(IF(A93="",0,(E93+F93)*PARAM_OVERHEAD_PCT),0)</f>
        <v>0</v>
      </c>
      <c r="I93" s="118">
        <f t="shared" si="1"/>
        <v>0</v>
      </c>
      <c r="J93" s="118">
        <f t="shared" si="2"/>
        <v>0</v>
      </c>
      <c r="K93" s="119">
        <f t="array" ref="K93">IFERROR(IF(B93="",0,INDEX(PRODUK!$E:$E,MATCH(B93,PRODUK!$A:$A,0))),0)</f>
        <v>0</v>
      </c>
      <c r="L93" s="118" t="str">
        <f t="shared" si="3"/>
        <v>—</v>
      </c>
      <c r="M93" s="81" t="str">
        <f>IFERROR(IF(A93="","—",IF(D93=0,"—",IF(J93=0,"—",IF(J93&lt;=K93,"✓ OK",IF(J93&lt;=K93*(1+PARAM_HPP_TIPIS),"⚠ TIPIS","⚠ MAHAL"))))),  "—")</f>
        <v>—</v>
      </c>
    </row>
    <row r="94" ht="18.75" customHeight="1">
      <c r="A94" s="72"/>
      <c r="B94" s="72"/>
      <c r="C94" s="112" t="str">
        <f t="array" ref="C94">IFERROR(IF(B94="","",INDEX(PRODUK!$B:$B,MATCH(B94,PRODUK!$A:$A,0))),"")</f>
        <v/>
      </c>
      <c r="D94" s="113"/>
      <c r="E94" s="74"/>
      <c r="F94" s="74"/>
      <c r="G94" s="74"/>
      <c r="H94" s="114">
        <f>IFERROR(IF(A94="",0,(E94+F94)*PARAM_OVERHEAD_PCT),0)</f>
        <v>0</v>
      </c>
      <c r="I94" s="114">
        <f t="shared" si="1"/>
        <v>0</v>
      </c>
      <c r="J94" s="114">
        <f t="shared" si="2"/>
        <v>0</v>
      </c>
      <c r="K94" s="115">
        <f t="array" ref="K94">IFERROR(IF(B94="",0,INDEX(PRODUK!$E:$E,MATCH(B94,PRODUK!$A:$A,0))),0)</f>
        <v>0</v>
      </c>
      <c r="L94" s="114" t="str">
        <f t="shared" si="3"/>
        <v>—</v>
      </c>
      <c r="M94" s="76" t="str">
        <f>IFERROR(IF(A94="","—",IF(D94=0,"—",IF(J94=0,"—",IF(J94&lt;=K94,"✓ OK",IF(J94&lt;=K94*(1+PARAM_HPP_TIPIS),"⚠ TIPIS","⚠ MAHAL"))))),  "—")</f>
        <v>—</v>
      </c>
    </row>
    <row r="95" ht="18.75" customHeight="1">
      <c r="A95" s="77"/>
      <c r="B95" s="77"/>
      <c r="C95" s="116" t="str">
        <f t="array" ref="C95">IFERROR(IF(B95="","",INDEX(PRODUK!$B:$B,MATCH(B95,PRODUK!$A:$A,0))),"")</f>
        <v/>
      </c>
      <c r="D95" s="117"/>
      <c r="E95" s="79"/>
      <c r="F95" s="79"/>
      <c r="G95" s="79"/>
      <c r="H95" s="118">
        <f>IFERROR(IF(A95="",0,(E95+F95)*PARAM_OVERHEAD_PCT),0)</f>
        <v>0</v>
      </c>
      <c r="I95" s="118">
        <f t="shared" si="1"/>
        <v>0</v>
      </c>
      <c r="J95" s="118">
        <f t="shared" si="2"/>
        <v>0</v>
      </c>
      <c r="K95" s="119">
        <f t="array" ref="K95">IFERROR(IF(B95="",0,INDEX(PRODUK!$E:$E,MATCH(B95,PRODUK!$A:$A,0))),0)</f>
        <v>0</v>
      </c>
      <c r="L95" s="118" t="str">
        <f t="shared" si="3"/>
        <v>—</v>
      </c>
      <c r="M95" s="81" t="str">
        <f>IFERROR(IF(A95="","—",IF(D95=0,"—",IF(J95=0,"—",IF(J95&lt;=K95,"✓ OK",IF(J95&lt;=K95*(1+PARAM_HPP_TIPIS),"⚠ TIPIS","⚠ MAHAL"))))),  "—")</f>
        <v>—</v>
      </c>
    </row>
    <row r="96" ht="18.75" customHeight="1">
      <c r="A96" s="72"/>
      <c r="B96" s="72"/>
      <c r="C96" s="112" t="str">
        <f t="array" ref="C96">IFERROR(IF(B96="","",INDEX(PRODUK!$B:$B,MATCH(B96,PRODUK!$A:$A,0))),"")</f>
        <v/>
      </c>
      <c r="D96" s="113"/>
      <c r="E96" s="74"/>
      <c r="F96" s="74"/>
      <c r="G96" s="74"/>
      <c r="H96" s="114">
        <f>IFERROR(IF(A96="",0,(E96+F96)*PARAM_OVERHEAD_PCT),0)</f>
        <v>0</v>
      </c>
      <c r="I96" s="114">
        <f t="shared" si="1"/>
        <v>0</v>
      </c>
      <c r="J96" s="114">
        <f t="shared" si="2"/>
        <v>0</v>
      </c>
      <c r="K96" s="115">
        <f t="array" ref="K96">IFERROR(IF(B96="",0,INDEX(PRODUK!$E:$E,MATCH(B96,PRODUK!$A:$A,0))),0)</f>
        <v>0</v>
      </c>
      <c r="L96" s="114" t="str">
        <f t="shared" si="3"/>
        <v>—</v>
      </c>
      <c r="M96" s="76" t="str">
        <f>IFERROR(IF(A96="","—",IF(D96=0,"—",IF(J96=0,"—",IF(J96&lt;=K96,"✓ OK",IF(J96&lt;=K96*(1+PARAM_HPP_TIPIS),"⚠ TIPIS","⚠ MAHAL"))))),  "—")</f>
        <v>—</v>
      </c>
    </row>
    <row r="97" ht="18.75" customHeight="1">
      <c r="A97" s="77"/>
      <c r="B97" s="77"/>
      <c r="C97" s="116" t="str">
        <f t="array" ref="C97">IFERROR(IF(B97="","",INDEX(PRODUK!$B:$B,MATCH(B97,PRODUK!$A:$A,0))),"")</f>
        <v/>
      </c>
      <c r="D97" s="117"/>
      <c r="E97" s="79"/>
      <c r="F97" s="79"/>
      <c r="G97" s="79"/>
      <c r="H97" s="118">
        <f>IFERROR(IF(A97="",0,(E97+F97)*PARAM_OVERHEAD_PCT),0)</f>
        <v>0</v>
      </c>
      <c r="I97" s="118">
        <f t="shared" si="1"/>
        <v>0</v>
      </c>
      <c r="J97" s="118">
        <f t="shared" si="2"/>
        <v>0</v>
      </c>
      <c r="K97" s="119">
        <f t="array" ref="K97">IFERROR(IF(B97="",0,INDEX(PRODUK!$E:$E,MATCH(B97,PRODUK!$A:$A,0))),0)</f>
        <v>0</v>
      </c>
      <c r="L97" s="118" t="str">
        <f t="shared" si="3"/>
        <v>—</v>
      </c>
      <c r="M97" s="81" t="str">
        <f>IFERROR(IF(A97="","—",IF(D97=0,"—",IF(J97=0,"—",IF(J97&lt;=K97,"✓ OK",IF(J97&lt;=K97*(1+PARAM_HPP_TIPIS),"⚠ TIPIS","⚠ MAHAL"))))),  "—")</f>
        <v>—</v>
      </c>
    </row>
    <row r="98" ht="18.75" customHeight="1">
      <c r="A98" s="72"/>
      <c r="B98" s="72"/>
      <c r="C98" s="112" t="str">
        <f t="array" ref="C98">IFERROR(IF(B98="","",INDEX(PRODUK!$B:$B,MATCH(B98,PRODUK!$A:$A,0))),"")</f>
        <v/>
      </c>
      <c r="D98" s="113"/>
      <c r="E98" s="74"/>
      <c r="F98" s="74"/>
      <c r="G98" s="74"/>
      <c r="H98" s="114">
        <f>IFERROR(IF(A98="",0,(E98+F98)*PARAM_OVERHEAD_PCT),0)</f>
        <v>0</v>
      </c>
      <c r="I98" s="114">
        <f t="shared" si="1"/>
        <v>0</v>
      </c>
      <c r="J98" s="114">
        <f t="shared" si="2"/>
        <v>0</v>
      </c>
      <c r="K98" s="115">
        <f t="array" ref="K98">IFERROR(IF(B98="",0,INDEX(PRODUK!$E:$E,MATCH(B98,PRODUK!$A:$A,0))),0)</f>
        <v>0</v>
      </c>
      <c r="L98" s="114" t="str">
        <f t="shared" si="3"/>
        <v>—</v>
      </c>
      <c r="M98" s="76" t="str">
        <f>IFERROR(IF(A98="","—",IF(D98=0,"—",IF(J98=0,"—",IF(J98&lt;=K98,"✓ OK",IF(J98&lt;=K98*(1+PARAM_HPP_TIPIS),"⚠ TIPIS","⚠ MAHAL"))))),  "—")</f>
        <v>—</v>
      </c>
    </row>
    <row r="99" ht="18.75" customHeight="1">
      <c r="A99" s="77"/>
      <c r="B99" s="77"/>
      <c r="C99" s="116" t="str">
        <f t="array" ref="C99">IFERROR(IF(B99="","",INDEX(PRODUK!$B:$B,MATCH(B99,PRODUK!$A:$A,0))),"")</f>
        <v/>
      </c>
      <c r="D99" s="117"/>
      <c r="E99" s="79"/>
      <c r="F99" s="79"/>
      <c r="G99" s="79"/>
      <c r="H99" s="118">
        <f>IFERROR(IF(A99="",0,(E99+F99)*PARAM_OVERHEAD_PCT),0)</f>
        <v>0</v>
      </c>
      <c r="I99" s="118">
        <f t="shared" si="1"/>
        <v>0</v>
      </c>
      <c r="J99" s="118">
        <f t="shared" si="2"/>
        <v>0</v>
      </c>
      <c r="K99" s="119">
        <f t="array" ref="K99">IFERROR(IF(B99="",0,INDEX(PRODUK!$E:$E,MATCH(B99,PRODUK!$A:$A,0))),0)</f>
        <v>0</v>
      </c>
      <c r="L99" s="118" t="str">
        <f t="shared" si="3"/>
        <v>—</v>
      </c>
      <c r="M99" s="81" t="str">
        <f>IFERROR(IF(A99="","—",IF(D99=0,"—",IF(J99=0,"—",IF(J99&lt;=K99,"✓ OK",IF(J99&lt;=K99*(1+PARAM_HPP_TIPIS),"⚠ TIPIS","⚠ MAHAL"))))),  "—")</f>
        <v>—</v>
      </c>
    </row>
    <row r="100" ht="18.75" customHeight="1">
      <c r="A100" s="72"/>
      <c r="B100" s="72"/>
      <c r="C100" s="112" t="str">
        <f t="array" ref="C100">IFERROR(IF(B100="","",INDEX(PRODUK!$B:$B,MATCH(B100,PRODUK!$A:$A,0))),"")</f>
        <v/>
      </c>
      <c r="D100" s="113"/>
      <c r="E100" s="74"/>
      <c r="F100" s="74"/>
      <c r="G100" s="74"/>
      <c r="H100" s="114">
        <f>IFERROR(IF(A100="",0,(E100+F100)*PARAM_OVERHEAD_PCT),0)</f>
        <v>0</v>
      </c>
      <c r="I100" s="114">
        <f t="shared" si="1"/>
        <v>0</v>
      </c>
      <c r="J100" s="114">
        <f t="shared" si="2"/>
        <v>0</v>
      </c>
      <c r="K100" s="115">
        <f t="array" ref="K100">IFERROR(IF(B100="",0,INDEX(PRODUK!$E:$E,MATCH(B100,PRODUK!$A:$A,0))),0)</f>
        <v>0</v>
      </c>
      <c r="L100" s="114" t="str">
        <f t="shared" si="3"/>
        <v>—</v>
      </c>
      <c r="M100" s="76" t="str">
        <f>IFERROR(IF(A100="","—",IF(D100=0,"—",IF(J100=0,"—",IF(J100&lt;=K100,"✓ OK",IF(J100&lt;=K100*(1+PARAM_HPP_TIPIS),"⚠ TIPIS","⚠ MAHAL"))))),  "—")</f>
        <v>—</v>
      </c>
    </row>
    <row r="101" ht="18.75" customHeight="1">
      <c r="A101" s="77"/>
      <c r="B101" s="77"/>
      <c r="C101" s="116" t="str">
        <f t="array" ref="C101">IFERROR(IF(B101="","",INDEX(PRODUK!$B:$B,MATCH(B101,PRODUK!$A:$A,0))),"")</f>
        <v/>
      </c>
      <c r="D101" s="117"/>
      <c r="E101" s="79"/>
      <c r="F101" s="79"/>
      <c r="G101" s="79"/>
      <c r="H101" s="118">
        <f>IFERROR(IF(A101="",0,(E101+F101)*PARAM_OVERHEAD_PCT),0)</f>
        <v>0</v>
      </c>
      <c r="I101" s="118">
        <f t="shared" si="1"/>
        <v>0</v>
      </c>
      <c r="J101" s="118">
        <f t="shared" si="2"/>
        <v>0</v>
      </c>
      <c r="K101" s="119">
        <f t="array" ref="K101">IFERROR(IF(B101="",0,INDEX(PRODUK!$E:$E,MATCH(B101,PRODUK!$A:$A,0))),0)</f>
        <v>0</v>
      </c>
      <c r="L101" s="118" t="str">
        <f t="shared" si="3"/>
        <v>—</v>
      </c>
      <c r="M101" s="81" t="str">
        <f>IFERROR(IF(A101="","—",IF(D101=0,"—",IF(J101=0,"—",IF(J101&lt;=K101,"✓ OK",IF(J101&lt;=K101*(1+PARAM_HPP_TIPIS),"⚠ TIPIS","⚠ MAHAL"))))),  "—")</f>
        <v>—</v>
      </c>
    </row>
    <row r="102" ht="18.75" customHeight="1">
      <c r="A102" s="72"/>
      <c r="B102" s="72"/>
      <c r="C102" s="112" t="str">
        <f t="array" ref="C102">IFERROR(IF(B102="","",INDEX(PRODUK!$B:$B,MATCH(B102,PRODUK!$A:$A,0))),"")</f>
        <v/>
      </c>
      <c r="D102" s="113"/>
      <c r="E102" s="74"/>
      <c r="F102" s="74"/>
      <c r="G102" s="74"/>
      <c r="H102" s="114">
        <f>IFERROR(IF(A102="",0,(E102+F102)*PARAM_OVERHEAD_PCT),0)</f>
        <v>0</v>
      </c>
      <c r="I102" s="114">
        <f t="shared" si="1"/>
        <v>0</v>
      </c>
      <c r="J102" s="114">
        <f t="shared" si="2"/>
        <v>0</v>
      </c>
      <c r="K102" s="115">
        <f t="array" ref="K102">IFERROR(IF(B102="",0,INDEX(PRODUK!$E:$E,MATCH(B102,PRODUK!$A:$A,0))),0)</f>
        <v>0</v>
      </c>
      <c r="L102" s="114" t="str">
        <f t="shared" si="3"/>
        <v>—</v>
      </c>
      <c r="M102" s="76" t="str">
        <f>IFERROR(IF(A102="","—",IF(D102=0,"—",IF(J102=0,"—",IF(J102&lt;=K102,"✓ OK",IF(J102&lt;=K102*(1+PARAM_HPP_TIPIS),"⚠ TIPIS","⚠ MAHAL"))))),  "—")</f>
        <v>—</v>
      </c>
    </row>
    <row r="103" ht="18.75" customHeight="1">
      <c r="A103" s="77"/>
      <c r="B103" s="77"/>
      <c r="C103" s="116" t="str">
        <f t="array" ref="C103">IFERROR(IF(B103="","",INDEX(PRODUK!$B:$B,MATCH(B103,PRODUK!$A:$A,0))),"")</f>
        <v/>
      </c>
      <c r="D103" s="117"/>
      <c r="E103" s="79"/>
      <c r="F103" s="79"/>
      <c r="G103" s="79"/>
      <c r="H103" s="118">
        <f>IFERROR(IF(A103="",0,(E103+F103)*PARAM_OVERHEAD_PCT),0)</f>
        <v>0</v>
      </c>
      <c r="I103" s="118">
        <f t="shared" si="1"/>
        <v>0</v>
      </c>
      <c r="J103" s="118">
        <f t="shared" si="2"/>
        <v>0</v>
      </c>
      <c r="K103" s="119">
        <f t="array" ref="K103">IFERROR(IF(B103="",0,INDEX(PRODUK!$E:$E,MATCH(B103,PRODUK!$A:$A,0))),0)</f>
        <v>0</v>
      </c>
      <c r="L103" s="118" t="str">
        <f t="shared" si="3"/>
        <v>—</v>
      </c>
      <c r="M103" s="81" t="str">
        <f>IFERROR(IF(A103="","—",IF(D103=0,"—",IF(J103=0,"—",IF(J103&lt;=K103,"✓ OK",IF(J103&lt;=K103*(1+PARAM_HPP_TIPIS),"⚠ TIPIS","⚠ MAHAL"))))),  "—")</f>
        <v>—</v>
      </c>
    </row>
    <row r="104" ht="18.75" customHeight="1">
      <c r="A104" s="72"/>
      <c r="B104" s="72"/>
      <c r="C104" s="112" t="str">
        <f t="array" ref="C104">IFERROR(IF(B104="","",INDEX(PRODUK!$B:$B,MATCH(B104,PRODUK!$A:$A,0))),"")</f>
        <v/>
      </c>
      <c r="D104" s="113"/>
      <c r="E104" s="74"/>
      <c r="F104" s="74"/>
      <c r="G104" s="74"/>
      <c r="H104" s="114">
        <f>IFERROR(IF(A104="",0,(E104+F104)*PARAM_OVERHEAD_PCT),0)</f>
        <v>0</v>
      </c>
      <c r="I104" s="114">
        <f t="shared" si="1"/>
        <v>0</v>
      </c>
      <c r="J104" s="114">
        <f t="shared" si="2"/>
        <v>0</v>
      </c>
      <c r="K104" s="115">
        <f t="array" ref="K104">IFERROR(IF(B104="",0,INDEX(PRODUK!$E:$E,MATCH(B104,PRODUK!$A:$A,0))),0)</f>
        <v>0</v>
      </c>
      <c r="L104" s="114" t="str">
        <f t="shared" si="3"/>
        <v>—</v>
      </c>
      <c r="M104" s="76" t="str">
        <f>IFERROR(IF(A104="","—",IF(D104=0,"—",IF(J104=0,"—",IF(J104&lt;=K104,"✓ OK",IF(J104&lt;=K104*(1+PARAM_HPP_TIPIS),"⚠ TIPIS","⚠ MAHAL"))))),  "—")</f>
        <v>—</v>
      </c>
    </row>
    <row r="105" ht="18.75" customHeight="1">
      <c r="A105" s="77"/>
      <c r="B105" s="77"/>
      <c r="C105" s="116" t="str">
        <f t="array" ref="C105">IFERROR(IF(B105="","",INDEX(PRODUK!$B:$B,MATCH(B105,PRODUK!$A:$A,0))),"")</f>
        <v/>
      </c>
      <c r="D105" s="117"/>
      <c r="E105" s="79"/>
      <c r="F105" s="79"/>
      <c r="G105" s="79"/>
      <c r="H105" s="118">
        <f>IFERROR(IF(A105="",0,(E105+F105)*PARAM_OVERHEAD_PCT),0)</f>
        <v>0</v>
      </c>
      <c r="I105" s="118">
        <f t="shared" si="1"/>
        <v>0</v>
      </c>
      <c r="J105" s="118">
        <f t="shared" si="2"/>
        <v>0</v>
      </c>
      <c r="K105" s="119">
        <f t="array" ref="K105">IFERROR(IF(B105="",0,INDEX(PRODUK!$E:$E,MATCH(B105,PRODUK!$A:$A,0))),0)</f>
        <v>0</v>
      </c>
      <c r="L105" s="118" t="str">
        <f t="shared" si="3"/>
        <v>—</v>
      </c>
      <c r="M105" s="81" t="str">
        <f>IFERROR(IF(A105="","—",IF(D105=0,"—",IF(J105=0,"—",IF(J105&lt;=K105,"✓ OK",IF(J105&lt;=K105*(1+PARAM_HPP_TIPIS),"⚠ TIPIS","⚠ MAHAL"))))),  "—")</f>
        <v>—</v>
      </c>
    </row>
    <row r="106" ht="18.75" customHeight="1">
      <c r="A106" s="72"/>
      <c r="B106" s="72"/>
      <c r="C106" s="112" t="str">
        <f t="array" ref="C106">IFERROR(IF(B106="","",INDEX(PRODUK!$B:$B,MATCH(B106,PRODUK!$A:$A,0))),"")</f>
        <v/>
      </c>
      <c r="D106" s="113"/>
      <c r="E106" s="74"/>
      <c r="F106" s="74"/>
      <c r="G106" s="74"/>
      <c r="H106" s="114">
        <f>IFERROR(IF(A106="",0,(E106+F106)*PARAM_OVERHEAD_PCT),0)</f>
        <v>0</v>
      </c>
      <c r="I106" s="114">
        <f t="shared" si="1"/>
        <v>0</v>
      </c>
      <c r="J106" s="114">
        <f t="shared" si="2"/>
        <v>0</v>
      </c>
      <c r="K106" s="115">
        <f t="array" ref="K106">IFERROR(IF(B106="",0,INDEX(PRODUK!$E:$E,MATCH(B106,PRODUK!$A:$A,0))),0)</f>
        <v>0</v>
      </c>
      <c r="L106" s="114" t="str">
        <f t="shared" si="3"/>
        <v>—</v>
      </c>
      <c r="M106" s="76" t="str">
        <f>IFERROR(IF(A106="","—",IF(D106=0,"—",IF(J106=0,"—",IF(J106&lt;=K106,"✓ OK",IF(J106&lt;=K106*(1+PARAM_HPP_TIPIS),"⚠ TIPIS","⚠ MAHAL"))))),  "—")</f>
        <v>—</v>
      </c>
    </row>
    <row r="107" ht="18.75" customHeight="1">
      <c r="A107" s="77"/>
      <c r="B107" s="77"/>
      <c r="C107" s="116" t="str">
        <f t="array" ref="C107">IFERROR(IF(B107="","",INDEX(PRODUK!$B:$B,MATCH(B107,PRODUK!$A:$A,0))),"")</f>
        <v/>
      </c>
      <c r="D107" s="117"/>
      <c r="E107" s="79"/>
      <c r="F107" s="79"/>
      <c r="G107" s="79"/>
      <c r="H107" s="118">
        <f>IFERROR(IF(A107="",0,(E107+F107)*PARAM_OVERHEAD_PCT),0)</f>
        <v>0</v>
      </c>
      <c r="I107" s="118">
        <f t="shared" si="1"/>
        <v>0</v>
      </c>
      <c r="J107" s="118">
        <f t="shared" si="2"/>
        <v>0</v>
      </c>
      <c r="K107" s="119">
        <f t="array" ref="K107">IFERROR(IF(B107="",0,INDEX(PRODUK!$E:$E,MATCH(B107,PRODUK!$A:$A,0))),0)</f>
        <v>0</v>
      </c>
      <c r="L107" s="118" t="str">
        <f t="shared" si="3"/>
        <v>—</v>
      </c>
      <c r="M107" s="81" t="str">
        <f>IFERROR(IF(A107="","—",IF(D107=0,"—",IF(J107=0,"—",IF(J107&lt;=K107,"✓ OK",IF(J107&lt;=K107*(1+PARAM_HPP_TIPIS),"⚠ TIPIS","⚠ MAHAL"))))),  "—")</f>
        <v>—</v>
      </c>
    </row>
    <row r="108" ht="18.75" customHeight="1">
      <c r="A108" s="72"/>
      <c r="B108" s="72"/>
      <c r="C108" s="112" t="str">
        <f t="array" ref="C108">IFERROR(IF(B108="","",INDEX(PRODUK!$B:$B,MATCH(B108,PRODUK!$A:$A,0))),"")</f>
        <v/>
      </c>
      <c r="D108" s="113"/>
      <c r="E108" s="74"/>
      <c r="F108" s="74"/>
      <c r="G108" s="74"/>
      <c r="H108" s="114">
        <f>IFERROR(IF(A108="",0,(E108+F108)*PARAM_OVERHEAD_PCT),0)</f>
        <v>0</v>
      </c>
      <c r="I108" s="114">
        <f t="shared" si="1"/>
        <v>0</v>
      </c>
      <c r="J108" s="114">
        <f t="shared" si="2"/>
        <v>0</v>
      </c>
      <c r="K108" s="115">
        <f t="array" ref="K108">IFERROR(IF(B108="",0,INDEX(PRODUK!$E:$E,MATCH(B108,PRODUK!$A:$A,0))),0)</f>
        <v>0</v>
      </c>
      <c r="L108" s="114" t="str">
        <f t="shared" si="3"/>
        <v>—</v>
      </c>
      <c r="M108" s="76" t="str">
        <f>IFERROR(IF(A108="","—",IF(D108=0,"—",IF(J108=0,"—",IF(J108&lt;=K108,"✓ OK",IF(J108&lt;=K108*(1+PARAM_HPP_TIPIS),"⚠ TIPIS","⚠ MAHAL"))))),  "—")</f>
        <v>—</v>
      </c>
    </row>
    <row r="109" ht="18.75" customHeight="1">
      <c r="A109" s="77"/>
      <c r="B109" s="77"/>
      <c r="C109" s="116" t="str">
        <f t="array" ref="C109">IFERROR(IF(B109="","",INDEX(PRODUK!$B:$B,MATCH(B109,PRODUK!$A:$A,0))),"")</f>
        <v/>
      </c>
      <c r="D109" s="117"/>
      <c r="E109" s="79"/>
      <c r="F109" s="79"/>
      <c r="G109" s="79"/>
      <c r="H109" s="118">
        <f>IFERROR(IF(A109="",0,(E109+F109)*PARAM_OVERHEAD_PCT),0)</f>
        <v>0</v>
      </c>
      <c r="I109" s="118">
        <f t="shared" si="1"/>
        <v>0</v>
      </c>
      <c r="J109" s="118">
        <f t="shared" si="2"/>
        <v>0</v>
      </c>
      <c r="K109" s="119">
        <f t="array" ref="K109">IFERROR(IF(B109="",0,INDEX(PRODUK!$E:$E,MATCH(B109,PRODUK!$A:$A,0))),0)</f>
        <v>0</v>
      </c>
      <c r="L109" s="118" t="str">
        <f t="shared" si="3"/>
        <v>—</v>
      </c>
      <c r="M109" s="81" t="str">
        <f>IFERROR(IF(A109="","—",IF(D109=0,"—",IF(J109=0,"—",IF(J109&lt;=K109,"✓ OK",IF(J109&lt;=K109*(1+PARAM_HPP_TIPIS),"⚠ TIPIS","⚠ MAHAL"))))),  "—")</f>
        <v>—</v>
      </c>
    </row>
    <row r="110" ht="18.75" customHeight="1">
      <c r="A110" s="72"/>
      <c r="B110" s="72"/>
      <c r="C110" s="112" t="str">
        <f t="array" ref="C110">IFERROR(IF(B110="","",INDEX(PRODUK!$B:$B,MATCH(B110,PRODUK!$A:$A,0))),"")</f>
        <v/>
      </c>
      <c r="D110" s="113"/>
      <c r="E110" s="74"/>
      <c r="F110" s="74"/>
      <c r="G110" s="74"/>
      <c r="H110" s="114">
        <f>IFERROR(IF(A110="",0,(E110+F110)*PARAM_OVERHEAD_PCT),0)</f>
        <v>0</v>
      </c>
      <c r="I110" s="114">
        <f t="shared" si="1"/>
        <v>0</v>
      </c>
      <c r="J110" s="114">
        <f t="shared" si="2"/>
        <v>0</v>
      </c>
      <c r="K110" s="115">
        <f t="array" ref="K110">IFERROR(IF(B110="",0,INDEX(PRODUK!$E:$E,MATCH(B110,PRODUK!$A:$A,0))),0)</f>
        <v>0</v>
      </c>
      <c r="L110" s="114" t="str">
        <f t="shared" si="3"/>
        <v>—</v>
      </c>
      <c r="M110" s="76" t="str">
        <f>IFERROR(IF(A110="","—",IF(D110=0,"—",IF(J110=0,"—",IF(J110&lt;=K110,"✓ OK",IF(J110&lt;=K110*(1+PARAM_HPP_TIPIS),"⚠ TIPIS","⚠ MAHAL"))))),  "—")</f>
        <v>—</v>
      </c>
    </row>
    <row r="111" ht="18.75" customHeight="1">
      <c r="A111" s="77"/>
      <c r="B111" s="77"/>
      <c r="C111" s="116" t="str">
        <f t="array" ref="C111">IFERROR(IF(B111="","",INDEX(PRODUK!$B:$B,MATCH(B111,PRODUK!$A:$A,0))),"")</f>
        <v/>
      </c>
      <c r="D111" s="117"/>
      <c r="E111" s="79"/>
      <c r="F111" s="79"/>
      <c r="G111" s="79"/>
      <c r="H111" s="118">
        <f>IFERROR(IF(A111="",0,(E111+F111)*PARAM_OVERHEAD_PCT),0)</f>
        <v>0</v>
      </c>
      <c r="I111" s="118">
        <f t="shared" si="1"/>
        <v>0</v>
      </c>
      <c r="J111" s="118">
        <f t="shared" si="2"/>
        <v>0</v>
      </c>
      <c r="K111" s="119">
        <f t="array" ref="K111">IFERROR(IF(B111="",0,INDEX(PRODUK!$E:$E,MATCH(B111,PRODUK!$A:$A,0))),0)</f>
        <v>0</v>
      </c>
      <c r="L111" s="118" t="str">
        <f t="shared" si="3"/>
        <v>—</v>
      </c>
      <c r="M111" s="81" t="str">
        <f>IFERROR(IF(A111="","—",IF(D111=0,"—",IF(J111=0,"—",IF(J111&lt;=K111,"✓ OK",IF(J111&lt;=K111*(1+PARAM_HPP_TIPIS),"⚠ TIPIS","⚠ MAHAL"))))),  "—")</f>
        <v>—</v>
      </c>
    </row>
    <row r="112" ht="18.75" customHeight="1">
      <c r="A112" s="72"/>
      <c r="B112" s="72"/>
      <c r="C112" s="112" t="str">
        <f t="array" ref="C112">IFERROR(IF(B112="","",INDEX(PRODUK!$B:$B,MATCH(B112,PRODUK!$A:$A,0))),"")</f>
        <v/>
      </c>
      <c r="D112" s="113"/>
      <c r="E112" s="74"/>
      <c r="F112" s="74"/>
      <c r="G112" s="74"/>
      <c r="H112" s="114">
        <f>IFERROR(IF(A112="",0,(E112+F112)*PARAM_OVERHEAD_PCT),0)</f>
        <v>0</v>
      </c>
      <c r="I112" s="114">
        <f t="shared" si="1"/>
        <v>0</v>
      </c>
      <c r="J112" s="114">
        <f t="shared" si="2"/>
        <v>0</v>
      </c>
      <c r="K112" s="115">
        <f t="array" ref="K112">IFERROR(IF(B112="",0,INDEX(PRODUK!$E:$E,MATCH(B112,PRODUK!$A:$A,0))),0)</f>
        <v>0</v>
      </c>
      <c r="L112" s="114" t="str">
        <f t="shared" si="3"/>
        <v>—</v>
      </c>
      <c r="M112" s="76" t="str">
        <f>IFERROR(IF(A112="","—",IF(D112=0,"—",IF(J112=0,"—",IF(J112&lt;=K112,"✓ OK",IF(J112&lt;=K112*(1+PARAM_HPP_TIPIS),"⚠ TIPIS","⚠ MAHAL"))))),  "—")</f>
        <v>—</v>
      </c>
    </row>
    <row r="113" ht="18.75" customHeight="1">
      <c r="A113" s="77"/>
      <c r="B113" s="77"/>
      <c r="C113" s="116" t="str">
        <f t="array" ref="C113">IFERROR(IF(B113="","",INDEX(PRODUK!$B:$B,MATCH(B113,PRODUK!$A:$A,0))),"")</f>
        <v/>
      </c>
      <c r="D113" s="117"/>
      <c r="E113" s="79"/>
      <c r="F113" s="79"/>
      <c r="G113" s="79"/>
      <c r="H113" s="118">
        <f>IFERROR(IF(A113="",0,(E113+F113)*PARAM_OVERHEAD_PCT),0)</f>
        <v>0</v>
      </c>
      <c r="I113" s="118">
        <f t="shared" si="1"/>
        <v>0</v>
      </c>
      <c r="J113" s="118">
        <f t="shared" si="2"/>
        <v>0</v>
      </c>
      <c r="K113" s="119">
        <f t="array" ref="K113">IFERROR(IF(B113="",0,INDEX(PRODUK!$E:$E,MATCH(B113,PRODUK!$A:$A,0))),0)</f>
        <v>0</v>
      </c>
      <c r="L113" s="118" t="str">
        <f t="shared" si="3"/>
        <v>—</v>
      </c>
      <c r="M113" s="81" t="str">
        <f>IFERROR(IF(A113="","—",IF(D113=0,"—",IF(J113=0,"—",IF(J113&lt;=K113,"✓ OK",IF(J113&lt;=K113*(1+PARAM_HPP_TIPIS),"⚠ TIPIS","⚠ MAHAL"))))),  "—")</f>
        <v>—</v>
      </c>
    </row>
    <row r="114" ht="18.75" customHeight="1">
      <c r="A114" s="72"/>
      <c r="B114" s="72"/>
      <c r="C114" s="112" t="str">
        <f t="array" ref="C114">IFERROR(IF(B114="","",INDEX(PRODUK!$B:$B,MATCH(B114,PRODUK!$A:$A,0))),"")</f>
        <v/>
      </c>
      <c r="D114" s="113"/>
      <c r="E114" s="74"/>
      <c r="F114" s="74"/>
      <c r="G114" s="74"/>
      <c r="H114" s="114">
        <f>IFERROR(IF(A114="",0,(E114+F114)*PARAM_OVERHEAD_PCT),0)</f>
        <v>0</v>
      </c>
      <c r="I114" s="114">
        <f t="shared" si="1"/>
        <v>0</v>
      </c>
      <c r="J114" s="114">
        <f t="shared" si="2"/>
        <v>0</v>
      </c>
      <c r="K114" s="115">
        <f t="array" ref="K114">IFERROR(IF(B114="",0,INDEX(PRODUK!$E:$E,MATCH(B114,PRODUK!$A:$A,0))),0)</f>
        <v>0</v>
      </c>
      <c r="L114" s="114" t="str">
        <f t="shared" si="3"/>
        <v>—</v>
      </c>
      <c r="M114" s="76" t="str">
        <f>IFERROR(IF(A114="","—",IF(D114=0,"—",IF(J114=0,"—",IF(J114&lt;=K114,"✓ OK",IF(J114&lt;=K114*(1+PARAM_HPP_TIPIS),"⚠ TIPIS","⚠ MAHAL"))))),  "—")</f>
        <v>—</v>
      </c>
    </row>
    <row r="115" ht="18.75" customHeight="1">
      <c r="A115" s="77"/>
      <c r="B115" s="77"/>
      <c r="C115" s="116" t="str">
        <f t="array" ref="C115">IFERROR(IF(B115="","",INDEX(PRODUK!$B:$B,MATCH(B115,PRODUK!$A:$A,0))),"")</f>
        <v/>
      </c>
      <c r="D115" s="117"/>
      <c r="E115" s="79"/>
      <c r="F115" s="79"/>
      <c r="G115" s="79"/>
      <c r="H115" s="118">
        <f>IFERROR(IF(A115="",0,(E115+F115)*PARAM_OVERHEAD_PCT),0)</f>
        <v>0</v>
      </c>
      <c r="I115" s="118">
        <f t="shared" si="1"/>
        <v>0</v>
      </c>
      <c r="J115" s="118">
        <f t="shared" si="2"/>
        <v>0</v>
      </c>
      <c r="K115" s="119">
        <f t="array" ref="K115">IFERROR(IF(B115="",0,INDEX(PRODUK!$E:$E,MATCH(B115,PRODUK!$A:$A,0))),0)</f>
        <v>0</v>
      </c>
      <c r="L115" s="118" t="str">
        <f t="shared" si="3"/>
        <v>—</v>
      </c>
      <c r="M115" s="81" t="str">
        <f>IFERROR(IF(A115="","—",IF(D115=0,"—",IF(J115=0,"—",IF(J115&lt;=K115,"✓ OK",IF(J115&lt;=K115*(1+PARAM_HPP_TIPIS),"⚠ TIPIS","⚠ MAHAL"))))),  "—")</f>
        <v>—</v>
      </c>
    </row>
    <row r="116" ht="18.75" customHeight="1">
      <c r="A116" s="72"/>
      <c r="B116" s="72"/>
      <c r="C116" s="112" t="str">
        <f t="array" ref="C116">IFERROR(IF(B116="","",INDEX(PRODUK!$B:$B,MATCH(B116,PRODUK!$A:$A,0))),"")</f>
        <v/>
      </c>
      <c r="D116" s="113"/>
      <c r="E116" s="74"/>
      <c r="F116" s="74"/>
      <c r="G116" s="74"/>
      <c r="H116" s="114">
        <f>IFERROR(IF(A116="",0,(E116+F116)*PARAM_OVERHEAD_PCT),0)</f>
        <v>0</v>
      </c>
      <c r="I116" s="114">
        <f t="shared" si="1"/>
        <v>0</v>
      </c>
      <c r="J116" s="114">
        <f t="shared" si="2"/>
        <v>0</v>
      </c>
      <c r="K116" s="115">
        <f t="array" ref="K116">IFERROR(IF(B116="",0,INDEX(PRODUK!$E:$E,MATCH(B116,PRODUK!$A:$A,0))),0)</f>
        <v>0</v>
      </c>
      <c r="L116" s="114" t="str">
        <f t="shared" si="3"/>
        <v>—</v>
      </c>
      <c r="M116" s="76" t="str">
        <f>IFERROR(IF(A116="","—",IF(D116=0,"—",IF(J116=0,"—",IF(J116&lt;=K116,"✓ OK",IF(J116&lt;=K116*(1+PARAM_HPP_TIPIS),"⚠ TIPIS","⚠ MAHAL"))))),  "—")</f>
        <v>—</v>
      </c>
    </row>
    <row r="117" ht="18.75" customHeight="1">
      <c r="A117" s="77"/>
      <c r="B117" s="77"/>
      <c r="C117" s="116" t="str">
        <f t="array" ref="C117">IFERROR(IF(B117="","",INDEX(PRODUK!$B:$B,MATCH(B117,PRODUK!$A:$A,0))),"")</f>
        <v/>
      </c>
      <c r="D117" s="117"/>
      <c r="E117" s="79"/>
      <c r="F117" s="79"/>
      <c r="G117" s="79"/>
      <c r="H117" s="118">
        <f>IFERROR(IF(A117="",0,(E117+F117)*PARAM_OVERHEAD_PCT),0)</f>
        <v>0</v>
      </c>
      <c r="I117" s="118">
        <f t="shared" si="1"/>
        <v>0</v>
      </c>
      <c r="J117" s="118">
        <f t="shared" si="2"/>
        <v>0</v>
      </c>
      <c r="K117" s="119">
        <f t="array" ref="K117">IFERROR(IF(B117="",0,INDEX(PRODUK!$E:$E,MATCH(B117,PRODUK!$A:$A,0))),0)</f>
        <v>0</v>
      </c>
      <c r="L117" s="118" t="str">
        <f t="shared" si="3"/>
        <v>—</v>
      </c>
      <c r="M117" s="81" t="str">
        <f>IFERROR(IF(A117="","—",IF(D117=0,"—",IF(J117=0,"—",IF(J117&lt;=K117,"✓ OK",IF(J117&lt;=K117*(1+PARAM_HPP_TIPIS),"⚠ TIPIS","⚠ MAHAL"))))),  "—")</f>
        <v>—</v>
      </c>
    </row>
    <row r="118" ht="18.75" customHeight="1">
      <c r="A118" s="72"/>
      <c r="B118" s="72"/>
      <c r="C118" s="112" t="str">
        <f t="array" ref="C118">IFERROR(IF(B118="","",INDEX(PRODUK!$B:$B,MATCH(B118,PRODUK!$A:$A,0))),"")</f>
        <v/>
      </c>
      <c r="D118" s="113"/>
      <c r="E118" s="74"/>
      <c r="F118" s="74"/>
      <c r="G118" s="74"/>
      <c r="H118" s="114">
        <f>IFERROR(IF(A118="",0,(E118+F118)*PARAM_OVERHEAD_PCT),0)</f>
        <v>0</v>
      </c>
      <c r="I118" s="114">
        <f t="shared" si="1"/>
        <v>0</v>
      </c>
      <c r="J118" s="114">
        <f t="shared" si="2"/>
        <v>0</v>
      </c>
      <c r="K118" s="115">
        <f t="array" ref="K118">IFERROR(IF(B118="",0,INDEX(PRODUK!$E:$E,MATCH(B118,PRODUK!$A:$A,0))),0)</f>
        <v>0</v>
      </c>
      <c r="L118" s="114" t="str">
        <f t="shared" si="3"/>
        <v>—</v>
      </c>
      <c r="M118" s="76" t="str">
        <f>IFERROR(IF(A118="","—",IF(D118=0,"—",IF(J118=0,"—",IF(J118&lt;=K118,"✓ OK",IF(J118&lt;=K118*(1+PARAM_HPP_TIPIS),"⚠ TIPIS","⚠ MAHAL"))))),  "—")</f>
        <v>—</v>
      </c>
    </row>
    <row r="119" ht="18.75" customHeight="1">
      <c r="A119" s="77"/>
      <c r="B119" s="77"/>
      <c r="C119" s="116" t="str">
        <f t="array" ref="C119">IFERROR(IF(B119="","",INDEX(PRODUK!$B:$B,MATCH(B119,PRODUK!$A:$A,0))),"")</f>
        <v/>
      </c>
      <c r="D119" s="117"/>
      <c r="E119" s="79"/>
      <c r="F119" s="79"/>
      <c r="G119" s="79"/>
      <c r="H119" s="118">
        <f>IFERROR(IF(A119="",0,(E119+F119)*PARAM_OVERHEAD_PCT),0)</f>
        <v>0</v>
      </c>
      <c r="I119" s="118">
        <f t="shared" si="1"/>
        <v>0</v>
      </c>
      <c r="J119" s="118">
        <f t="shared" si="2"/>
        <v>0</v>
      </c>
      <c r="K119" s="119">
        <f t="array" ref="K119">IFERROR(IF(B119="",0,INDEX(PRODUK!$E:$E,MATCH(B119,PRODUK!$A:$A,0))),0)</f>
        <v>0</v>
      </c>
      <c r="L119" s="118" t="str">
        <f t="shared" si="3"/>
        <v>—</v>
      </c>
      <c r="M119" s="81" t="str">
        <f>IFERROR(IF(A119="","—",IF(D119=0,"—",IF(J119=0,"—",IF(J119&lt;=K119,"✓ OK",IF(J119&lt;=K119*(1+PARAM_HPP_TIPIS),"⚠ TIPIS","⚠ MAHAL"))))),  "—")</f>
        <v>—</v>
      </c>
    </row>
    <row r="120" ht="18.75" customHeight="1">
      <c r="A120" s="72"/>
      <c r="B120" s="72"/>
      <c r="C120" s="112" t="str">
        <f t="array" ref="C120">IFERROR(IF(B120="","",INDEX(PRODUK!$B:$B,MATCH(B120,PRODUK!$A:$A,0))),"")</f>
        <v/>
      </c>
      <c r="D120" s="113"/>
      <c r="E120" s="74"/>
      <c r="F120" s="74"/>
      <c r="G120" s="74"/>
      <c r="H120" s="114">
        <f>IFERROR(IF(A120="",0,(E120+F120)*PARAM_OVERHEAD_PCT),0)</f>
        <v>0</v>
      </c>
      <c r="I120" s="114">
        <f t="shared" si="1"/>
        <v>0</v>
      </c>
      <c r="J120" s="114">
        <f t="shared" si="2"/>
        <v>0</v>
      </c>
      <c r="K120" s="115">
        <f t="array" ref="K120">IFERROR(IF(B120="",0,INDEX(PRODUK!$E:$E,MATCH(B120,PRODUK!$A:$A,0))),0)</f>
        <v>0</v>
      </c>
      <c r="L120" s="114" t="str">
        <f t="shared" si="3"/>
        <v>—</v>
      </c>
      <c r="M120" s="76" t="str">
        <f>IFERROR(IF(A120="","—",IF(D120=0,"—",IF(J120=0,"—",IF(J120&lt;=K120,"✓ OK",IF(J120&lt;=K120*(1+PARAM_HPP_TIPIS),"⚠ TIPIS","⚠ MAHAL"))))),  "—")</f>
        <v>—</v>
      </c>
    </row>
    <row r="121" ht="18.75" customHeight="1">
      <c r="A121" s="77"/>
      <c r="B121" s="77"/>
      <c r="C121" s="116" t="str">
        <f t="array" ref="C121">IFERROR(IF(B121="","",INDEX(PRODUK!$B:$B,MATCH(B121,PRODUK!$A:$A,0))),"")</f>
        <v/>
      </c>
      <c r="D121" s="117"/>
      <c r="E121" s="79"/>
      <c r="F121" s="79"/>
      <c r="G121" s="79"/>
      <c r="H121" s="118">
        <f>IFERROR(IF(A121="",0,(E121+F121)*PARAM_OVERHEAD_PCT),0)</f>
        <v>0</v>
      </c>
      <c r="I121" s="118">
        <f t="shared" si="1"/>
        <v>0</v>
      </c>
      <c r="J121" s="118">
        <f t="shared" si="2"/>
        <v>0</v>
      </c>
      <c r="K121" s="119">
        <f t="array" ref="K121">IFERROR(IF(B121="",0,INDEX(PRODUK!$E:$E,MATCH(B121,PRODUK!$A:$A,0))),0)</f>
        <v>0</v>
      </c>
      <c r="L121" s="118" t="str">
        <f t="shared" si="3"/>
        <v>—</v>
      </c>
      <c r="M121" s="81" t="str">
        <f>IFERROR(IF(A121="","—",IF(D121=0,"—",IF(J121=0,"—",IF(J121&lt;=K121,"✓ OK",IF(J121&lt;=K121*(1+PARAM_HPP_TIPIS),"⚠ TIPIS","⚠ MAHAL"))))),  "—")</f>
        <v>—</v>
      </c>
    </row>
    <row r="122" ht="18.75" customHeight="1">
      <c r="A122" s="72"/>
      <c r="B122" s="72"/>
      <c r="C122" s="112" t="str">
        <f t="array" ref="C122">IFERROR(IF(B122="","",INDEX(PRODUK!$B:$B,MATCH(B122,PRODUK!$A:$A,0))),"")</f>
        <v/>
      </c>
      <c r="D122" s="113"/>
      <c r="E122" s="74"/>
      <c r="F122" s="74"/>
      <c r="G122" s="74"/>
      <c r="H122" s="114">
        <f>IFERROR(IF(A122="",0,(E122+F122)*PARAM_OVERHEAD_PCT),0)</f>
        <v>0</v>
      </c>
      <c r="I122" s="114">
        <f t="shared" si="1"/>
        <v>0</v>
      </c>
      <c r="J122" s="114">
        <f t="shared" si="2"/>
        <v>0</v>
      </c>
      <c r="K122" s="115">
        <f t="array" ref="K122">IFERROR(IF(B122="",0,INDEX(PRODUK!$E:$E,MATCH(B122,PRODUK!$A:$A,0))),0)</f>
        <v>0</v>
      </c>
      <c r="L122" s="114" t="str">
        <f t="shared" si="3"/>
        <v>—</v>
      </c>
      <c r="M122" s="76" t="str">
        <f>IFERROR(IF(A122="","—",IF(D122=0,"—",IF(J122=0,"—",IF(J122&lt;=K122,"✓ OK",IF(J122&lt;=K122*(1+PARAM_HPP_TIPIS),"⚠ TIPIS","⚠ MAHAL"))))),  "—")</f>
        <v>—</v>
      </c>
    </row>
    <row r="123" ht="18.75" customHeight="1">
      <c r="A123" s="77"/>
      <c r="B123" s="77"/>
      <c r="C123" s="116" t="str">
        <f t="array" ref="C123">IFERROR(IF(B123="","",INDEX(PRODUK!$B:$B,MATCH(B123,PRODUK!$A:$A,0))),"")</f>
        <v/>
      </c>
      <c r="D123" s="117"/>
      <c r="E123" s="79"/>
      <c r="F123" s="79"/>
      <c r="G123" s="79"/>
      <c r="H123" s="118">
        <f>IFERROR(IF(A123="",0,(E123+F123)*PARAM_OVERHEAD_PCT),0)</f>
        <v>0</v>
      </c>
      <c r="I123" s="118">
        <f t="shared" si="1"/>
        <v>0</v>
      </c>
      <c r="J123" s="118">
        <f t="shared" si="2"/>
        <v>0</v>
      </c>
      <c r="K123" s="119">
        <f t="array" ref="K123">IFERROR(IF(B123="",0,INDEX(PRODUK!$E:$E,MATCH(B123,PRODUK!$A:$A,0))),0)</f>
        <v>0</v>
      </c>
      <c r="L123" s="118" t="str">
        <f t="shared" si="3"/>
        <v>—</v>
      </c>
      <c r="M123" s="81" t="str">
        <f>IFERROR(IF(A123="","—",IF(D123=0,"—",IF(J123=0,"—",IF(J123&lt;=K123,"✓ OK",IF(J123&lt;=K123*(1+PARAM_HPP_TIPIS),"⚠ TIPIS","⚠ MAHAL"))))),  "—")</f>
        <v>—</v>
      </c>
    </row>
    <row r="124" ht="18.75" customHeight="1">
      <c r="A124" s="72"/>
      <c r="B124" s="72"/>
      <c r="C124" s="112" t="str">
        <f t="array" ref="C124">IFERROR(IF(B124="","",INDEX(PRODUK!$B:$B,MATCH(B124,PRODUK!$A:$A,0))),"")</f>
        <v/>
      </c>
      <c r="D124" s="113"/>
      <c r="E124" s="74"/>
      <c r="F124" s="74"/>
      <c r="G124" s="74"/>
      <c r="H124" s="114">
        <f>IFERROR(IF(A124="",0,(E124+F124)*PARAM_OVERHEAD_PCT),0)</f>
        <v>0</v>
      </c>
      <c r="I124" s="114">
        <f t="shared" si="1"/>
        <v>0</v>
      </c>
      <c r="J124" s="114">
        <f t="shared" si="2"/>
        <v>0</v>
      </c>
      <c r="K124" s="115">
        <f t="array" ref="K124">IFERROR(IF(B124="",0,INDEX(PRODUK!$E:$E,MATCH(B124,PRODUK!$A:$A,0))),0)</f>
        <v>0</v>
      </c>
      <c r="L124" s="114" t="str">
        <f t="shared" si="3"/>
        <v>—</v>
      </c>
      <c r="M124" s="76" t="str">
        <f>IFERROR(IF(A124="","—",IF(D124=0,"—",IF(J124=0,"—",IF(J124&lt;=K124,"✓ OK",IF(J124&lt;=K124*(1+PARAM_HPP_TIPIS),"⚠ TIPIS","⚠ MAHAL"))))),  "—")</f>
        <v>—</v>
      </c>
    </row>
    <row r="125" ht="18.75" customHeight="1">
      <c r="A125" s="77"/>
      <c r="B125" s="77"/>
      <c r="C125" s="116" t="str">
        <f t="array" ref="C125">IFERROR(IF(B125="","",INDEX(PRODUK!$B:$B,MATCH(B125,PRODUK!$A:$A,0))),"")</f>
        <v/>
      </c>
      <c r="D125" s="117"/>
      <c r="E125" s="79"/>
      <c r="F125" s="79"/>
      <c r="G125" s="79"/>
      <c r="H125" s="118">
        <f>IFERROR(IF(A125="",0,(E125+F125)*PARAM_OVERHEAD_PCT),0)</f>
        <v>0</v>
      </c>
      <c r="I125" s="118">
        <f t="shared" si="1"/>
        <v>0</v>
      </c>
      <c r="J125" s="118">
        <f t="shared" si="2"/>
        <v>0</v>
      </c>
      <c r="K125" s="119">
        <f t="array" ref="K125">IFERROR(IF(B125="",0,INDEX(PRODUK!$E:$E,MATCH(B125,PRODUK!$A:$A,0))),0)</f>
        <v>0</v>
      </c>
      <c r="L125" s="118" t="str">
        <f t="shared" si="3"/>
        <v>—</v>
      </c>
      <c r="M125" s="81" t="str">
        <f>IFERROR(IF(A125="","—",IF(D125=0,"—",IF(J125=0,"—",IF(J125&lt;=K125,"✓ OK",IF(J125&lt;=K125*(1+PARAM_HPP_TIPIS),"⚠ TIPIS","⚠ MAHAL"))))),  "—")</f>
        <v>—</v>
      </c>
    </row>
    <row r="126" ht="18.75" customHeight="1">
      <c r="A126" s="72"/>
      <c r="B126" s="72"/>
      <c r="C126" s="112" t="str">
        <f t="array" ref="C126">IFERROR(IF(B126="","",INDEX(PRODUK!$B:$B,MATCH(B126,PRODUK!$A:$A,0))),"")</f>
        <v/>
      </c>
      <c r="D126" s="113"/>
      <c r="E126" s="74"/>
      <c r="F126" s="74"/>
      <c r="G126" s="74"/>
      <c r="H126" s="114">
        <f>IFERROR(IF(A126="",0,(E126+F126)*PARAM_OVERHEAD_PCT),0)</f>
        <v>0</v>
      </c>
      <c r="I126" s="114">
        <f t="shared" si="1"/>
        <v>0</v>
      </c>
      <c r="J126" s="114">
        <f t="shared" si="2"/>
        <v>0</v>
      </c>
      <c r="K126" s="115">
        <f t="array" ref="K126">IFERROR(IF(B126="",0,INDEX(PRODUK!$E:$E,MATCH(B126,PRODUK!$A:$A,0))),0)</f>
        <v>0</v>
      </c>
      <c r="L126" s="114" t="str">
        <f t="shared" si="3"/>
        <v>—</v>
      </c>
      <c r="M126" s="76" t="str">
        <f>IFERROR(IF(A126="","—",IF(D126=0,"—",IF(J126=0,"—",IF(J126&lt;=K126,"✓ OK",IF(J126&lt;=K126*(1+PARAM_HPP_TIPIS),"⚠ TIPIS","⚠ MAHAL"))))),  "—")</f>
        <v>—</v>
      </c>
    </row>
    <row r="127" ht="18.75" customHeight="1">
      <c r="A127" s="77"/>
      <c r="B127" s="77"/>
      <c r="C127" s="116" t="str">
        <f t="array" ref="C127">IFERROR(IF(B127="","",INDEX(PRODUK!$B:$B,MATCH(B127,PRODUK!$A:$A,0))),"")</f>
        <v/>
      </c>
      <c r="D127" s="117"/>
      <c r="E127" s="79"/>
      <c r="F127" s="79"/>
      <c r="G127" s="79"/>
      <c r="H127" s="118">
        <f>IFERROR(IF(A127="",0,(E127+F127)*PARAM_OVERHEAD_PCT),0)</f>
        <v>0</v>
      </c>
      <c r="I127" s="118">
        <f t="shared" si="1"/>
        <v>0</v>
      </c>
      <c r="J127" s="118">
        <f t="shared" si="2"/>
        <v>0</v>
      </c>
      <c r="K127" s="119">
        <f t="array" ref="K127">IFERROR(IF(B127="",0,INDEX(PRODUK!$E:$E,MATCH(B127,PRODUK!$A:$A,0))),0)</f>
        <v>0</v>
      </c>
      <c r="L127" s="118" t="str">
        <f t="shared" si="3"/>
        <v>—</v>
      </c>
      <c r="M127" s="81" t="str">
        <f>IFERROR(IF(A127="","—",IF(D127=0,"—",IF(J127=0,"—",IF(J127&lt;=K127,"✓ OK",IF(J127&lt;=K127*(1+PARAM_HPP_TIPIS),"⚠ TIPIS","⚠ MAHAL"))))),  "—")</f>
        <v>—</v>
      </c>
    </row>
    <row r="128" ht="18.75" customHeight="1">
      <c r="A128" s="72"/>
      <c r="B128" s="72"/>
      <c r="C128" s="112" t="str">
        <f t="array" ref="C128">IFERROR(IF(B128="","",INDEX(PRODUK!$B:$B,MATCH(B128,PRODUK!$A:$A,0))),"")</f>
        <v/>
      </c>
      <c r="D128" s="113"/>
      <c r="E128" s="74"/>
      <c r="F128" s="74"/>
      <c r="G128" s="74"/>
      <c r="H128" s="114">
        <f>IFERROR(IF(A128="",0,(E128+F128)*PARAM_OVERHEAD_PCT),0)</f>
        <v>0</v>
      </c>
      <c r="I128" s="114">
        <f t="shared" si="1"/>
        <v>0</v>
      </c>
      <c r="J128" s="114">
        <f t="shared" si="2"/>
        <v>0</v>
      </c>
      <c r="K128" s="115">
        <f t="array" ref="K128">IFERROR(IF(B128="",0,INDEX(PRODUK!$E:$E,MATCH(B128,PRODUK!$A:$A,0))),0)</f>
        <v>0</v>
      </c>
      <c r="L128" s="114" t="str">
        <f t="shared" si="3"/>
        <v>—</v>
      </c>
      <c r="M128" s="76" t="str">
        <f>IFERROR(IF(A128="","—",IF(D128=0,"—",IF(J128=0,"—",IF(J128&lt;=K128,"✓ OK",IF(J128&lt;=K128*(1+PARAM_HPP_TIPIS),"⚠ TIPIS","⚠ MAHAL"))))),  "—")</f>
        <v>—</v>
      </c>
    </row>
    <row r="129" ht="18.75" customHeight="1">
      <c r="A129" s="77"/>
      <c r="B129" s="77"/>
      <c r="C129" s="116" t="str">
        <f t="array" ref="C129">IFERROR(IF(B129="","",INDEX(PRODUK!$B:$B,MATCH(B129,PRODUK!$A:$A,0))),"")</f>
        <v/>
      </c>
      <c r="D129" s="117"/>
      <c r="E129" s="79"/>
      <c r="F129" s="79"/>
      <c r="G129" s="79"/>
      <c r="H129" s="118">
        <f>IFERROR(IF(A129="",0,(E129+F129)*PARAM_OVERHEAD_PCT),0)</f>
        <v>0</v>
      </c>
      <c r="I129" s="118">
        <f t="shared" si="1"/>
        <v>0</v>
      </c>
      <c r="J129" s="118">
        <f t="shared" si="2"/>
        <v>0</v>
      </c>
      <c r="K129" s="119">
        <f t="array" ref="K129">IFERROR(IF(B129="",0,INDEX(PRODUK!$E:$E,MATCH(B129,PRODUK!$A:$A,0))),0)</f>
        <v>0</v>
      </c>
      <c r="L129" s="118" t="str">
        <f t="shared" si="3"/>
        <v>—</v>
      </c>
      <c r="M129" s="81" t="str">
        <f>IFERROR(IF(A129="","—",IF(D129=0,"—",IF(J129=0,"—",IF(J129&lt;=K129,"✓ OK",IF(J129&lt;=K129*(1+PARAM_HPP_TIPIS),"⚠ TIPIS","⚠ MAHAL"))))),  "—")</f>
        <v>—</v>
      </c>
    </row>
    <row r="130" ht="18.75" customHeight="1">
      <c r="A130" s="72"/>
      <c r="B130" s="72"/>
      <c r="C130" s="112" t="str">
        <f t="array" ref="C130">IFERROR(IF(B130="","",INDEX(PRODUK!$B:$B,MATCH(B130,PRODUK!$A:$A,0))),"")</f>
        <v/>
      </c>
      <c r="D130" s="113"/>
      <c r="E130" s="74"/>
      <c r="F130" s="74"/>
      <c r="G130" s="74"/>
      <c r="H130" s="114">
        <f>IFERROR(IF(A130="",0,(E130+F130)*PARAM_OVERHEAD_PCT),0)</f>
        <v>0</v>
      </c>
      <c r="I130" s="114">
        <f t="shared" si="1"/>
        <v>0</v>
      </c>
      <c r="J130" s="114">
        <f t="shared" si="2"/>
        <v>0</v>
      </c>
      <c r="K130" s="115">
        <f t="array" ref="K130">IFERROR(IF(B130="",0,INDEX(PRODUK!$E:$E,MATCH(B130,PRODUK!$A:$A,0))),0)</f>
        <v>0</v>
      </c>
      <c r="L130" s="114" t="str">
        <f t="shared" si="3"/>
        <v>—</v>
      </c>
      <c r="M130" s="76" t="str">
        <f>IFERROR(IF(A130="","—",IF(D130=0,"—",IF(J130=0,"—",IF(J130&lt;=K130,"✓ OK",IF(J130&lt;=K130*(1+PARAM_HPP_TIPIS),"⚠ TIPIS","⚠ MAHAL"))))),  "—")</f>
        <v>—</v>
      </c>
    </row>
    <row r="131" ht="18.75" customHeight="1">
      <c r="A131" s="77"/>
      <c r="B131" s="77"/>
      <c r="C131" s="116" t="str">
        <f t="array" ref="C131">IFERROR(IF(B131="","",INDEX(PRODUK!$B:$B,MATCH(B131,PRODUK!$A:$A,0))),"")</f>
        <v/>
      </c>
      <c r="D131" s="117"/>
      <c r="E131" s="79"/>
      <c r="F131" s="79"/>
      <c r="G131" s="79"/>
      <c r="H131" s="118">
        <f>IFERROR(IF(A131="",0,(E131+F131)*PARAM_OVERHEAD_PCT),0)</f>
        <v>0</v>
      </c>
      <c r="I131" s="118">
        <f t="shared" si="1"/>
        <v>0</v>
      </c>
      <c r="J131" s="118">
        <f t="shared" si="2"/>
        <v>0</v>
      </c>
      <c r="K131" s="119">
        <f t="array" ref="K131">IFERROR(IF(B131="",0,INDEX(PRODUK!$E:$E,MATCH(B131,PRODUK!$A:$A,0))),0)</f>
        <v>0</v>
      </c>
      <c r="L131" s="118" t="str">
        <f t="shared" si="3"/>
        <v>—</v>
      </c>
      <c r="M131" s="81" t="str">
        <f>IFERROR(IF(A131="","—",IF(D131=0,"—",IF(J131=0,"—",IF(J131&lt;=K131,"✓ OK",IF(J131&lt;=K131*(1+PARAM_HPP_TIPIS),"⚠ TIPIS","⚠ MAHAL"))))),  "—")</f>
        <v>—</v>
      </c>
    </row>
    <row r="132" ht="18.75" customHeight="1">
      <c r="A132" s="72"/>
      <c r="B132" s="72"/>
      <c r="C132" s="112" t="str">
        <f t="array" ref="C132">IFERROR(IF(B132="","",INDEX(PRODUK!$B:$B,MATCH(B132,PRODUK!$A:$A,0))),"")</f>
        <v/>
      </c>
      <c r="D132" s="113"/>
      <c r="E132" s="74"/>
      <c r="F132" s="74"/>
      <c r="G132" s="74"/>
      <c r="H132" s="114">
        <f>IFERROR(IF(A132="",0,(E132+F132)*PARAM_OVERHEAD_PCT),0)</f>
        <v>0</v>
      </c>
      <c r="I132" s="114">
        <f t="shared" si="1"/>
        <v>0</v>
      </c>
      <c r="J132" s="114">
        <f t="shared" si="2"/>
        <v>0</v>
      </c>
      <c r="K132" s="115">
        <f t="array" ref="K132">IFERROR(IF(B132="",0,INDEX(PRODUK!$E:$E,MATCH(B132,PRODUK!$A:$A,0))),0)</f>
        <v>0</v>
      </c>
      <c r="L132" s="114" t="str">
        <f t="shared" si="3"/>
        <v>—</v>
      </c>
      <c r="M132" s="76" t="str">
        <f>IFERROR(IF(A132="","—",IF(D132=0,"—",IF(J132=0,"—",IF(J132&lt;=K132,"✓ OK",IF(J132&lt;=K132*(1+PARAM_HPP_TIPIS),"⚠ TIPIS","⚠ MAHAL"))))),  "—")</f>
        <v>—</v>
      </c>
    </row>
    <row r="133" ht="18.75" customHeight="1">
      <c r="A133" s="77"/>
      <c r="B133" s="77"/>
      <c r="C133" s="116" t="str">
        <f t="array" ref="C133">IFERROR(IF(B133="","",INDEX(PRODUK!$B:$B,MATCH(B133,PRODUK!$A:$A,0))),"")</f>
        <v/>
      </c>
      <c r="D133" s="117"/>
      <c r="E133" s="79"/>
      <c r="F133" s="79"/>
      <c r="G133" s="79"/>
      <c r="H133" s="118">
        <f>IFERROR(IF(A133="",0,(E133+F133)*PARAM_OVERHEAD_PCT),0)</f>
        <v>0</v>
      </c>
      <c r="I133" s="118">
        <f t="shared" si="1"/>
        <v>0</v>
      </c>
      <c r="J133" s="118">
        <f t="shared" si="2"/>
        <v>0</v>
      </c>
      <c r="K133" s="119">
        <f t="array" ref="K133">IFERROR(IF(B133="",0,INDEX(PRODUK!$E:$E,MATCH(B133,PRODUK!$A:$A,0))),0)</f>
        <v>0</v>
      </c>
      <c r="L133" s="118" t="str">
        <f t="shared" si="3"/>
        <v>—</v>
      </c>
      <c r="M133" s="81" t="str">
        <f>IFERROR(IF(A133="","—",IF(D133=0,"—",IF(J133=0,"—",IF(J133&lt;=K133,"✓ OK",IF(J133&lt;=K133*(1+PARAM_HPP_TIPIS),"⚠ TIPIS","⚠ MAHAL"))))),  "—")</f>
        <v>—</v>
      </c>
    </row>
    <row r="134" ht="18.75" customHeight="1">
      <c r="A134" s="72"/>
      <c r="B134" s="72"/>
      <c r="C134" s="112" t="str">
        <f t="array" ref="C134">IFERROR(IF(B134="","",INDEX(PRODUK!$B:$B,MATCH(B134,PRODUK!$A:$A,0))),"")</f>
        <v/>
      </c>
      <c r="D134" s="113"/>
      <c r="E134" s="74"/>
      <c r="F134" s="74"/>
      <c r="G134" s="74"/>
      <c r="H134" s="114">
        <f>IFERROR(IF(A134="",0,(E134+F134)*PARAM_OVERHEAD_PCT),0)</f>
        <v>0</v>
      </c>
      <c r="I134" s="114">
        <f t="shared" si="1"/>
        <v>0</v>
      </c>
      <c r="J134" s="114">
        <f t="shared" si="2"/>
        <v>0</v>
      </c>
      <c r="K134" s="115">
        <f t="array" ref="K134">IFERROR(IF(B134="",0,INDEX(PRODUK!$E:$E,MATCH(B134,PRODUK!$A:$A,0))),0)</f>
        <v>0</v>
      </c>
      <c r="L134" s="114" t="str">
        <f t="shared" si="3"/>
        <v>—</v>
      </c>
      <c r="M134" s="76" t="str">
        <f>IFERROR(IF(A134="","—",IF(D134=0,"—",IF(J134=0,"—",IF(J134&lt;=K134,"✓ OK",IF(J134&lt;=K134*(1+PARAM_HPP_TIPIS),"⚠ TIPIS","⚠ MAHAL"))))),  "—")</f>
        <v>—</v>
      </c>
    </row>
    <row r="135" ht="18.75" customHeight="1">
      <c r="A135" s="77"/>
      <c r="B135" s="77"/>
      <c r="C135" s="116" t="str">
        <f t="array" ref="C135">IFERROR(IF(B135="","",INDEX(PRODUK!$B:$B,MATCH(B135,PRODUK!$A:$A,0))),"")</f>
        <v/>
      </c>
      <c r="D135" s="117"/>
      <c r="E135" s="79"/>
      <c r="F135" s="79"/>
      <c r="G135" s="79"/>
      <c r="H135" s="118">
        <f>IFERROR(IF(A135="",0,(E135+F135)*PARAM_OVERHEAD_PCT),0)</f>
        <v>0</v>
      </c>
      <c r="I135" s="118">
        <f t="shared" si="1"/>
        <v>0</v>
      </c>
      <c r="J135" s="118">
        <f t="shared" si="2"/>
        <v>0</v>
      </c>
      <c r="K135" s="119">
        <f t="array" ref="K135">IFERROR(IF(B135="",0,INDEX(PRODUK!$E:$E,MATCH(B135,PRODUK!$A:$A,0))),0)</f>
        <v>0</v>
      </c>
      <c r="L135" s="118" t="str">
        <f t="shared" si="3"/>
        <v>—</v>
      </c>
      <c r="M135" s="81" t="str">
        <f>IFERROR(IF(A135="","—",IF(D135=0,"—",IF(J135=0,"—",IF(J135&lt;=K135,"✓ OK",IF(J135&lt;=K135*(1+PARAM_HPP_TIPIS),"⚠ TIPIS","⚠ MAHAL"))))),  "—")</f>
        <v>—</v>
      </c>
    </row>
    <row r="136" ht="18.75" customHeight="1">
      <c r="A136" s="72"/>
      <c r="B136" s="72"/>
      <c r="C136" s="112" t="str">
        <f t="array" ref="C136">IFERROR(IF(B136="","",INDEX(PRODUK!$B:$B,MATCH(B136,PRODUK!$A:$A,0))),"")</f>
        <v/>
      </c>
      <c r="D136" s="113"/>
      <c r="E136" s="74"/>
      <c r="F136" s="74"/>
      <c r="G136" s="74"/>
      <c r="H136" s="114">
        <f>IFERROR(IF(A136="",0,(E136+F136)*PARAM_OVERHEAD_PCT),0)</f>
        <v>0</v>
      </c>
      <c r="I136" s="114">
        <f t="shared" si="1"/>
        <v>0</v>
      </c>
      <c r="J136" s="114">
        <f t="shared" si="2"/>
        <v>0</v>
      </c>
      <c r="K136" s="115">
        <f t="array" ref="K136">IFERROR(IF(B136="",0,INDEX(PRODUK!$E:$E,MATCH(B136,PRODUK!$A:$A,0))),0)</f>
        <v>0</v>
      </c>
      <c r="L136" s="114" t="str">
        <f t="shared" si="3"/>
        <v>—</v>
      </c>
      <c r="M136" s="76" t="str">
        <f>IFERROR(IF(A136="","—",IF(D136=0,"—",IF(J136=0,"—",IF(J136&lt;=K136,"✓ OK",IF(J136&lt;=K136*(1+PARAM_HPP_TIPIS),"⚠ TIPIS","⚠ MAHAL"))))),  "—")</f>
        <v>—</v>
      </c>
    </row>
    <row r="137" ht="18.75" customHeight="1">
      <c r="A137" s="77"/>
      <c r="B137" s="77"/>
      <c r="C137" s="116" t="str">
        <f t="array" ref="C137">IFERROR(IF(B137="","",INDEX(PRODUK!$B:$B,MATCH(B137,PRODUK!$A:$A,0))),"")</f>
        <v/>
      </c>
      <c r="D137" s="117"/>
      <c r="E137" s="79"/>
      <c r="F137" s="79"/>
      <c r="G137" s="79"/>
      <c r="H137" s="118">
        <f>IFERROR(IF(A137="",0,(E137+F137)*PARAM_OVERHEAD_PCT),0)</f>
        <v>0</v>
      </c>
      <c r="I137" s="118">
        <f t="shared" si="1"/>
        <v>0</v>
      </c>
      <c r="J137" s="118">
        <f t="shared" si="2"/>
        <v>0</v>
      </c>
      <c r="K137" s="119">
        <f t="array" ref="K137">IFERROR(IF(B137="",0,INDEX(PRODUK!$E:$E,MATCH(B137,PRODUK!$A:$A,0))),0)</f>
        <v>0</v>
      </c>
      <c r="L137" s="118" t="str">
        <f t="shared" si="3"/>
        <v>—</v>
      </c>
      <c r="M137" s="81" t="str">
        <f>IFERROR(IF(A137="","—",IF(D137=0,"—",IF(J137=0,"—",IF(J137&lt;=K137,"✓ OK",IF(J137&lt;=K137*(1+PARAM_HPP_TIPIS),"⚠ TIPIS","⚠ MAHAL"))))),  "—")</f>
        <v>—</v>
      </c>
    </row>
    <row r="138" ht="18.75" customHeight="1">
      <c r="A138" s="72"/>
      <c r="B138" s="72"/>
      <c r="C138" s="112" t="str">
        <f t="array" ref="C138">IFERROR(IF(B138="","",INDEX(PRODUK!$B:$B,MATCH(B138,PRODUK!$A:$A,0))),"")</f>
        <v/>
      </c>
      <c r="D138" s="113"/>
      <c r="E138" s="74"/>
      <c r="F138" s="74"/>
      <c r="G138" s="74"/>
      <c r="H138" s="114">
        <f>IFERROR(IF(A138="",0,(E138+F138)*PARAM_OVERHEAD_PCT),0)</f>
        <v>0</v>
      </c>
      <c r="I138" s="114">
        <f t="shared" si="1"/>
        <v>0</v>
      </c>
      <c r="J138" s="114">
        <f t="shared" si="2"/>
        <v>0</v>
      </c>
      <c r="K138" s="115">
        <f t="array" ref="K138">IFERROR(IF(B138="",0,INDEX(PRODUK!$E:$E,MATCH(B138,PRODUK!$A:$A,0))),0)</f>
        <v>0</v>
      </c>
      <c r="L138" s="114" t="str">
        <f t="shared" si="3"/>
        <v>—</v>
      </c>
      <c r="M138" s="76" t="str">
        <f>IFERROR(IF(A138="","—",IF(D138=0,"—",IF(J138=0,"—",IF(J138&lt;=K138,"✓ OK",IF(J138&lt;=K138*(1+PARAM_HPP_TIPIS),"⚠ TIPIS","⚠ MAHAL"))))),  "—")</f>
        <v>—</v>
      </c>
    </row>
    <row r="139" ht="18.75" customHeight="1">
      <c r="A139" s="77"/>
      <c r="B139" s="77"/>
      <c r="C139" s="116" t="str">
        <f t="array" ref="C139">IFERROR(IF(B139="","",INDEX(PRODUK!$B:$B,MATCH(B139,PRODUK!$A:$A,0))),"")</f>
        <v/>
      </c>
      <c r="D139" s="117"/>
      <c r="E139" s="79"/>
      <c r="F139" s="79"/>
      <c r="G139" s="79"/>
      <c r="H139" s="118">
        <f>IFERROR(IF(A139="",0,(E139+F139)*PARAM_OVERHEAD_PCT),0)</f>
        <v>0</v>
      </c>
      <c r="I139" s="118">
        <f t="shared" si="1"/>
        <v>0</v>
      </c>
      <c r="J139" s="118">
        <f t="shared" si="2"/>
        <v>0</v>
      </c>
      <c r="K139" s="119">
        <f t="array" ref="K139">IFERROR(IF(B139="",0,INDEX(PRODUK!$E:$E,MATCH(B139,PRODUK!$A:$A,0))),0)</f>
        <v>0</v>
      </c>
      <c r="L139" s="118" t="str">
        <f t="shared" si="3"/>
        <v>—</v>
      </c>
      <c r="M139" s="81" t="str">
        <f>IFERROR(IF(A139="","—",IF(D139=0,"—",IF(J139=0,"—",IF(J139&lt;=K139,"✓ OK",IF(J139&lt;=K139*(1+PARAM_HPP_TIPIS),"⚠ TIPIS","⚠ MAHAL"))))),  "—")</f>
        <v>—</v>
      </c>
    </row>
    <row r="140" ht="18.75" customHeight="1">
      <c r="A140" s="72"/>
      <c r="B140" s="72"/>
      <c r="C140" s="112" t="str">
        <f t="array" ref="C140">IFERROR(IF(B140="","",INDEX(PRODUK!$B:$B,MATCH(B140,PRODUK!$A:$A,0))),"")</f>
        <v/>
      </c>
      <c r="D140" s="113"/>
      <c r="E140" s="74"/>
      <c r="F140" s="74"/>
      <c r="G140" s="74"/>
      <c r="H140" s="114">
        <f>IFERROR(IF(A140="",0,(E140+F140)*PARAM_OVERHEAD_PCT),0)</f>
        <v>0</v>
      </c>
      <c r="I140" s="114">
        <f t="shared" si="1"/>
        <v>0</v>
      </c>
      <c r="J140" s="114">
        <f t="shared" si="2"/>
        <v>0</v>
      </c>
      <c r="K140" s="115">
        <f t="array" ref="K140">IFERROR(IF(B140="",0,INDEX(PRODUK!$E:$E,MATCH(B140,PRODUK!$A:$A,0))),0)</f>
        <v>0</v>
      </c>
      <c r="L140" s="114" t="str">
        <f t="shared" si="3"/>
        <v>—</v>
      </c>
      <c r="M140" s="76" t="str">
        <f>IFERROR(IF(A140="","—",IF(D140=0,"—",IF(J140=0,"—",IF(J140&lt;=K140,"✓ OK",IF(J140&lt;=K140*(1+PARAM_HPP_TIPIS),"⚠ TIPIS","⚠ MAHAL"))))),  "—")</f>
        <v>—</v>
      </c>
    </row>
    <row r="141" ht="18.75" customHeight="1">
      <c r="A141" s="77"/>
      <c r="B141" s="77"/>
      <c r="C141" s="116" t="str">
        <f t="array" ref="C141">IFERROR(IF(B141="","",INDEX(PRODUK!$B:$B,MATCH(B141,PRODUK!$A:$A,0))),"")</f>
        <v/>
      </c>
      <c r="D141" s="117"/>
      <c r="E141" s="79"/>
      <c r="F141" s="79"/>
      <c r="G141" s="79"/>
      <c r="H141" s="118">
        <f>IFERROR(IF(A141="",0,(E141+F141)*PARAM_OVERHEAD_PCT),0)</f>
        <v>0</v>
      </c>
      <c r="I141" s="118">
        <f t="shared" si="1"/>
        <v>0</v>
      </c>
      <c r="J141" s="118">
        <f t="shared" si="2"/>
        <v>0</v>
      </c>
      <c r="K141" s="119">
        <f t="array" ref="K141">IFERROR(IF(B141="",0,INDEX(PRODUK!$E:$E,MATCH(B141,PRODUK!$A:$A,0))),0)</f>
        <v>0</v>
      </c>
      <c r="L141" s="118" t="str">
        <f t="shared" si="3"/>
        <v>—</v>
      </c>
      <c r="M141" s="81" t="str">
        <f>IFERROR(IF(A141="","—",IF(D141=0,"—",IF(J141=0,"—",IF(J141&lt;=K141,"✓ OK",IF(J141&lt;=K141*(1+PARAM_HPP_TIPIS),"⚠ TIPIS","⚠ MAHAL"))))),  "—")</f>
        <v>—</v>
      </c>
    </row>
    <row r="142" ht="18.75" customHeight="1">
      <c r="A142" s="72"/>
      <c r="B142" s="72"/>
      <c r="C142" s="112" t="str">
        <f t="array" ref="C142">IFERROR(IF(B142="","",INDEX(PRODUK!$B:$B,MATCH(B142,PRODUK!$A:$A,0))),"")</f>
        <v/>
      </c>
      <c r="D142" s="113"/>
      <c r="E142" s="74"/>
      <c r="F142" s="74"/>
      <c r="G142" s="74"/>
      <c r="H142" s="114">
        <f>IFERROR(IF(A142="",0,(E142+F142)*PARAM_OVERHEAD_PCT),0)</f>
        <v>0</v>
      </c>
      <c r="I142" s="114">
        <f t="shared" si="1"/>
        <v>0</v>
      </c>
      <c r="J142" s="114">
        <f t="shared" si="2"/>
        <v>0</v>
      </c>
      <c r="K142" s="115">
        <f t="array" ref="K142">IFERROR(IF(B142="",0,INDEX(PRODUK!$E:$E,MATCH(B142,PRODUK!$A:$A,0))),0)</f>
        <v>0</v>
      </c>
      <c r="L142" s="114" t="str">
        <f t="shared" si="3"/>
        <v>—</v>
      </c>
      <c r="M142" s="76" t="str">
        <f>IFERROR(IF(A142="","—",IF(D142=0,"—",IF(J142=0,"—",IF(J142&lt;=K142,"✓ OK",IF(J142&lt;=K142*(1+PARAM_HPP_TIPIS),"⚠ TIPIS","⚠ MAHAL"))))),  "—")</f>
        <v>—</v>
      </c>
    </row>
    <row r="143" ht="18.75" customHeight="1">
      <c r="A143" s="77"/>
      <c r="B143" s="77"/>
      <c r="C143" s="116" t="str">
        <f t="array" ref="C143">IFERROR(IF(B143="","",INDEX(PRODUK!$B:$B,MATCH(B143,PRODUK!$A:$A,0))),"")</f>
        <v/>
      </c>
      <c r="D143" s="117"/>
      <c r="E143" s="79"/>
      <c r="F143" s="79"/>
      <c r="G143" s="79"/>
      <c r="H143" s="118">
        <f>IFERROR(IF(A143="",0,(E143+F143)*PARAM_OVERHEAD_PCT),0)</f>
        <v>0</v>
      </c>
      <c r="I143" s="118">
        <f t="shared" si="1"/>
        <v>0</v>
      </c>
      <c r="J143" s="118">
        <f t="shared" si="2"/>
        <v>0</v>
      </c>
      <c r="K143" s="119">
        <f t="array" ref="K143">IFERROR(IF(B143="",0,INDEX(PRODUK!$E:$E,MATCH(B143,PRODUK!$A:$A,0))),0)</f>
        <v>0</v>
      </c>
      <c r="L143" s="118" t="str">
        <f t="shared" si="3"/>
        <v>—</v>
      </c>
      <c r="M143" s="81" t="str">
        <f>IFERROR(IF(A143="","—",IF(D143=0,"—",IF(J143=0,"—",IF(J143&lt;=K143,"✓ OK",IF(J143&lt;=K143*(1+PARAM_HPP_TIPIS),"⚠ TIPIS","⚠ MAHAL"))))),  "—")</f>
        <v>—</v>
      </c>
    </row>
    <row r="144" ht="18.75" customHeight="1">
      <c r="A144" s="72"/>
      <c r="B144" s="72"/>
      <c r="C144" s="112" t="str">
        <f t="array" ref="C144">IFERROR(IF(B144="","",INDEX(PRODUK!$B:$B,MATCH(B144,PRODUK!$A:$A,0))),"")</f>
        <v/>
      </c>
      <c r="D144" s="113"/>
      <c r="E144" s="74"/>
      <c r="F144" s="74"/>
      <c r="G144" s="74"/>
      <c r="H144" s="114">
        <f>IFERROR(IF(A144="",0,(E144+F144)*PARAM_OVERHEAD_PCT),0)</f>
        <v>0</v>
      </c>
      <c r="I144" s="114">
        <f t="shared" si="1"/>
        <v>0</v>
      </c>
      <c r="J144" s="114">
        <f t="shared" si="2"/>
        <v>0</v>
      </c>
      <c r="K144" s="115">
        <f t="array" ref="K144">IFERROR(IF(B144="",0,INDEX(PRODUK!$E:$E,MATCH(B144,PRODUK!$A:$A,0))),0)</f>
        <v>0</v>
      </c>
      <c r="L144" s="114" t="str">
        <f t="shared" si="3"/>
        <v>—</v>
      </c>
      <c r="M144" s="76" t="str">
        <f>IFERROR(IF(A144="","—",IF(D144=0,"—",IF(J144=0,"—",IF(J144&lt;=K144,"✓ OK",IF(J144&lt;=K144*(1+PARAM_HPP_TIPIS),"⚠ TIPIS","⚠ MAHAL"))))),  "—")</f>
        <v>—</v>
      </c>
    </row>
    <row r="145" ht="18.75" customHeight="1">
      <c r="A145" s="77"/>
      <c r="B145" s="77"/>
      <c r="C145" s="116" t="str">
        <f t="array" ref="C145">IFERROR(IF(B145="","",INDEX(PRODUK!$B:$B,MATCH(B145,PRODUK!$A:$A,0))),"")</f>
        <v/>
      </c>
      <c r="D145" s="117"/>
      <c r="E145" s="79"/>
      <c r="F145" s="79"/>
      <c r="G145" s="79"/>
      <c r="H145" s="118">
        <f>IFERROR(IF(A145="",0,(E145+F145)*PARAM_OVERHEAD_PCT),0)</f>
        <v>0</v>
      </c>
      <c r="I145" s="118">
        <f t="shared" si="1"/>
        <v>0</v>
      </c>
      <c r="J145" s="118">
        <f t="shared" si="2"/>
        <v>0</v>
      </c>
      <c r="K145" s="119">
        <f t="array" ref="K145">IFERROR(IF(B145="",0,INDEX(PRODUK!$E:$E,MATCH(B145,PRODUK!$A:$A,0))),0)</f>
        <v>0</v>
      </c>
      <c r="L145" s="118" t="str">
        <f t="shared" si="3"/>
        <v>—</v>
      </c>
      <c r="M145" s="81" t="str">
        <f>IFERROR(IF(A145="","—",IF(D145=0,"—",IF(J145=0,"—",IF(J145&lt;=K145,"✓ OK",IF(J145&lt;=K145*(1+PARAM_HPP_TIPIS),"⚠ TIPIS","⚠ MAHAL"))))),  "—")</f>
        <v>—</v>
      </c>
    </row>
    <row r="146" ht="18.75" customHeight="1">
      <c r="A146" s="72"/>
      <c r="B146" s="72"/>
      <c r="C146" s="112" t="str">
        <f t="array" ref="C146">IFERROR(IF(B146="","",INDEX(PRODUK!$B:$B,MATCH(B146,PRODUK!$A:$A,0))),"")</f>
        <v/>
      </c>
      <c r="D146" s="113"/>
      <c r="E146" s="74"/>
      <c r="F146" s="74"/>
      <c r="G146" s="74"/>
      <c r="H146" s="114">
        <f>IFERROR(IF(A146="",0,(E146+F146)*PARAM_OVERHEAD_PCT),0)</f>
        <v>0</v>
      </c>
      <c r="I146" s="114">
        <f t="shared" si="1"/>
        <v>0</v>
      </c>
      <c r="J146" s="114">
        <f t="shared" si="2"/>
        <v>0</v>
      </c>
      <c r="K146" s="115">
        <f t="array" ref="K146">IFERROR(IF(B146="",0,INDEX(PRODUK!$E:$E,MATCH(B146,PRODUK!$A:$A,0))),0)</f>
        <v>0</v>
      </c>
      <c r="L146" s="114" t="str">
        <f t="shared" si="3"/>
        <v>—</v>
      </c>
      <c r="M146" s="76" t="str">
        <f>IFERROR(IF(A146="","—",IF(D146=0,"—",IF(J146=0,"—",IF(J146&lt;=K146,"✓ OK",IF(J146&lt;=K146*(1+PARAM_HPP_TIPIS),"⚠ TIPIS","⚠ MAHAL"))))),  "—")</f>
        <v>—</v>
      </c>
    </row>
    <row r="147" ht="18.75" customHeight="1">
      <c r="A147" s="77"/>
      <c r="B147" s="77"/>
      <c r="C147" s="116" t="str">
        <f t="array" ref="C147">IFERROR(IF(B147="","",INDEX(PRODUK!$B:$B,MATCH(B147,PRODUK!$A:$A,0))),"")</f>
        <v/>
      </c>
      <c r="D147" s="117"/>
      <c r="E147" s="79"/>
      <c r="F147" s="79"/>
      <c r="G147" s="79"/>
      <c r="H147" s="118">
        <f>IFERROR(IF(A147="",0,(E147+F147)*PARAM_OVERHEAD_PCT),0)</f>
        <v>0</v>
      </c>
      <c r="I147" s="118">
        <f t="shared" si="1"/>
        <v>0</v>
      </c>
      <c r="J147" s="118">
        <f t="shared" si="2"/>
        <v>0</v>
      </c>
      <c r="K147" s="119">
        <f t="array" ref="K147">IFERROR(IF(B147="",0,INDEX(PRODUK!$E:$E,MATCH(B147,PRODUK!$A:$A,0))),0)</f>
        <v>0</v>
      </c>
      <c r="L147" s="118" t="str">
        <f t="shared" si="3"/>
        <v>—</v>
      </c>
      <c r="M147" s="81" t="str">
        <f>IFERROR(IF(A147="","—",IF(D147=0,"—",IF(J147=0,"—",IF(J147&lt;=K147,"✓ OK",IF(J147&lt;=K147*(1+PARAM_HPP_TIPIS),"⚠ TIPIS","⚠ MAHAL"))))),  "—")</f>
        <v>—</v>
      </c>
    </row>
    <row r="148" ht="18.75" customHeight="1">
      <c r="A148" s="72"/>
      <c r="B148" s="72"/>
      <c r="C148" s="112" t="str">
        <f t="array" ref="C148">IFERROR(IF(B148="","",INDEX(PRODUK!$B:$B,MATCH(B148,PRODUK!$A:$A,0))),"")</f>
        <v/>
      </c>
      <c r="D148" s="113"/>
      <c r="E148" s="74"/>
      <c r="F148" s="74"/>
      <c r="G148" s="74"/>
      <c r="H148" s="114">
        <f>IFERROR(IF(A148="",0,(E148+F148)*PARAM_OVERHEAD_PCT),0)</f>
        <v>0</v>
      </c>
      <c r="I148" s="114">
        <f t="shared" si="1"/>
        <v>0</v>
      </c>
      <c r="J148" s="114">
        <f t="shared" si="2"/>
        <v>0</v>
      </c>
      <c r="K148" s="115">
        <f t="array" ref="K148">IFERROR(IF(B148="",0,INDEX(PRODUK!$E:$E,MATCH(B148,PRODUK!$A:$A,0))),0)</f>
        <v>0</v>
      </c>
      <c r="L148" s="114" t="str">
        <f t="shared" si="3"/>
        <v>—</v>
      </c>
      <c r="M148" s="76" t="str">
        <f>IFERROR(IF(A148="","—",IF(D148=0,"—",IF(J148=0,"—",IF(J148&lt;=K148,"✓ OK",IF(J148&lt;=K148*(1+PARAM_HPP_TIPIS),"⚠ TIPIS","⚠ MAHAL"))))),  "—")</f>
        <v>—</v>
      </c>
    </row>
    <row r="149" ht="18.75" customHeight="1">
      <c r="A149" s="77"/>
      <c r="B149" s="77"/>
      <c r="C149" s="116" t="str">
        <f t="array" ref="C149">IFERROR(IF(B149="","",INDEX(PRODUK!$B:$B,MATCH(B149,PRODUK!$A:$A,0))),"")</f>
        <v/>
      </c>
      <c r="D149" s="117"/>
      <c r="E149" s="79"/>
      <c r="F149" s="79"/>
      <c r="G149" s="79"/>
      <c r="H149" s="118">
        <f>IFERROR(IF(A149="",0,(E149+F149)*PARAM_OVERHEAD_PCT),0)</f>
        <v>0</v>
      </c>
      <c r="I149" s="118">
        <f t="shared" si="1"/>
        <v>0</v>
      </c>
      <c r="J149" s="118">
        <f t="shared" si="2"/>
        <v>0</v>
      </c>
      <c r="K149" s="119">
        <f t="array" ref="K149">IFERROR(IF(B149="",0,INDEX(PRODUK!$E:$E,MATCH(B149,PRODUK!$A:$A,0))),0)</f>
        <v>0</v>
      </c>
      <c r="L149" s="118" t="str">
        <f t="shared" si="3"/>
        <v>—</v>
      </c>
      <c r="M149" s="81" t="str">
        <f>IFERROR(IF(A149="","—",IF(D149=0,"—",IF(J149=0,"—",IF(J149&lt;=K149,"✓ OK",IF(J149&lt;=K149*(1+PARAM_HPP_TIPIS),"⚠ TIPIS","⚠ MAHAL"))))),  "—")</f>
        <v>—</v>
      </c>
    </row>
    <row r="150" ht="18.75" customHeight="1">
      <c r="A150" s="72"/>
      <c r="B150" s="72"/>
      <c r="C150" s="112" t="str">
        <f t="array" ref="C150">IFERROR(IF(B150="","",INDEX(PRODUK!$B:$B,MATCH(B150,PRODUK!$A:$A,0))),"")</f>
        <v/>
      </c>
      <c r="D150" s="113"/>
      <c r="E150" s="74"/>
      <c r="F150" s="74"/>
      <c r="G150" s="74"/>
      <c r="H150" s="114">
        <f>IFERROR(IF(A150="",0,(E150+F150)*PARAM_OVERHEAD_PCT),0)</f>
        <v>0</v>
      </c>
      <c r="I150" s="114">
        <f t="shared" si="1"/>
        <v>0</v>
      </c>
      <c r="J150" s="114">
        <f t="shared" si="2"/>
        <v>0</v>
      </c>
      <c r="K150" s="115">
        <f t="array" ref="K150">IFERROR(IF(B150="",0,INDEX(PRODUK!$E:$E,MATCH(B150,PRODUK!$A:$A,0))),0)</f>
        <v>0</v>
      </c>
      <c r="L150" s="114" t="str">
        <f t="shared" si="3"/>
        <v>—</v>
      </c>
      <c r="M150" s="76" t="str">
        <f>IFERROR(IF(A150="","—",IF(D150=0,"—",IF(J150=0,"—",IF(J150&lt;=K150,"✓ OK",IF(J150&lt;=K150*(1+PARAM_HPP_TIPIS),"⚠ TIPIS","⚠ MAHAL"))))),  "—")</f>
        <v>—</v>
      </c>
    </row>
    <row r="151" ht="18.75" customHeight="1">
      <c r="A151" s="77"/>
      <c r="B151" s="77"/>
      <c r="C151" s="116" t="str">
        <f t="array" ref="C151">IFERROR(IF(B151="","",INDEX(PRODUK!$B:$B,MATCH(B151,PRODUK!$A:$A,0))),"")</f>
        <v/>
      </c>
      <c r="D151" s="117"/>
      <c r="E151" s="79"/>
      <c r="F151" s="79"/>
      <c r="G151" s="79"/>
      <c r="H151" s="118">
        <f>IFERROR(IF(A151="",0,(E151+F151)*PARAM_OVERHEAD_PCT),0)</f>
        <v>0</v>
      </c>
      <c r="I151" s="118">
        <f t="shared" si="1"/>
        <v>0</v>
      </c>
      <c r="J151" s="118">
        <f t="shared" si="2"/>
        <v>0</v>
      </c>
      <c r="K151" s="119">
        <f t="array" ref="K151">IFERROR(IF(B151="",0,INDEX(PRODUK!$E:$E,MATCH(B151,PRODUK!$A:$A,0))),0)</f>
        <v>0</v>
      </c>
      <c r="L151" s="118" t="str">
        <f t="shared" si="3"/>
        <v>—</v>
      </c>
      <c r="M151" s="81" t="str">
        <f>IFERROR(IF(A151="","—",IF(D151=0,"—",IF(J151=0,"—",IF(J151&lt;=K151,"✓ OK",IF(J151&lt;=K151*(1+PARAM_HPP_TIPIS),"⚠ TIPIS","⚠ MAHAL"))))),  "—")</f>
        <v>—</v>
      </c>
    </row>
    <row r="152" ht="18.75" customHeight="1">
      <c r="A152" s="72"/>
      <c r="B152" s="72"/>
      <c r="C152" s="112" t="str">
        <f t="array" ref="C152">IFERROR(IF(B152="","",INDEX(PRODUK!$B:$B,MATCH(B152,PRODUK!$A:$A,0))),"")</f>
        <v/>
      </c>
      <c r="D152" s="113"/>
      <c r="E152" s="74"/>
      <c r="F152" s="74"/>
      <c r="G152" s="74"/>
      <c r="H152" s="114">
        <f>IFERROR(IF(A152="",0,(E152+F152)*PARAM_OVERHEAD_PCT),0)</f>
        <v>0</v>
      </c>
      <c r="I152" s="114">
        <f t="shared" si="1"/>
        <v>0</v>
      </c>
      <c r="J152" s="114">
        <f t="shared" si="2"/>
        <v>0</v>
      </c>
      <c r="K152" s="115">
        <f t="array" ref="K152">IFERROR(IF(B152="",0,INDEX(PRODUK!$E:$E,MATCH(B152,PRODUK!$A:$A,0))),0)</f>
        <v>0</v>
      </c>
      <c r="L152" s="114" t="str">
        <f t="shared" si="3"/>
        <v>—</v>
      </c>
      <c r="M152" s="76" t="str">
        <f>IFERROR(IF(A152="","—",IF(D152=0,"—",IF(J152=0,"—",IF(J152&lt;=K152,"✓ OK",IF(J152&lt;=K152*(1+PARAM_HPP_TIPIS),"⚠ TIPIS","⚠ MAHAL"))))),  "—")</f>
        <v>—</v>
      </c>
    </row>
    <row r="153" ht="18.75" customHeight="1">
      <c r="A153" s="77"/>
      <c r="B153" s="77"/>
      <c r="C153" s="116" t="str">
        <f t="array" ref="C153">IFERROR(IF(B153="","",INDEX(PRODUK!$B:$B,MATCH(B153,PRODUK!$A:$A,0))),"")</f>
        <v/>
      </c>
      <c r="D153" s="117"/>
      <c r="E153" s="79"/>
      <c r="F153" s="79"/>
      <c r="G153" s="79"/>
      <c r="H153" s="118">
        <f>IFERROR(IF(A153="",0,(E153+F153)*PARAM_OVERHEAD_PCT),0)</f>
        <v>0</v>
      </c>
      <c r="I153" s="118">
        <f t="shared" si="1"/>
        <v>0</v>
      </c>
      <c r="J153" s="118">
        <f t="shared" si="2"/>
        <v>0</v>
      </c>
      <c r="K153" s="119">
        <f t="array" ref="K153">IFERROR(IF(B153="",0,INDEX(PRODUK!$E:$E,MATCH(B153,PRODUK!$A:$A,0))),0)</f>
        <v>0</v>
      </c>
      <c r="L153" s="118" t="str">
        <f t="shared" si="3"/>
        <v>—</v>
      </c>
      <c r="M153" s="81" t="str">
        <f>IFERROR(IF(A153="","—",IF(D153=0,"—",IF(J153=0,"—",IF(J153&lt;=K153,"✓ OK",IF(J153&lt;=K153*(1+PARAM_HPP_TIPIS),"⚠ TIPIS","⚠ MAHAL"))))),  "—")</f>
        <v>—</v>
      </c>
    </row>
    <row r="154" ht="18.75" customHeight="1">
      <c r="A154" s="72"/>
      <c r="B154" s="72"/>
      <c r="C154" s="112" t="str">
        <f t="array" ref="C154">IFERROR(IF(B154="","",INDEX(PRODUK!$B:$B,MATCH(B154,PRODUK!$A:$A,0))),"")</f>
        <v/>
      </c>
      <c r="D154" s="113"/>
      <c r="E154" s="74"/>
      <c r="F154" s="74"/>
      <c r="G154" s="74"/>
      <c r="H154" s="114">
        <f>IFERROR(IF(A154="",0,(E154+F154)*PARAM_OVERHEAD_PCT),0)</f>
        <v>0</v>
      </c>
      <c r="I154" s="114">
        <f t="shared" si="1"/>
        <v>0</v>
      </c>
      <c r="J154" s="114">
        <f t="shared" si="2"/>
        <v>0</v>
      </c>
      <c r="K154" s="115">
        <f t="array" ref="K154">IFERROR(IF(B154="",0,INDEX(PRODUK!$E:$E,MATCH(B154,PRODUK!$A:$A,0))),0)</f>
        <v>0</v>
      </c>
      <c r="L154" s="114" t="str">
        <f t="shared" si="3"/>
        <v>—</v>
      </c>
      <c r="M154" s="76" t="str">
        <f>IFERROR(IF(A154="","—",IF(D154=0,"—",IF(J154=0,"—",IF(J154&lt;=K154,"✓ OK",IF(J154&lt;=K154*(1+PARAM_HPP_TIPIS),"⚠ TIPIS","⚠ MAHAL"))))),  "—")</f>
        <v>—</v>
      </c>
    </row>
    <row r="155" ht="18.75" customHeight="1">
      <c r="A155" s="77"/>
      <c r="B155" s="77"/>
      <c r="C155" s="116" t="str">
        <f t="array" ref="C155">IFERROR(IF(B155="","",INDEX(PRODUK!$B:$B,MATCH(B155,PRODUK!$A:$A,0))),"")</f>
        <v/>
      </c>
      <c r="D155" s="117"/>
      <c r="E155" s="79"/>
      <c r="F155" s="79"/>
      <c r="G155" s="79"/>
      <c r="H155" s="118">
        <f>IFERROR(IF(A155="",0,(E155+F155)*PARAM_OVERHEAD_PCT),0)</f>
        <v>0</v>
      </c>
      <c r="I155" s="118">
        <f t="shared" si="1"/>
        <v>0</v>
      </c>
      <c r="J155" s="118">
        <f t="shared" si="2"/>
        <v>0</v>
      </c>
      <c r="K155" s="119">
        <f t="array" ref="K155">IFERROR(IF(B155="",0,INDEX(PRODUK!$E:$E,MATCH(B155,PRODUK!$A:$A,0))),0)</f>
        <v>0</v>
      </c>
      <c r="L155" s="118" t="str">
        <f t="shared" si="3"/>
        <v>—</v>
      </c>
      <c r="M155" s="81" t="str">
        <f>IFERROR(IF(A155="","—",IF(D155=0,"—",IF(J155=0,"—",IF(J155&lt;=K155,"✓ OK",IF(J155&lt;=K155*(1+PARAM_HPP_TIPIS),"⚠ TIPIS","⚠ MAHAL"))))),  "—")</f>
        <v>—</v>
      </c>
    </row>
    <row r="156" ht="18.75" customHeight="1">
      <c r="A156" s="72"/>
      <c r="B156" s="72"/>
      <c r="C156" s="112" t="str">
        <f t="array" ref="C156">IFERROR(IF(B156="","",INDEX(PRODUK!$B:$B,MATCH(B156,PRODUK!$A:$A,0))),"")</f>
        <v/>
      </c>
      <c r="D156" s="113"/>
      <c r="E156" s="74"/>
      <c r="F156" s="74"/>
      <c r="G156" s="74"/>
      <c r="H156" s="114">
        <f>IFERROR(IF(A156="",0,(E156+F156)*PARAM_OVERHEAD_PCT),0)</f>
        <v>0</v>
      </c>
      <c r="I156" s="114">
        <f t="shared" si="1"/>
        <v>0</v>
      </c>
      <c r="J156" s="114">
        <f t="shared" si="2"/>
        <v>0</v>
      </c>
      <c r="K156" s="115">
        <f t="array" ref="K156">IFERROR(IF(B156="",0,INDEX(PRODUK!$E:$E,MATCH(B156,PRODUK!$A:$A,0))),0)</f>
        <v>0</v>
      </c>
      <c r="L156" s="114" t="str">
        <f t="shared" si="3"/>
        <v>—</v>
      </c>
      <c r="M156" s="76" t="str">
        <f>IFERROR(IF(A156="","—",IF(D156=0,"—",IF(J156=0,"—",IF(J156&lt;=K156,"✓ OK",IF(J156&lt;=K156*(1+PARAM_HPP_TIPIS),"⚠ TIPIS","⚠ MAHAL"))))),  "—")</f>
        <v>—</v>
      </c>
    </row>
    <row r="157" ht="18.75" customHeight="1">
      <c r="A157" s="77"/>
      <c r="B157" s="77"/>
      <c r="C157" s="116" t="str">
        <f t="array" ref="C157">IFERROR(IF(B157="","",INDEX(PRODUK!$B:$B,MATCH(B157,PRODUK!$A:$A,0))),"")</f>
        <v/>
      </c>
      <c r="D157" s="117"/>
      <c r="E157" s="79"/>
      <c r="F157" s="79"/>
      <c r="G157" s="79"/>
      <c r="H157" s="118">
        <f>IFERROR(IF(A157="",0,(E157+F157)*PARAM_OVERHEAD_PCT),0)</f>
        <v>0</v>
      </c>
      <c r="I157" s="118">
        <f t="shared" si="1"/>
        <v>0</v>
      </c>
      <c r="J157" s="118">
        <f t="shared" si="2"/>
        <v>0</v>
      </c>
      <c r="K157" s="119">
        <f t="array" ref="K157">IFERROR(IF(B157="",0,INDEX(PRODUK!$E:$E,MATCH(B157,PRODUK!$A:$A,0))),0)</f>
        <v>0</v>
      </c>
      <c r="L157" s="118" t="str">
        <f t="shared" si="3"/>
        <v>—</v>
      </c>
      <c r="M157" s="81" t="str">
        <f>IFERROR(IF(A157="","—",IF(D157=0,"—",IF(J157=0,"—",IF(J157&lt;=K157,"✓ OK",IF(J157&lt;=K157*(1+PARAM_HPP_TIPIS),"⚠ TIPIS","⚠ MAHAL"))))),  "—")</f>
        <v>—</v>
      </c>
    </row>
    <row r="158" ht="18.75" customHeight="1">
      <c r="A158" s="72"/>
      <c r="B158" s="72"/>
      <c r="C158" s="112" t="str">
        <f t="array" ref="C158">IFERROR(IF(B158="","",INDEX(PRODUK!$B:$B,MATCH(B158,PRODUK!$A:$A,0))),"")</f>
        <v/>
      </c>
      <c r="D158" s="113"/>
      <c r="E158" s="74"/>
      <c r="F158" s="74"/>
      <c r="G158" s="74"/>
      <c r="H158" s="114">
        <f>IFERROR(IF(A158="",0,(E158+F158)*PARAM_OVERHEAD_PCT),0)</f>
        <v>0</v>
      </c>
      <c r="I158" s="114">
        <f t="shared" si="1"/>
        <v>0</v>
      </c>
      <c r="J158" s="114">
        <f t="shared" si="2"/>
        <v>0</v>
      </c>
      <c r="K158" s="115">
        <f t="array" ref="K158">IFERROR(IF(B158="",0,INDEX(PRODUK!$E:$E,MATCH(B158,PRODUK!$A:$A,0))),0)</f>
        <v>0</v>
      </c>
      <c r="L158" s="114" t="str">
        <f t="shared" si="3"/>
        <v>—</v>
      </c>
      <c r="M158" s="76" t="str">
        <f>IFERROR(IF(A158="","—",IF(D158=0,"—",IF(J158=0,"—",IF(J158&lt;=K158,"✓ OK",IF(J158&lt;=K158*(1+PARAM_HPP_TIPIS),"⚠ TIPIS","⚠ MAHAL"))))),  "—")</f>
        <v>—</v>
      </c>
    </row>
    <row r="159" ht="18.75" customHeight="1">
      <c r="A159" s="77"/>
      <c r="B159" s="77"/>
      <c r="C159" s="116" t="str">
        <f t="array" ref="C159">IFERROR(IF(B159="","",INDEX(PRODUK!$B:$B,MATCH(B159,PRODUK!$A:$A,0))),"")</f>
        <v/>
      </c>
      <c r="D159" s="117"/>
      <c r="E159" s="79"/>
      <c r="F159" s="79"/>
      <c r="G159" s="79"/>
      <c r="H159" s="118">
        <f>IFERROR(IF(A159="",0,(E159+F159)*PARAM_OVERHEAD_PCT),0)</f>
        <v>0</v>
      </c>
      <c r="I159" s="118">
        <f t="shared" si="1"/>
        <v>0</v>
      </c>
      <c r="J159" s="118">
        <f t="shared" si="2"/>
        <v>0</v>
      </c>
      <c r="K159" s="119">
        <f t="array" ref="K159">IFERROR(IF(B159="",0,INDEX(PRODUK!$E:$E,MATCH(B159,PRODUK!$A:$A,0))),0)</f>
        <v>0</v>
      </c>
      <c r="L159" s="118" t="str">
        <f t="shared" si="3"/>
        <v>—</v>
      </c>
      <c r="M159" s="81" t="str">
        <f>IFERROR(IF(A159="","—",IF(D159=0,"—",IF(J159=0,"—",IF(J159&lt;=K159,"✓ OK",IF(J159&lt;=K159*(1+PARAM_HPP_TIPIS),"⚠ TIPIS","⚠ MAHAL"))))),  "—")</f>
        <v>—</v>
      </c>
    </row>
    <row r="160" ht="18.75" customHeight="1">
      <c r="A160" s="72"/>
      <c r="B160" s="72"/>
      <c r="C160" s="112" t="str">
        <f t="array" ref="C160">IFERROR(IF(B160="","",INDEX(PRODUK!$B:$B,MATCH(B160,PRODUK!$A:$A,0))),"")</f>
        <v/>
      </c>
      <c r="D160" s="113"/>
      <c r="E160" s="74"/>
      <c r="F160" s="74"/>
      <c r="G160" s="74"/>
      <c r="H160" s="114">
        <f>IFERROR(IF(A160="",0,(E160+F160)*PARAM_OVERHEAD_PCT),0)</f>
        <v>0</v>
      </c>
      <c r="I160" s="114">
        <f t="shared" si="1"/>
        <v>0</v>
      </c>
      <c r="J160" s="114">
        <f t="shared" si="2"/>
        <v>0</v>
      </c>
      <c r="K160" s="115">
        <f t="array" ref="K160">IFERROR(IF(B160="",0,INDEX(PRODUK!$E:$E,MATCH(B160,PRODUK!$A:$A,0))),0)</f>
        <v>0</v>
      </c>
      <c r="L160" s="114" t="str">
        <f t="shared" si="3"/>
        <v>—</v>
      </c>
      <c r="M160" s="76" t="str">
        <f>IFERROR(IF(A160="","—",IF(D160=0,"—",IF(J160=0,"—",IF(J160&lt;=K160,"✓ OK",IF(J160&lt;=K160*(1+PARAM_HPP_TIPIS),"⚠ TIPIS","⚠ MAHAL"))))),  "—")</f>
        <v>—</v>
      </c>
    </row>
    <row r="161" ht="18.75" customHeight="1">
      <c r="A161" s="77"/>
      <c r="B161" s="77"/>
      <c r="C161" s="116" t="str">
        <f t="array" ref="C161">IFERROR(IF(B161="","",INDEX(PRODUK!$B:$B,MATCH(B161,PRODUK!$A:$A,0))),"")</f>
        <v/>
      </c>
      <c r="D161" s="117"/>
      <c r="E161" s="79"/>
      <c r="F161" s="79"/>
      <c r="G161" s="79"/>
      <c r="H161" s="118">
        <f>IFERROR(IF(A161="",0,(E161+F161)*PARAM_OVERHEAD_PCT),0)</f>
        <v>0</v>
      </c>
      <c r="I161" s="118">
        <f t="shared" si="1"/>
        <v>0</v>
      </c>
      <c r="J161" s="118">
        <f t="shared" si="2"/>
        <v>0</v>
      </c>
      <c r="K161" s="119">
        <f t="array" ref="K161">IFERROR(IF(B161="",0,INDEX(PRODUK!$E:$E,MATCH(B161,PRODUK!$A:$A,0))),0)</f>
        <v>0</v>
      </c>
      <c r="L161" s="118" t="str">
        <f t="shared" si="3"/>
        <v>—</v>
      </c>
      <c r="M161" s="81" t="str">
        <f>IFERROR(IF(A161="","—",IF(D161=0,"—",IF(J161=0,"—",IF(J161&lt;=K161,"✓ OK",IF(J161&lt;=K161*(1+PARAM_HPP_TIPIS),"⚠ TIPIS","⚠ MAHAL"))))),  "—")</f>
        <v>—</v>
      </c>
    </row>
    <row r="162" ht="18.75" customHeight="1">
      <c r="A162" s="72"/>
      <c r="B162" s="72"/>
      <c r="C162" s="112" t="str">
        <f t="array" ref="C162">IFERROR(IF(B162="","",INDEX(PRODUK!$B:$B,MATCH(B162,PRODUK!$A:$A,0))),"")</f>
        <v/>
      </c>
      <c r="D162" s="113"/>
      <c r="E162" s="74"/>
      <c r="F162" s="74"/>
      <c r="G162" s="74"/>
      <c r="H162" s="114">
        <f>IFERROR(IF(A162="",0,(E162+F162)*PARAM_OVERHEAD_PCT),0)</f>
        <v>0</v>
      </c>
      <c r="I162" s="114">
        <f t="shared" si="1"/>
        <v>0</v>
      </c>
      <c r="J162" s="114">
        <f t="shared" si="2"/>
        <v>0</v>
      </c>
      <c r="K162" s="115">
        <f t="array" ref="K162">IFERROR(IF(B162="",0,INDEX(PRODUK!$E:$E,MATCH(B162,PRODUK!$A:$A,0))),0)</f>
        <v>0</v>
      </c>
      <c r="L162" s="114" t="str">
        <f t="shared" si="3"/>
        <v>—</v>
      </c>
      <c r="M162" s="76" t="str">
        <f>IFERROR(IF(A162="","—",IF(D162=0,"—",IF(J162=0,"—",IF(J162&lt;=K162,"✓ OK",IF(J162&lt;=K162*(1+PARAM_HPP_TIPIS),"⚠ TIPIS","⚠ MAHAL"))))),  "—")</f>
        <v>—</v>
      </c>
    </row>
    <row r="163" ht="18.75" customHeight="1">
      <c r="A163" s="77"/>
      <c r="B163" s="77"/>
      <c r="C163" s="116" t="str">
        <f t="array" ref="C163">IFERROR(IF(B163="","",INDEX(PRODUK!$B:$B,MATCH(B163,PRODUK!$A:$A,0))),"")</f>
        <v/>
      </c>
      <c r="D163" s="117"/>
      <c r="E163" s="79"/>
      <c r="F163" s="79"/>
      <c r="G163" s="79"/>
      <c r="H163" s="118">
        <f>IFERROR(IF(A163="",0,(E163+F163)*PARAM_OVERHEAD_PCT),0)</f>
        <v>0</v>
      </c>
      <c r="I163" s="118">
        <f t="shared" si="1"/>
        <v>0</v>
      </c>
      <c r="J163" s="118">
        <f t="shared" si="2"/>
        <v>0</v>
      </c>
      <c r="K163" s="119">
        <f t="array" ref="K163">IFERROR(IF(B163="",0,INDEX(PRODUK!$E:$E,MATCH(B163,PRODUK!$A:$A,0))),0)</f>
        <v>0</v>
      </c>
      <c r="L163" s="118" t="str">
        <f t="shared" si="3"/>
        <v>—</v>
      </c>
      <c r="M163" s="81" t="str">
        <f>IFERROR(IF(A163="","—",IF(D163=0,"—",IF(J163=0,"—",IF(J163&lt;=K163,"✓ OK",IF(J163&lt;=K163*(1+PARAM_HPP_TIPIS),"⚠ TIPIS","⚠ MAHAL"))))),  "—")</f>
        <v>—</v>
      </c>
    </row>
    <row r="164" ht="18.75" customHeight="1">
      <c r="A164" s="72"/>
      <c r="B164" s="72"/>
      <c r="C164" s="112" t="str">
        <f t="array" ref="C164">IFERROR(IF(B164="","",INDEX(PRODUK!$B:$B,MATCH(B164,PRODUK!$A:$A,0))),"")</f>
        <v/>
      </c>
      <c r="D164" s="113"/>
      <c r="E164" s="74"/>
      <c r="F164" s="74"/>
      <c r="G164" s="74"/>
      <c r="H164" s="114">
        <f>IFERROR(IF(A164="",0,(E164+F164)*PARAM_OVERHEAD_PCT),0)</f>
        <v>0</v>
      </c>
      <c r="I164" s="114">
        <f t="shared" si="1"/>
        <v>0</v>
      </c>
      <c r="J164" s="114">
        <f t="shared" si="2"/>
        <v>0</v>
      </c>
      <c r="K164" s="115">
        <f t="array" ref="K164">IFERROR(IF(B164="",0,INDEX(PRODUK!$E:$E,MATCH(B164,PRODUK!$A:$A,0))),0)</f>
        <v>0</v>
      </c>
      <c r="L164" s="114" t="str">
        <f t="shared" si="3"/>
        <v>—</v>
      </c>
      <c r="M164" s="76" t="str">
        <f>IFERROR(IF(A164="","—",IF(D164=0,"—",IF(J164=0,"—",IF(J164&lt;=K164,"✓ OK",IF(J164&lt;=K164*(1+PARAM_HPP_TIPIS),"⚠ TIPIS","⚠ MAHAL"))))),  "—")</f>
        <v>—</v>
      </c>
    </row>
    <row r="165" ht="18.75" customHeight="1">
      <c r="A165" s="77"/>
      <c r="B165" s="77"/>
      <c r="C165" s="116" t="str">
        <f t="array" ref="C165">IFERROR(IF(B165="","",INDEX(PRODUK!$B:$B,MATCH(B165,PRODUK!$A:$A,0))),"")</f>
        <v/>
      </c>
      <c r="D165" s="117"/>
      <c r="E165" s="79"/>
      <c r="F165" s="79"/>
      <c r="G165" s="79"/>
      <c r="H165" s="118">
        <f>IFERROR(IF(A165="",0,(E165+F165)*PARAM_OVERHEAD_PCT),0)</f>
        <v>0</v>
      </c>
      <c r="I165" s="118">
        <f t="shared" si="1"/>
        <v>0</v>
      </c>
      <c r="J165" s="118">
        <f t="shared" si="2"/>
        <v>0</v>
      </c>
      <c r="K165" s="119">
        <f t="array" ref="K165">IFERROR(IF(B165="",0,INDEX(PRODUK!$E:$E,MATCH(B165,PRODUK!$A:$A,0))),0)</f>
        <v>0</v>
      </c>
      <c r="L165" s="118" t="str">
        <f t="shared" si="3"/>
        <v>—</v>
      </c>
      <c r="M165" s="81" t="str">
        <f>IFERROR(IF(A165="","—",IF(D165=0,"—",IF(J165=0,"—",IF(J165&lt;=K165,"✓ OK",IF(J165&lt;=K165*(1+PARAM_HPP_TIPIS),"⚠ TIPIS","⚠ MAHAL"))))),  "—")</f>
        <v>—</v>
      </c>
    </row>
    <row r="166" ht="18.75" customHeight="1">
      <c r="A166" s="72"/>
      <c r="B166" s="72"/>
      <c r="C166" s="112" t="str">
        <f t="array" ref="C166">IFERROR(IF(B166="","",INDEX(PRODUK!$B:$B,MATCH(B166,PRODUK!$A:$A,0))),"")</f>
        <v/>
      </c>
      <c r="D166" s="113"/>
      <c r="E166" s="74"/>
      <c r="F166" s="74"/>
      <c r="G166" s="74"/>
      <c r="H166" s="114">
        <f>IFERROR(IF(A166="",0,(E166+F166)*PARAM_OVERHEAD_PCT),0)</f>
        <v>0</v>
      </c>
      <c r="I166" s="114">
        <f t="shared" si="1"/>
        <v>0</v>
      </c>
      <c r="J166" s="114">
        <f t="shared" si="2"/>
        <v>0</v>
      </c>
      <c r="K166" s="115">
        <f t="array" ref="K166">IFERROR(IF(B166="",0,INDEX(PRODUK!$E:$E,MATCH(B166,PRODUK!$A:$A,0))),0)</f>
        <v>0</v>
      </c>
      <c r="L166" s="114" t="str">
        <f t="shared" si="3"/>
        <v>—</v>
      </c>
      <c r="M166" s="76" t="str">
        <f>IFERROR(IF(A166="","—",IF(D166=0,"—",IF(J166=0,"—",IF(J166&lt;=K166,"✓ OK",IF(J166&lt;=K166*(1+PARAM_HPP_TIPIS),"⚠ TIPIS","⚠ MAHAL"))))),  "—")</f>
        <v>—</v>
      </c>
    </row>
    <row r="167" ht="18.75" customHeight="1">
      <c r="A167" s="77"/>
      <c r="B167" s="77"/>
      <c r="C167" s="116" t="str">
        <f t="array" ref="C167">IFERROR(IF(B167="","",INDEX(PRODUK!$B:$B,MATCH(B167,PRODUK!$A:$A,0))),"")</f>
        <v/>
      </c>
      <c r="D167" s="117"/>
      <c r="E167" s="79"/>
      <c r="F167" s="79"/>
      <c r="G167" s="79"/>
      <c r="H167" s="118">
        <f>IFERROR(IF(A167="",0,(E167+F167)*PARAM_OVERHEAD_PCT),0)</f>
        <v>0</v>
      </c>
      <c r="I167" s="118">
        <f t="shared" si="1"/>
        <v>0</v>
      </c>
      <c r="J167" s="118">
        <f t="shared" si="2"/>
        <v>0</v>
      </c>
      <c r="K167" s="119">
        <f t="array" ref="K167">IFERROR(IF(B167="",0,INDEX(PRODUK!$E:$E,MATCH(B167,PRODUK!$A:$A,0))),0)</f>
        <v>0</v>
      </c>
      <c r="L167" s="118" t="str">
        <f t="shared" si="3"/>
        <v>—</v>
      </c>
      <c r="M167" s="81" t="str">
        <f>IFERROR(IF(A167="","—",IF(D167=0,"—",IF(J167=0,"—",IF(J167&lt;=K167,"✓ OK",IF(J167&lt;=K167*(1+PARAM_HPP_TIPIS),"⚠ TIPIS","⚠ MAHAL"))))),  "—")</f>
        <v>—</v>
      </c>
    </row>
    <row r="168" ht="18.75" customHeight="1">
      <c r="A168" s="72"/>
      <c r="B168" s="72"/>
      <c r="C168" s="112" t="str">
        <f t="array" ref="C168">IFERROR(IF(B168="","",INDEX(PRODUK!$B:$B,MATCH(B168,PRODUK!$A:$A,0))),"")</f>
        <v/>
      </c>
      <c r="D168" s="113"/>
      <c r="E168" s="74"/>
      <c r="F168" s="74"/>
      <c r="G168" s="74"/>
      <c r="H168" s="114">
        <f>IFERROR(IF(A168="",0,(E168+F168)*PARAM_OVERHEAD_PCT),0)</f>
        <v>0</v>
      </c>
      <c r="I168" s="114">
        <f t="shared" si="1"/>
        <v>0</v>
      </c>
      <c r="J168" s="114">
        <f t="shared" si="2"/>
        <v>0</v>
      </c>
      <c r="K168" s="115">
        <f t="array" ref="K168">IFERROR(IF(B168="",0,INDEX(PRODUK!$E:$E,MATCH(B168,PRODUK!$A:$A,0))),0)</f>
        <v>0</v>
      </c>
      <c r="L168" s="114" t="str">
        <f t="shared" si="3"/>
        <v>—</v>
      </c>
      <c r="M168" s="76" t="str">
        <f>IFERROR(IF(A168="","—",IF(D168=0,"—",IF(J168=0,"—",IF(J168&lt;=K168,"✓ OK",IF(J168&lt;=K168*(1+PARAM_HPP_TIPIS),"⚠ TIPIS","⚠ MAHAL"))))),  "—")</f>
        <v>—</v>
      </c>
    </row>
    <row r="169" ht="18.75" customHeight="1">
      <c r="A169" s="77"/>
      <c r="B169" s="77"/>
      <c r="C169" s="116" t="str">
        <f t="array" ref="C169">IFERROR(IF(B169="","",INDEX(PRODUK!$B:$B,MATCH(B169,PRODUK!$A:$A,0))),"")</f>
        <v/>
      </c>
      <c r="D169" s="117"/>
      <c r="E169" s="79"/>
      <c r="F169" s="79"/>
      <c r="G169" s="79"/>
      <c r="H169" s="118">
        <f>IFERROR(IF(A169="",0,(E169+F169)*PARAM_OVERHEAD_PCT),0)</f>
        <v>0</v>
      </c>
      <c r="I169" s="118">
        <f t="shared" si="1"/>
        <v>0</v>
      </c>
      <c r="J169" s="118">
        <f t="shared" si="2"/>
        <v>0</v>
      </c>
      <c r="K169" s="119">
        <f t="array" ref="K169">IFERROR(IF(B169="",0,INDEX(PRODUK!$E:$E,MATCH(B169,PRODUK!$A:$A,0))),0)</f>
        <v>0</v>
      </c>
      <c r="L169" s="118" t="str">
        <f t="shared" si="3"/>
        <v>—</v>
      </c>
      <c r="M169" s="81" t="str">
        <f>IFERROR(IF(A169="","—",IF(D169=0,"—",IF(J169=0,"—",IF(J169&lt;=K169,"✓ OK",IF(J169&lt;=K169*(1+PARAM_HPP_TIPIS),"⚠ TIPIS","⚠ MAHAL"))))),  "—")</f>
        <v>—</v>
      </c>
    </row>
    <row r="170" ht="18.75" customHeight="1">
      <c r="A170" s="72"/>
      <c r="B170" s="72"/>
      <c r="C170" s="112" t="str">
        <f t="array" ref="C170">IFERROR(IF(B170="","",INDEX(PRODUK!$B:$B,MATCH(B170,PRODUK!$A:$A,0))),"")</f>
        <v/>
      </c>
      <c r="D170" s="113"/>
      <c r="E170" s="74"/>
      <c r="F170" s="74"/>
      <c r="G170" s="74"/>
      <c r="H170" s="114">
        <f>IFERROR(IF(A170="",0,(E170+F170)*PARAM_OVERHEAD_PCT),0)</f>
        <v>0</v>
      </c>
      <c r="I170" s="114">
        <f t="shared" si="1"/>
        <v>0</v>
      </c>
      <c r="J170" s="114">
        <f t="shared" si="2"/>
        <v>0</v>
      </c>
      <c r="K170" s="115">
        <f t="array" ref="K170">IFERROR(IF(B170="",0,INDEX(PRODUK!$E:$E,MATCH(B170,PRODUK!$A:$A,0))),0)</f>
        <v>0</v>
      </c>
      <c r="L170" s="114" t="str">
        <f t="shared" si="3"/>
        <v>—</v>
      </c>
      <c r="M170" s="76" t="str">
        <f>IFERROR(IF(A170="","—",IF(D170=0,"—",IF(J170=0,"—",IF(J170&lt;=K170,"✓ OK",IF(J170&lt;=K170*(1+PARAM_HPP_TIPIS),"⚠ TIPIS","⚠ MAHAL"))))),  "—")</f>
        <v>—</v>
      </c>
    </row>
    <row r="171" ht="18.75" customHeight="1">
      <c r="A171" s="77"/>
      <c r="B171" s="77"/>
      <c r="C171" s="116" t="str">
        <f t="array" ref="C171">IFERROR(IF(B171="","",INDEX(PRODUK!$B:$B,MATCH(B171,PRODUK!$A:$A,0))),"")</f>
        <v/>
      </c>
      <c r="D171" s="117"/>
      <c r="E171" s="79"/>
      <c r="F171" s="79"/>
      <c r="G171" s="79"/>
      <c r="H171" s="118">
        <f>IFERROR(IF(A171="",0,(E171+F171)*PARAM_OVERHEAD_PCT),0)</f>
        <v>0</v>
      </c>
      <c r="I171" s="118">
        <f t="shared" si="1"/>
        <v>0</v>
      </c>
      <c r="J171" s="118">
        <f t="shared" si="2"/>
        <v>0</v>
      </c>
      <c r="K171" s="119">
        <f t="array" ref="K171">IFERROR(IF(B171="",0,INDEX(PRODUK!$E:$E,MATCH(B171,PRODUK!$A:$A,0))),0)</f>
        <v>0</v>
      </c>
      <c r="L171" s="118" t="str">
        <f t="shared" si="3"/>
        <v>—</v>
      </c>
      <c r="M171" s="81" t="str">
        <f>IFERROR(IF(A171="","—",IF(D171=0,"—",IF(J171=0,"—",IF(J171&lt;=K171,"✓ OK",IF(J171&lt;=K171*(1+PARAM_HPP_TIPIS),"⚠ TIPIS","⚠ MAHAL"))))),  "—")</f>
        <v>—</v>
      </c>
    </row>
    <row r="172" ht="18.75" customHeight="1">
      <c r="A172" s="72"/>
      <c r="B172" s="72"/>
      <c r="C172" s="112" t="str">
        <f t="array" ref="C172">IFERROR(IF(B172="","",INDEX(PRODUK!$B:$B,MATCH(B172,PRODUK!$A:$A,0))),"")</f>
        <v/>
      </c>
      <c r="D172" s="113"/>
      <c r="E172" s="74"/>
      <c r="F172" s="74"/>
      <c r="G172" s="74"/>
      <c r="H172" s="114">
        <f>IFERROR(IF(A172="",0,(E172+F172)*PARAM_OVERHEAD_PCT),0)</f>
        <v>0</v>
      </c>
      <c r="I172" s="114">
        <f t="shared" si="1"/>
        <v>0</v>
      </c>
      <c r="J172" s="114">
        <f t="shared" si="2"/>
        <v>0</v>
      </c>
      <c r="K172" s="115">
        <f t="array" ref="K172">IFERROR(IF(B172="",0,INDEX(PRODUK!$E:$E,MATCH(B172,PRODUK!$A:$A,0))),0)</f>
        <v>0</v>
      </c>
      <c r="L172" s="114" t="str">
        <f t="shared" si="3"/>
        <v>—</v>
      </c>
      <c r="M172" s="76" t="str">
        <f>IFERROR(IF(A172="","—",IF(D172=0,"—",IF(J172=0,"—",IF(J172&lt;=K172,"✓ OK",IF(J172&lt;=K172*(1+PARAM_HPP_TIPIS),"⚠ TIPIS","⚠ MAHAL"))))),  "—")</f>
        <v>—</v>
      </c>
    </row>
    <row r="173" ht="18.75" customHeight="1">
      <c r="A173" s="77"/>
      <c r="B173" s="77"/>
      <c r="C173" s="116" t="str">
        <f t="array" ref="C173">IFERROR(IF(B173="","",INDEX(PRODUK!$B:$B,MATCH(B173,PRODUK!$A:$A,0))),"")</f>
        <v/>
      </c>
      <c r="D173" s="117"/>
      <c r="E173" s="79"/>
      <c r="F173" s="79"/>
      <c r="G173" s="79"/>
      <c r="H173" s="118">
        <f>IFERROR(IF(A173="",0,(E173+F173)*PARAM_OVERHEAD_PCT),0)</f>
        <v>0</v>
      </c>
      <c r="I173" s="118">
        <f t="shared" si="1"/>
        <v>0</v>
      </c>
      <c r="J173" s="118">
        <f t="shared" si="2"/>
        <v>0</v>
      </c>
      <c r="K173" s="119">
        <f t="array" ref="K173">IFERROR(IF(B173="",0,INDEX(PRODUK!$E:$E,MATCH(B173,PRODUK!$A:$A,0))),0)</f>
        <v>0</v>
      </c>
      <c r="L173" s="118" t="str">
        <f t="shared" si="3"/>
        <v>—</v>
      </c>
      <c r="M173" s="81" t="str">
        <f>IFERROR(IF(A173="","—",IF(D173=0,"—",IF(J173=0,"—",IF(J173&lt;=K173,"✓ OK",IF(J173&lt;=K173*(1+PARAM_HPP_TIPIS),"⚠ TIPIS","⚠ MAHAL"))))),  "—")</f>
        <v>—</v>
      </c>
    </row>
    <row r="174" ht="18.75" customHeight="1">
      <c r="A174" s="72"/>
      <c r="B174" s="72"/>
      <c r="C174" s="112" t="str">
        <f t="array" ref="C174">IFERROR(IF(B174="","",INDEX(PRODUK!$B:$B,MATCH(B174,PRODUK!$A:$A,0))),"")</f>
        <v/>
      </c>
      <c r="D174" s="113"/>
      <c r="E174" s="74"/>
      <c r="F174" s="74"/>
      <c r="G174" s="74"/>
      <c r="H174" s="114">
        <f>IFERROR(IF(A174="",0,(E174+F174)*PARAM_OVERHEAD_PCT),0)</f>
        <v>0</v>
      </c>
      <c r="I174" s="114">
        <f t="shared" si="1"/>
        <v>0</v>
      </c>
      <c r="J174" s="114">
        <f t="shared" si="2"/>
        <v>0</v>
      </c>
      <c r="K174" s="115">
        <f t="array" ref="K174">IFERROR(IF(B174="",0,INDEX(PRODUK!$E:$E,MATCH(B174,PRODUK!$A:$A,0))),0)</f>
        <v>0</v>
      </c>
      <c r="L174" s="114" t="str">
        <f t="shared" si="3"/>
        <v>—</v>
      </c>
      <c r="M174" s="76" t="str">
        <f>IFERROR(IF(A174="","—",IF(D174=0,"—",IF(J174=0,"—",IF(J174&lt;=K174,"✓ OK",IF(J174&lt;=K174*(1+PARAM_HPP_TIPIS),"⚠ TIPIS","⚠ MAHAL"))))),  "—")</f>
        <v>—</v>
      </c>
    </row>
    <row r="175" ht="18.75" customHeight="1">
      <c r="A175" s="77"/>
      <c r="B175" s="77"/>
      <c r="C175" s="116" t="str">
        <f t="array" ref="C175">IFERROR(IF(B175="","",INDEX(PRODUK!$B:$B,MATCH(B175,PRODUK!$A:$A,0))),"")</f>
        <v/>
      </c>
      <c r="D175" s="117"/>
      <c r="E175" s="79"/>
      <c r="F175" s="79"/>
      <c r="G175" s="79"/>
      <c r="H175" s="118">
        <f>IFERROR(IF(A175="",0,(E175+F175)*PARAM_OVERHEAD_PCT),0)</f>
        <v>0</v>
      </c>
      <c r="I175" s="118">
        <f t="shared" si="1"/>
        <v>0</v>
      </c>
      <c r="J175" s="118">
        <f t="shared" si="2"/>
        <v>0</v>
      </c>
      <c r="K175" s="119">
        <f t="array" ref="K175">IFERROR(IF(B175="",0,INDEX(PRODUK!$E:$E,MATCH(B175,PRODUK!$A:$A,0))),0)</f>
        <v>0</v>
      </c>
      <c r="L175" s="118" t="str">
        <f t="shared" si="3"/>
        <v>—</v>
      </c>
      <c r="M175" s="81" t="str">
        <f>IFERROR(IF(A175="","—",IF(D175=0,"—",IF(J175=0,"—",IF(J175&lt;=K175,"✓ OK",IF(J175&lt;=K175*(1+PARAM_HPP_TIPIS),"⚠ TIPIS","⚠ MAHAL"))))),  "—")</f>
        <v>—</v>
      </c>
    </row>
    <row r="176" ht="18.75" customHeight="1">
      <c r="A176" s="72"/>
      <c r="B176" s="72"/>
      <c r="C176" s="112" t="str">
        <f t="array" ref="C176">IFERROR(IF(B176="","",INDEX(PRODUK!$B:$B,MATCH(B176,PRODUK!$A:$A,0))),"")</f>
        <v/>
      </c>
      <c r="D176" s="113"/>
      <c r="E176" s="74"/>
      <c r="F176" s="74"/>
      <c r="G176" s="74"/>
      <c r="H176" s="114">
        <f>IFERROR(IF(A176="",0,(E176+F176)*PARAM_OVERHEAD_PCT),0)</f>
        <v>0</v>
      </c>
      <c r="I176" s="114">
        <f t="shared" si="1"/>
        <v>0</v>
      </c>
      <c r="J176" s="114">
        <f t="shared" si="2"/>
        <v>0</v>
      </c>
      <c r="K176" s="115">
        <f t="array" ref="K176">IFERROR(IF(B176="",0,INDEX(PRODUK!$E:$E,MATCH(B176,PRODUK!$A:$A,0))),0)</f>
        <v>0</v>
      </c>
      <c r="L176" s="114" t="str">
        <f t="shared" si="3"/>
        <v>—</v>
      </c>
      <c r="M176" s="76" t="str">
        <f>IFERROR(IF(A176="","—",IF(D176=0,"—",IF(J176=0,"—",IF(J176&lt;=K176,"✓ OK",IF(J176&lt;=K176*(1+PARAM_HPP_TIPIS),"⚠ TIPIS","⚠ MAHAL"))))),  "—")</f>
        <v>—</v>
      </c>
    </row>
    <row r="177" ht="18.75" customHeight="1">
      <c r="A177" s="77"/>
      <c r="B177" s="77"/>
      <c r="C177" s="116" t="str">
        <f t="array" ref="C177">IFERROR(IF(B177="","",INDEX(PRODUK!$B:$B,MATCH(B177,PRODUK!$A:$A,0))),"")</f>
        <v/>
      </c>
      <c r="D177" s="117"/>
      <c r="E177" s="79"/>
      <c r="F177" s="79"/>
      <c r="G177" s="79"/>
      <c r="H177" s="118">
        <f>IFERROR(IF(A177="",0,(E177+F177)*PARAM_OVERHEAD_PCT),0)</f>
        <v>0</v>
      </c>
      <c r="I177" s="118">
        <f t="shared" si="1"/>
        <v>0</v>
      </c>
      <c r="J177" s="118">
        <f t="shared" si="2"/>
        <v>0</v>
      </c>
      <c r="K177" s="119">
        <f t="array" ref="K177">IFERROR(IF(B177="",0,INDEX(PRODUK!$E:$E,MATCH(B177,PRODUK!$A:$A,0))),0)</f>
        <v>0</v>
      </c>
      <c r="L177" s="118" t="str">
        <f t="shared" si="3"/>
        <v>—</v>
      </c>
      <c r="M177" s="81" t="str">
        <f>IFERROR(IF(A177="","—",IF(D177=0,"—",IF(J177=0,"—",IF(J177&lt;=K177,"✓ OK",IF(J177&lt;=K177*(1+PARAM_HPP_TIPIS),"⚠ TIPIS","⚠ MAHAL"))))),  "—")</f>
        <v>—</v>
      </c>
    </row>
    <row r="178" ht="18.75" customHeight="1">
      <c r="A178" s="72"/>
      <c r="B178" s="72"/>
      <c r="C178" s="112" t="str">
        <f t="array" ref="C178">IFERROR(IF(B178="","",INDEX(PRODUK!$B:$B,MATCH(B178,PRODUK!$A:$A,0))),"")</f>
        <v/>
      </c>
      <c r="D178" s="113"/>
      <c r="E178" s="74"/>
      <c r="F178" s="74"/>
      <c r="G178" s="74"/>
      <c r="H178" s="114">
        <f>IFERROR(IF(A178="",0,(E178+F178)*PARAM_OVERHEAD_PCT),0)</f>
        <v>0</v>
      </c>
      <c r="I178" s="114">
        <f t="shared" si="1"/>
        <v>0</v>
      </c>
      <c r="J178" s="114">
        <f t="shared" si="2"/>
        <v>0</v>
      </c>
      <c r="K178" s="115">
        <f t="array" ref="K178">IFERROR(IF(B178="",0,INDEX(PRODUK!$E:$E,MATCH(B178,PRODUK!$A:$A,0))),0)</f>
        <v>0</v>
      </c>
      <c r="L178" s="114" t="str">
        <f t="shared" si="3"/>
        <v>—</v>
      </c>
      <c r="M178" s="76" t="str">
        <f>IFERROR(IF(A178="","—",IF(D178=0,"—",IF(J178=0,"—",IF(J178&lt;=K178,"✓ OK",IF(J178&lt;=K178*(1+PARAM_HPP_TIPIS),"⚠ TIPIS","⚠ MAHAL"))))),  "—")</f>
        <v>—</v>
      </c>
    </row>
    <row r="179" ht="18.75" customHeight="1">
      <c r="A179" s="77"/>
      <c r="B179" s="77"/>
      <c r="C179" s="116" t="str">
        <f t="array" ref="C179">IFERROR(IF(B179="","",INDEX(PRODUK!$B:$B,MATCH(B179,PRODUK!$A:$A,0))),"")</f>
        <v/>
      </c>
      <c r="D179" s="117"/>
      <c r="E179" s="79"/>
      <c r="F179" s="79"/>
      <c r="G179" s="79"/>
      <c r="H179" s="118">
        <f>IFERROR(IF(A179="",0,(E179+F179)*PARAM_OVERHEAD_PCT),0)</f>
        <v>0</v>
      </c>
      <c r="I179" s="118">
        <f t="shared" si="1"/>
        <v>0</v>
      </c>
      <c r="J179" s="118">
        <f t="shared" si="2"/>
        <v>0</v>
      </c>
      <c r="K179" s="119">
        <f t="array" ref="K179">IFERROR(IF(B179="",0,INDEX(PRODUK!$E:$E,MATCH(B179,PRODUK!$A:$A,0))),0)</f>
        <v>0</v>
      </c>
      <c r="L179" s="118" t="str">
        <f t="shared" si="3"/>
        <v>—</v>
      </c>
      <c r="M179" s="81" t="str">
        <f>IFERROR(IF(A179="","—",IF(D179=0,"—",IF(J179=0,"—",IF(J179&lt;=K179,"✓ OK",IF(J179&lt;=K179*(1+PARAM_HPP_TIPIS),"⚠ TIPIS","⚠ MAHAL"))))),  "—")</f>
        <v>—</v>
      </c>
    </row>
    <row r="180" ht="18.75" customHeight="1">
      <c r="A180" s="72"/>
      <c r="B180" s="72"/>
      <c r="C180" s="112" t="str">
        <f t="array" ref="C180">IFERROR(IF(B180="","",INDEX(PRODUK!$B:$B,MATCH(B180,PRODUK!$A:$A,0))),"")</f>
        <v/>
      </c>
      <c r="D180" s="113"/>
      <c r="E180" s="74"/>
      <c r="F180" s="74"/>
      <c r="G180" s="74"/>
      <c r="H180" s="114">
        <f>IFERROR(IF(A180="",0,(E180+F180)*PARAM_OVERHEAD_PCT),0)</f>
        <v>0</v>
      </c>
      <c r="I180" s="114">
        <f t="shared" si="1"/>
        <v>0</v>
      </c>
      <c r="J180" s="114">
        <f t="shared" si="2"/>
        <v>0</v>
      </c>
      <c r="K180" s="115">
        <f t="array" ref="K180">IFERROR(IF(B180="",0,INDEX(PRODUK!$E:$E,MATCH(B180,PRODUK!$A:$A,0))),0)</f>
        <v>0</v>
      </c>
      <c r="L180" s="114" t="str">
        <f t="shared" si="3"/>
        <v>—</v>
      </c>
      <c r="M180" s="76" t="str">
        <f>IFERROR(IF(A180="","—",IF(D180=0,"—",IF(J180=0,"—",IF(J180&lt;=K180,"✓ OK",IF(J180&lt;=K180*(1+PARAM_HPP_TIPIS),"⚠ TIPIS","⚠ MAHAL"))))),  "—")</f>
        <v>—</v>
      </c>
    </row>
    <row r="181" ht="18.75" customHeight="1">
      <c r="A181" s="77"/>
      <c r="B181" s="77"/>
      <c r="C181" s="116" t="str">
        <f t="array" ref="C181">IFERROR(IF(B181="","",INDEX(PRODUK!$B:$B,MATCH(B181,PRODUK!$A:$A,0))),"")</f>
        <v/>
      </c>
      <c r="D181" s="117"/>
      <c r="E181" s="79"/>
      <c r="F181" s="79"/>
      <c r="G181" s="79"/>
      <c r="H181" s="118">
        <f>IFERROR(IF(A181="",0,(E181+F181)*PARAM_OVERHEAD_PCT),0)</f>
        <v>0</v>
      </c>
      <c r="I181" s="118">
        <f t="shared" si="1"/>
        <v>0</v>
      </c>
      <c r="J181" s="118">
        <f t="shared" si="2"/>
        <v>0</v>
      </c>
      <c r="K181" s="119">
        <f t="array" ref="K181">IFERROR(IF(B181="",0,INDEX(PRODUK!$E:$E,MATCH(B181,PRODUK!$A:$A,0))),0)</f>
        <v>0</v>
      </c>
      <c r="L181" s="118" t="str">
        <f t="shared" si="3"/>
        <v>—</v>
      </c>
      <c r="M181" s="81" t="str">
        <f>IFERROR(IF(A181="","—",IF(D181=0,"—",IF(J181=0,"—",IF(J181&lt;=K181,"✓ OK",IF(J181&lt;=K181*(1+PARAM_HPP_TIPIS),"⚠ TIPIS","⚠ MAHAL"))))),  "—")</f>
        <v>—</v>
      </c>
    </row>
    <row r="182" ht="18.75" customHeight="1">
      <c r="A182" s="72"/>
      <c r="B182" s="72"/>
      <c r="C182" s="112" t="str">
        <f t="array" ref="C182">IFERROR(IF(B182="","",INDEX(PRODUK!$B:$B,MATCH(B182,PRODUK!$A:$A,0))),"")</f>
        <v/>
      </c>
      <c r="D182" s="113"/>
      <c r="E182" s="74"/>
      <c r="F182" s="74"/>
      <c r="G182" s="74"/>
      <c r="H182" s="114">
        <f>IFERROR(IF(A182="",0,(E182+F182)*PARAM_OVERHEAD_PCT),0)</f>
        <v>0</v>
      </c>
      <c r="I182" s="114">
        <f t="shared" si="1"/>
        <v>0</v>
      </c>
      <c r="J182" s="114">
        <f t="shared" si="2"/>
        <v>0</v>
      </c>
      <c r="K182" s="115">
        <f t="array" ref="K182">IFERROR(IF(B182="",0,INDEX(PRODUK!$E:$E,MATCH(B182,PRODUK!$A:$A,0))),0)</f>
        <v>0</v>
      </c>
      <c r="L182" s="114" t="str">
        <f t="shared" si="3"/>
        <v>—</v>
      </c>
      <c r="M182" s="76" t="str">
        <f>IFERROR(IF(A182="","—",IF(D182=0,"—",IF(J182=0,"—",IF(J182&lt;=K182,"✓ OK",IF(J182&lt;=K182*(1+PARAM_HPP_TIPIS),"⚠ TIPIS","⚠ MAHAL"))))),  "—")</f>
        <v>—</v>
      </c>
    </row>
    <row r="183" ht="18.75" customHeight="1">
      <c r="A183" s="77"/>
      <c r="B183" s="77"/>
      <c r="C183" s="116" t="str">
        <f t="array" ref="C183">IFERROR(IF(B183="","",INDEX(PRODUK!$B:$B,MATCH(B183,PRODUK!$A:$A,0))),"")</f>
        <v/>
      </c>
      <c r="D183" s="117"/>
      <c r="E183" s="79"/>
      <c r="F183" s="79"/>
      <c r="G183" s="79"/>
      <c r="H183" s="118">
        <f>IFERROR(IF(A183="",0,(E183+F183)*PARAM_OVERHEAD_PCT),0)</f>
        <v>0</v>
      </c>
      <c r="I183" s="118">
        <f t="shared" si="1"/>
        <v>0</v>
      </c>
      <c r="J183" s="118">
        <f t="shared" si="2"/>
        <v>0</v>
      </c>
      <c r="K183" s="119">
        <f t="array" ref="K183">IFERROR(IF(B183="",0,INDEX(PRODUK!$E:$E,MATCH(B183,PRODUK!$A:$A,0))),0)</f>
        <v>0</v>
      </c>
      <c r="L183" s="118" t="str">
        <f t="shared" si="3"/>
        <v>—</v>
      </c>
      <c r="M183" s="81" t="str">
        <f>IFERROR(IF(A183="","—",IF(D183=0,"—",IF(J183=0,"—",IF(J183&lt;=K183,"✓ OK",IF(J183&lt;=K183*(1+PARAM_HPP_TIPIS),"⚠ TIPIS","⚠ MAHAL"))))),  "—")</f>
        <v>—</v>
      </c>
    </row>
    <row r="184" ht="18.75" customHeight="1">
      <c r="A184" s="72"/>
      <c r="B184" s="72"/>
      <c r="C184" s="112" t="str">
        <f t="array" ref="C184">IFERROR(IF(B184="","",INDEX(PRODUK!$B:$B,MATCH(B184,PRODUK!$A:$A,0))),"")</f>
        <v/>
      </c>
      <c r="D184" s="113"/>
      <c r="E184" s="74"/>
      <c r="F184" s="74"/>
      <c r="G184" s="74"/>
      <c r="H184" s="114">
        <f>IFERROR(IF(A184="",0,(E184+F184)*PARAM_OVERHEAD_PCT),0)</f>
        <v>0</v>
      </c>
      <c r="I184" s="114">
        <f t="shared" si="1"/>
        <v>0</v>
      </c>
      <c r="J184" s="114">
        <f t="shared" si="2"/>
        <v>0</v>
      </c>
      <c r="K184" s="115">
        <f t="array" ref="K184">IFERROR(IF(B184="",0,INDEX(PRODUK!$E:$E,MATCH(B184,PRODUK!$A:$A,0))),0)</f>
        <v>0</v>
      </c>
      <c r="L184" s="114" t="str">
        <f t="shared" si="3"/>
        <v>—</v>
      </c>
      <c r="M184" s="76" t="str">
        <f>IFERROR(IF(A184="","—",IF(D184=0,"—",IF(J184=0,"—",IF(J184&lt;=K184,"✓ OK",IF(J184&lt;=K184*(1+PARAM_HPP_TIPIS),"⚠ TIPIS","⚠ MAHAL"))))),  "—")</f>
        <v>—</v>
      </c>
    </row>
    <row r="185" ht="18.75" customHeight="1">
      <c r="A185" s="77"/>
      <c r="B185" s="77"/>
      <c r="C185" s="116" t="str">
        <f t="array" ref="C185">IFERROR(IF(B185="","",INDEX(PRODUK!$B:$B,MATCH(B185,PRODUK!$A:$A,0))),"")</f>
        <v/>
      </c>
      <c r="D185" s="117"/>
      <c r="E185" s="79"/>
      <c r="F185" s="79"/>
      <c r="G185" s="79"/>
      <c r="H185" s="118">
        <f>IFERROR(IF(A185="",0,(E185+F185)*PARAM_OVERHEAD_PCT),0)</f>
        <v>0</v>
      </c>
      <c r="I185" s="118">
        <f t="shared" si="1"/>
        <v>0</v>
      </c>
      <c r="J185" s="118">
        <f t="shared" si="2"/>
        <v>0</v>
      </c>
      <c r="K185" s="119">
        <f t="array" ref="K185">IFERROR(IF(B185="",0,INDEX(PRODUK!$E:$E,MATCH(B185,PRODUK!$A:$A,0))),0)</f>
        <v>0</v>
      </c>
      <c r="L185" s="118" t="str">
        <f t="shared" si="3"/>
        <v>—</v>
      </c>
      <c r="M185" s="81" t="str">
        <f>IFERROR(IF(A185="","—",IF(D185=0,"—",IF(J185=0,"—",IF(J185&lt;=K185,"✓ OK",IF(J185&lt;=K185*(1+PARAM_HPP_TIPIS),"⚠ TIPIS","⚠ MAHAL"))))),  "—")</f>
        <v>—</v>
      </c>
    </row>
    <row r="186" ht="18.75" customHeight="1">
      <c r="A186" s="72"/>
      <c r="B186" s="72"/>
      <c r="C186" s="112" t="str">
        <f t="array" ref="C186">IFERROR(IF(B186="","",INDEX(PRODUK!$B:$B,MATCH(B186,PRODUK!$A:$A,0))),"")</f>
        <v/>
      </c>
      <c r="D186" s="113"/>
      <c r="E186" s="74"/>
      <c r="F186" s="74"/>
      <c r="G186" s="74"/>
      <c r="H186" s="114">
        <f>IFERROR(IF(A186="",0,(E186+F186)*PARAM_OVERHEAD_PCT),0)</f>
        <v>0</v>
      </c>
      <c r="I186" s="114">
        <f t="shared" si="1"/>
        <v>0</v>
      </c>
      <c r="J186" s="114">
        <f t="shared" si="2"/>
        <v>0</v>
      </c>
      <c r="K186" s="115">
        <f t="array" ref="K186">IFERROR(IF(B186="",0,INDEX(PRODUK!$E:$E,MATCH(B186,PRODUK!$A:$A,0))),0)</f>
        <v>0</v>
      </c>
      <c r="L186" s="114" t="str">
        <f t="shared" si="3"/>
        <v>—</v>
      </c>
      <c r="M186" s="76" t="str">
        <f>IFERROR(IF(A186="","—",IF(D186=0,"—",IF(J186=0,"—",IF(J186&lt;=K186,"✓ OK",IF(J186&lt;=K186*(1+PARAM_HPP_TIPIS),"⚠ TIPIS","⚠ MAHAL"))))),  "—")</f>
        <v>—</v>
      </c>
    </row>
    <row r="187" ht="18.75" customHeight="1">
      <c r="A187" s="77"/>
      <c r="B187" s="77"/>
      <c r="C187" s="116" t="str">
        <f t="array" ref="C187">IFERROR(IF(B187="","",INDEX(PRODUK!$B:$B,MATCH(B187,PRODUK!$A:$A,0))),"")</f>
        <v/>
      </c>
      <c r="D187" s="117"/>
      <c r="E187" s="79"/>
      <c r="F187" s="79"/>
      <c r="G187" s="79"/>
      <c r="H187" s="118">
        <f>IFERROR(IF(A187="",0,(E187+F187)*PARAM_OVERHEAD_PCT),0)</f>
        <v>0</v>
      </c>
      <c r="I187" s="118">
        <f t="shared" si="1"/>
        <v>0</v>
      </c>
      <c r="J187" s="118">
        <f t="shared" si="2"/>
        <v>0</v>
      </c>
      <c r="K187" s="119">
        <f t="array" ref="K187">IFERROR(IF(B187="",0,INDEX(PRODUK!$E:$E,MATCH(B187,PRODUK!$A:$A,0))),0)</f>
        <v>0</v>
      </c>
      <c r="L187" s="118" t="str">
        <f t="shared" si="3"/>
        <v>—</v>
      </c>
      <c r="M187" s="81" t="str">
        <f>IFERROR(IF(A187="","—",IF(D187=0,"—",IF(J187=0,"—",IF(J187&lt;=K187,"✓ OK",IF(J187&lt;=K187*(1+PARAM_HPP_TIPIS),"⚠ TIPIS","⚠ MAHAL"))))),  "—")</f>
        <v>—</v>
      </c>
    </row>
    <row r="188" ht="18.75" customHeight="1">
      <c r="A188" s="72"/>
      <c r="B188" s="72"/>
      <c r="C188" s="112" t="str">
        <f t="array" ref="C188">IFERROR(IF(B188="","",INDEX(PRODUK!$B:$B,MATCH(B188,PRODUK!$A:$A,0))),"")</f>
        <v/>
      </c>
      <c r="D188" s="113"/>
      <c r="E188" s="74"/>
      <c r="F188" s="74"/>
      <c r="G188" s="74"/>
      <c r="H188" s="114">
        <f>IFERROR(IF(A188="",0,(E188+F188)*PARAM_OVERHEAD_PCT),0)</f>
        <v>0</v>
      </c>
      <c r="I188" s="114">
        <f t="shared" si="1"/>
        <v>0</v>
      </c>
      <c r="J188" s="114">
        <f t="shared" si="2"/>
        <v>0</v>
      </c>
      <c r="K188" s="115">
        <f t="array" ref="K188">IFERROR(IF(B188="",0,INDEX(PRODUK!$E:$E,MATCH(B188,PRODUK!$A:$A,0))),0)</f>
        <v>0</v>
      </c>
      <c r="L188" s="114" t="str">
        <f t="shared" si="3"/>
        <v>—</v>
      </c>
      <c r="M188" s="76" t="str">
        <f>IFERROR(IF(A188="","—",IF(D188=0,"—",IF(J188=0,"—",IF(J188&lt;=K188,"✓ OK",IF(J188&lt;=K188*(1+PARAM_HPP_TIPIS),"⚠ TIPIS","⚠ MAHAL"))))),  "—")</f>
        <v>—</v>
      </c>
    </row>
    <row r="189" ht="18.75" customHeight="1">
      <c r="A189" s="77"/>
      <c r="B189" s="77"/>
      <c r="C189" s="116" t="str">
        <f t="array" ref="C189">IFERROR(IF(B189="","",INDEX(PRODUK!$B:$B,MATCH(B189,PRODUK!$A:$A,0))),"")</f>
        <v/>
      </c>
      <c r="D189" s="117"/>
      <c r="E189" s="79"/>
      <c r="F189" s="79"/>
      <c r="G189" s="79"/>
      <c r="H189" s="118">
        <f>IFERROR(IF(A189="",0,(E189+F189)*PARAM_OVERHEAD_PCT),0)</f>
        <v>0</v>
      </c>
      <c r="I189" s="118">
        <f t="shared" si="1"/>
        <v>0</v>
      </c>
      <c r="J189" s="118">
        <f t="shared" si="2"/>
        <v>0</v>
      </c>
      <c r="K189" s="119">
        <f t="array" ref="K189">IFERROR(IF(B189="",0,INDEX(PRODUK!$E:$E,MATCH(B189,PRODUK!$A:$A,0))),0)</f>
        <v>0</v>
      </c>
      <c r="L189" s="118" t="str">
        <f t="shared" si="3"/>
        <v>—</v>
      </c>
      <c r="M189" s="81" t="str">
        <f>IFERROR(IF(A189="","—",IF(D189=0,"—",IF(J189=0,"—",IF(J189&lt;=K189,"✓ OK",IF(J189&lt;=K189*(1+PARAM_HPP_TIPIS),"⚠ TIPIS","⚠ MAHAL"))))),  "—")</f>
        <v>—</v>
      </c>
    </row>
    <row r="190" ht="18.75" customHeight="1">
      <c r="A190" s="72"/>
      <c r="B190" s="72"/>
      <c r="C190" s="112" t="str">
        <f t="array" ref="C190">IFERROR(IF(B190="","",INDEX(PRODUK!$B:$B,MATCH(B190,PRODUK!$A:$A,0))),"")</f>
        <v/>
      </c>
      <c r="D190" s="113"/>
      <c r="E190" s="74"/>
      <c r="F190" s="74"/>
      <c r="G190" s="74"/>
      <c r="H190" s="114">
        <f>IFERROR(IF(A190="",0,(E190+F190)*PARAM_OVERHEAD_PCT),0)</f>
        <v>0</v>
      </c>
      <c r="I190" s="114">
        <f t="shared" si="1"/>
        <v>0</v>
      </c>
      <c r="J190" s="114">
        <f t="shared" si="2"/>
        <v>0</v>
      </c>
      <c r="K190" s="115">
        <f t="array" ref="K190">IFERROR(IF(B190="",0,INDEX(PRODUK!$E:$E,MATCH(B190,PRODUK!$A:$A,0))),0)</f>
        <v>0</v>
      </c>
      <c r="L190" s="114" t="str">
        <f t="shared" si="3"/>
        <v>—</v>
      </c>
      <c r="M190" s="76" t="str">
        <f>IFERROR(IF(A190="","—",IF(D190=0,"—",IF(J190=0,"—",IF(J190&lt;=K190,"✓ OK",IF(J190&lt;=K190*(1+PARAM_HPP_TIPIS),"⚠ TIPIS","⚠ MAHAL"))))),  "—")</f>
        <v>—</v>
      </c>
    </row>
    <row r="191" ht="18.75" customHeight="1">
      <c r="A191" s="77"/>
      <c r="B191" s="77"/>
      <c r="C191" s="116" t="str">
        <f t="array" ref="C191">IFERROR(IF(B191="","",INDEX(PRODUK!$B:$B,MATCH(B191,PRODUK!$A:$A,0))),"")</f>
        <v/>
      </c>
      <c r="D191" s="117"/>
      <c r="E191" s="79"/>
      <c r="F191" s="79"/>
      <c r="G191" s="79"/>
      <c r="H191" s="118">
        <f>IFERROR(IF(A191="",0,(E191+F191)*PARAM_OVERHEAD_PCT),0)</f>
        <v>0</v>
      </c>
      <c r="I191" s="118">
        <f t="shared" si="1"/>
        <v>0</v>
      </c>
      <c r="J191" s="118">
        <f t="shared" si="2"/>
        <v>0</v>
      </c>
      <c r="K191" s="119">
        <f t="array" ref="K191">IFERROR(IF(B191="",0,INDEX(PRODUK!$E:$E,MATCH(B191,PRODUK!$A:$A,0))),0)</f>
        <v>0</v>
      </c>
      <c r="L191" s="118" t="str">
        <f t="shared" si="3"/>
        <v>—</v>
      </c>
      <c r="M191" s="81" t="str">
        <f>IFERROR(IF(A191="","—",IF(D191=0,"—",IF(J191=0,"—",IF(J191&lt;=K191,"✓ OK",IF(J191&lt;=K191*(1+PARAM_HPP_TIPIS),"⚠ TIPIS","⚠ MAHAL"))))),  "—")</f>
        <v>—</v>
      </c>
    </row>
    <row r="192" ht="18.75" customHeight="1">
      <c r="A192" s="72"/>
      <c r="B192" s="72"/>
      <c r="C192" s="112" t="str">
        <f t="array" ref="C192">IFERROR(IF(B192="","",INDEX(PRODUK!$B:$B,MATCH(B192,PRODUK!$A:$A,0))),"")</f>
        <v/>
      </c>
      <c r="D192" s="113"/>
      <c r="E192" s="74"/>
      <c r="F192" s="74"/>
      <c r="G192" s="74"/>
      <c r="H192" s="114">
        <f>IFERROR(IF(A192="",0,(E192+F192)*PARAM_OVERHEAD_PCT),0)</f>
        <v>0</v>
      </c>
      <c r="I192" s="114">
        <f t="shared" si="1"/>
        <v>0</v>
      </c>
      <c r="J192" s="114">
        <f t="shared" si="2"/>
        <v>0</v>
      </c>
      <c r="K192" s="115">
        <f t="array" ref="K192">IFERROR(IF(B192="",0,INDEX(PRODUK!$E:$E,MATCH(B192,PRODUK!$A:$A,0))),0)</f>
        <v>0</v>
      </c>
      <c r="L192" s="114" t="str">
        <f t="shared" si="3"/>
        <v>—</v>
      </c>
      <c r="M192" s="76" t="str">
        <f>IFERROR(IF(A192="","—",IF(D192=0,"—",IF(J192=0,"—",IF(J192&lt;=K192,"✓ OK",IF(J192&lt;=K192*(1+PARAM_HPP_TIPIS),"⚠ TIPIS","⚠ MAHAL"))))),  "—")</f>
        <v>—</v>
      </c>
    </row>
    <row r="193" ht="18.75" customHeight="1">
      <c r="A193" s="77"/>
      <c r="B193" s="77"/>
      <c r="C193" s="116" t="str">
        <f t="array" ref="C193">IFERROR(IF(B193="","",INDEX(PRODUK!$B:$B,MATCH(B193,PRODUK!$A:$A,0))),"")</f>
        <v/>
      </c>
      <c r="D193" s="117"/>
      <c r="E193" s="79"/>
      <c r="F193" s="79"/>
      <c r="G193" s="79"/>
      <c r="H193" s="118">
        <f>IFERROR(IF(A193="",0,(E193+F193)*PARAM_OVERHEAD_PCT),0)</f>
        <v>0</v>
      </c>
      <c r="I193" s="118">
        <f t="shared" si="1"/>
        <v>0</v>
      </c>
      <c r="J193" s="118">
        <f t="shared" si="2"/>
        <v>0</v>
      </c>
      <c r="K193" s="119">
        <f t="array" ref="K193">IFERROR(IF(B193="",0,INDEX(PRODUK!$E:$E,MATCH(B193,PRODUK!$A:$A,0))),0)</f>
        <v>0</v>
      </c>
      <c r="L193" s="118" t="str">
        <f t="shared" si="3"/>
        <v>—</v>
      </c>
      <c r="M193" s="81" t="str">
        <f>IFERROR(IF(A193="","—",IF(D193=0,"—",IF(J193=0,"—",IF(J193&lt;=K193,"✓ OK",IF(J193&lt;=K193*(1+PARAM_HPP_TIPIS),"⚠ TIPIS","⚠ MAHAL"))))),  "—")</f>
        <v>—</v>
      </c>
    </row>
    <row r="194" ht="18.75" customHeight="1">
      <c r="A194" s="72"/>
      <c r="B194" s="72"/>
      <c r="C194" s="112" t="str">
        <f t="array" ref="C194">IFERROR(IF(B194="","",INDEX(PRODUK!$B:$B,MATCH(B194,PRODUK!$A:$A,0))),"")</f>
        <v/>
      </c>
      <c r="D194" s="113"/>
      <c r="E194" s="74"/>
      <c r="F194" s="74"/>
      <c r="G194" s="74"/>
      <c r="H194" s="114">
        <f>IFERROR(IF(A194="",0,(E194+F194)*PARAM_OVERHEAD_PCT),0)</f>
        <v>0</v>
      </c>
      <c r="I194" s="114">
        <f t="shared" si="1"/>
        <v>0</v>
      </c>
      <c r="J194" s="114">
        <f t="shared" si="2"/>
        <v>0</v>
      </c>
      <c r="K194" s="115">
        <f t="array" ref="K194">IFERROR(IF(B194="",0,INDEX(PRODUK!$E:$E,MATCH(B194,PRODUK!$A:$A,0))),0)</f>
        <v>0</v>
      </c>
      <c r="L194" s="114" t="str">
        <f t="shared" si="3"/>
        <v>—</v>
      </c>
      <c r="M194" s="76" t="str">
        <f>IFERROR(IF(A194="","—",IF(D194=0,"—",IF(J194=0,"—",IF(J194&lt;=K194,"✓ OK",IF(J194&lt;=K194*(1+PARAM_HPP_TIPIS),"⚠ TIPIS","⚠ MAHAL"))))),  "—")</f>
        <v>—</v>
      </c>
    </row>
    <row r="195" ht="18.75" customHeight="1">
      <c r="A195" s="77"/>
      <c r="B195" s="77"/>
      <c r="C195" s="116" t="str">
        <f t="array" ref="C195">IFERROR(IF(B195="","",INDEX(PRODUK!$B:$B,MATCH(B195,PRODUK!$A:$A,0))),"")</f>
        <v/>
      </c>
      <c r="D195" s="117"/>
      <c r="E195" s="79"/>
      <c r="F195" s="79"/>
      <c r="G195" s="79"/>
      <c r="H195" s="118">
        <f>IFERROR(IF(A195="",0,(E195+F195)*PARAM_OVERHEAD_PCT),0)</f>
        <v>0</v>
      </c>
      <c r="I195" s="118">
        <f t="shared" si="1"/>
        <v>0</v>
      </c>
      <c r="J195" s="118">
        <f t="shared" si="2"/>
        <v>0</v>
      </c>
      <c r="K195" s="119">
        <f t="array" ref="K195">IFERROR(IF(B195="",0,INDEX(PRODUK!$E:$E,MATCH(B195,PRODUK!$A:$A,0))),0)</f>
        <v>0</v>
      </c>
      <c r="L195" s="118" t="str">
        <f t="shared" si="3"/>
        <v>—</v>
      </c>
      <c r="M195" s="81" t="str">
        <f>IFERROR(IF(A195="","—",IF(D195=0,"—",IF(J195=0,"—",IF(J195&lt;=K195,"✓ OK",IF(J195&lt;=K195*(1+PARAM_HPP_TIPIS),"⚠ TIPIS","⚠ MAHAL"))))),  "—")</f>
        <v>—</v>
      </c>
    </row>
    <row r="196" ht="18.75" customHeight="1">
      <c r="A196" s="72"/>
      <c r="B196" s="72"/>
      <c r="C196" s="112" t="str">
        <f t="array" ref="C196">IFERROR(IF(B196="","",INDEX(PRODUK!$B:$B,MATCH(B196,PRODUK!$A:$A,0))),"")</f>
        <v/>
      </c>
      <c r="D196" s="113"/>
      <c r="E196" s="74"/>
      <c r="F196" s="74"/>
      <c r="G196" s="74"/>
      <c r="H196" s="114">
        <f>IFERROR(IF(A196="",0,(E196+F196)*PARAM_OVERHEAD_PCT),0)</f>
        <v>0</v>
      </c>
      <c r="I196" s="114">
        <f t="shared" si="1"/>
        <v>0</v>
      </c>
      <c r="J196" s="114">
        <f t="shared" si="2"/>
        <v>0</v>
      </c>
      <c r="K196" s="115">
        <f t="array" ref="K196">IFERROR(IF(B196="",0,INDEX(PRODUK!$E:$E,MATCH(B196,PRODUK!$A:$A,0))),0)</f>
        <v>0</v>
      </c>
      <c r="L196" s="114" t="str">
        <f t="shared" si="3"/>
        <v>—</v>
      </c>
      <c r="M196" s="76" t="str">
        <f>IFERROR(IF(A196="","—",IF(D196=0,"—",IF(J196=0,"—",IF(J196&lt;=K196,"✓ OK",IF(J196&lt;=K196*(1+PARAM_HPP_TIPIS),"⚠ TIPIS","⚠ MAHAL"))))),  "—")</f>
        <v>—</v>
      </c>
    </row>
    <row r="197" ht="18.75" customHeight="1">
      <c r="A197" s="77"/>
      <c r="B197" s="77"/>
      <c r="C197" s="116" t="str">
        <f t="array" ref="C197">IFERROR(IF(B197="","",INDEX(PRODUK!$B:$B,MATCH(B197,PRODUK!$A:$A,0))),"")</f>
        <v/>
      </c>
      <c r="D197" s="117"/>
      <c r="E197" s="79"/>
      <c r="F197" s="79"/>
      <c r="G197" s="79"/>
      <c r="H197" s="118">
        <f>IFERROR(IF(A197="",0,(E197+F197)*PARAM_OVERHEAD_PCT),0)</f>
        <v>0</v>
      </c>
      <c r="I197" s="118">
        <f t="shared" si="1"/>
        <v>0</v>
      </c>
      <c r="J197" s="118">
        <f t="shared" si="2"/>
        <v>0</v>
      </c>
      <c r="K197" s="119">
        <f t="array" ref="K197">IFERROR(IF(B197="",0,INDEX(PRODUK!$E:$E,MATCH(B197,PRODUK!$A:$A,0))),0)</f>
        <v>0</v>
      </c>
      <c r="L197" s="118" t="str">
        <f t="shared" si="3"/>
        <v>—</v>
      </c>
      <c r="M197" s="81" t="str">
        <f>IFERROR(IF(A197="","—",IF(D197=0,"—",IF(J197=0,"—",IF(J197&lt;=K197,"✓ OK",IF(J197&lt;=K197*(1+PARAM_HPP_TIPIS),"⚠ TIPIS","⚠ MAHAL"))))),  "—")</f>
        <v>—</v>
      </c>
    </row>
    <row r="198" ht="18.75" customHeight="1">
      <c r="A198" s="72"/>
      <c r="B198" s="72"/>
      <c r="C198" s="112" t="str">
        <f t="array" ref="C198">IFERROR(IF(B198="","",INDEX(PRODUK!$B:$B,MATCH(B198,PRODUK!$A:$A,0))),"")</f>
        <v/>
      </c>
      <c r="D198" s="113"/>
      <c r="E198" s="74"/>
      <c r="F198" s="74"/>
      <c r="G198" s="74"/>
      <c r="H198" s="114">
        <f>IFERROR(IF(A198="",0,(E198+F198)*PARAM_OVERHEAD_PCT),0)</f>
        <v>0</v>
      </c>
      <c r="I198" s="114">
        <f t="shared" si="1"/>
        <v>0</v>
      </c>
      <c r="J198" s="114">
        <f t="shared" si="2"/>
        <v>0</v>
      </c>
      <c r="K198" s="115">
        <f t="array" ref="K198">IFERROR(IF(B198="",0,INDEX(PRODUK!$E:$E,MATCH(B198,PRODUK!$A:$A,0))),0)</f>
        <v>0</v>
      </c>
      <c r="L198" s="114" t="str">
        <f t="shared" si="3"/>
        <v>—</v>
      </c>
      <c r="M198" s="76" t="str">
        <f>IFERROR(IF(A198="","—",IF(D198=0,"—",IF(J198=0,"—",IF(J198&lt;=K198,"✓ OK",IF(J198&lt;=K198*(1+PARAM_HPP_TIPIS),"⚠ TIPIS","⚠ MAHAL"))))),  "—")</f>
        <v>—</v>
      </c>
    </row>
    <row r="199" ht="18.75" customHeight="1">
      <c r="A199" s="77"/>
      <c r="B199" s="77"/>
      <c r="C199" s="116" t="str">
        <f t="array" ref="C199">IFERROR(IF(B199="","",INDEX(PRODUK!$B:$B,MATCH(B199,PRODUK!$A:$A,0))),"")</f>
        <v/>
      </c>
      <c r="D199" s="117"/>
      <c r="E199" s="79"/>
      <c r="F199" s="79"/>
      <c r="G199" s="79"/>
      <c r="H199" s="118">
        <f>IFERROR(IF(A199="",0,(E199+F199)*PARAM_OVERHEAD_PCT),0)</f>
        <v>0</v>
      </c>
      <c r="I199" s="118">
        <f t="shared" si="1"/>
        <v>0</v>
      </c>
      <c r="J199" s="118">
        <f t="shared" si="2"/>
        <v>0</v>
      </c>
      <c r="K199" s="119">
        <f t="array" ref="K199">IFERROR(IF(B199="",0,INDEX(PRODUK!$E:$E,MATCH(B199,PRODUK!$A:$A,0))),0)</f>
        <v>0</v>
      </c>
      <c r="L199" s="118" t="str">
        <f t="shared" si="3"/>
        <v>—</v>
      </c>
      <c r="M199" s="81" t="str">
        <f>IFERROR(IF(A199="","—",IF(D199=0,"—",IF(J199=0,"—",IF(J199&lt;=K199,"✓ OK",IF(J199&lt;=K199*(1+PARAM_HPP_TIPIS),"⚠ TIPIS","⚠ MAHAL"))))),  "—")</f>
        <v>—</v>
      </c>
    </row>
    <row r="200" ht="18.75" customHeight="1">
      <c r="A200" s="72"/>
      <c r="B200" s="72"/>
      <c r="C200" s="112" t="str">
        <f t="array" ref="C200">IFERROR(IF(B200="","",INDEX(PRODUK!$B:$B,MATCH(B200,PRODUK!$A:$A,0))),"")</f>
        <v/>
      </c>
      <c r="D200" s="113"/>
      <c r="E200" s="74"/>
      <c r="F200" s="74"/>
      <c r="G200" s="74"/>
      <c r="H200" s="114">
        <f>IFERROR(IF(A200="",0,(E200+F200)*PARAM_OVERHEAD_PCT),0)</f>
        <v>0</v>
      </c>
      <c r="I200" s="114">
        <f t="shared" si="1"/>
        <v>0</v>
      </c>
      <c r="J200" s="114">
        <f t="shared" si="2"/>
        <v>0</v>
      </c>
      <c r="K200" s="115">
        <f t="array" ref="K200">IFERROR(IF(B200="",0,INDEX(PRODUK!$E:$E,MATCH(B200,PRODUK!$A:$A,0))),0)</f>
        <v>0</v>
      </c>
      <c r="L200" s="114" t="str">
        <f t="shared" si="3"/>
        <v>—</v>
      </c>
      <c r="M200" s="76" t="str">
        <f>IFERROR(IF(A200="","—",IF(D200=0,"—",IF(J200=0,"—",IF(J200&lt;=K200,"✓ OK",IF(J200&lt;=K200*(1+PARAM_HPP_TIPIS),"⚠ TIPIS","⚠ MAHAL"))))),  "—")</f>
        <v>—</v>
      </c>
    </row>
    <row r="201" ht="18.75" customHeight="1">
      <c r="A201" s="77"/>
      <c r="B201" s="77"/>
      <c r="C201" s="116" t="str">
        <f t="array" ref="C201">IFERROR(IF(B201="","",INDEX(PRODUK!$B:$B,MATCH(B201,PRODUK!$A:$A,0))),"")</f>
        <v/>
      </c>
      <c r="D201" s="117"/>
      <c r="E201" s="79"/>
      <c r="F201" s="79"/>
      <c r="G201" s="79"/>
      <c r="H201" s="118">
        <f>IFERROR(IF(A201="",0,(E201+F201)*PARAM_OVERHEAD_PCT),0)</f>
        <v>0</v>
      </c>
      <c r="I201" s="118">
        <f t="shared" si="1"/>
        <v>0</v>
      </c>
      <c r="J201" s="118">
        <f t="shared" si="2"/>
        <v>0</v>
      </c>
      <c r="K201" s="119">
        <f t="array" ref="K201">IFERROR(IF(B201="",0,INDEX(PRODUK!$E:$E,MATCH(B201,PRODUK!$A:$A,0))),0)</f>
        <v>0</v>
      </c>
      <c r="L201" s="118" t="str">
        <f t="shared" si="3"/>
        <v>—</v>
      </c>
      <c r="M201" s="81" t="str">
        <f>IFERROR(IF(A201="","—",IF(D201=0,"—",IF(J201=0,"—",IF(J201&lt;=K201,"✓ OK",IF(J201&lt;=K201*(1+PARAM_HPP_TIPIS),"⚠ TIPIS","⚠ MAHAL"))))),  "—")</f>
        <v>—</v>
      </c>
    </row>
    <row r="202" ht="18.75" customHeight="1">
      <c r="A202" s="72"/>
      <c r="B202" s="72"/>
      <c r="C202" s="112" t="str">
        <f t="array" ref="C202">IFERROR(IF(B202="","",INDEX(PRODUK!$B:$B,MATCH(B202,PRODUK!$A:$A,0))),"")</f>
        <v/>
      </c>
      <c r="D202" s="113"/>
      <c r="E202" s="74"/>
      <c r="F202" s="74"/>
      <c r="G202" s="74"/>
      <c r="H202" s="114">
        <f>IFERROR(IF(A202="",0,(E202+F202)*PARAM_OVERHEAD_PCT),0)</f>
        <v>0</v>
      </c>
      <c r="I202" s="114">
        <f t="shared" si="1"/>
        <v>0</v>
      </c>
      <c r="J202" s="114">
        <f t="shared" si="2"/>
        <v>0</v>
      </c>
      <c r="K202" s="115">
        <f t="array" ref="K202">IFERROR(IF(B202="",0,INDEX(PRODUK!$E:$E,MATCH(B202,PRODUK!$A:$A,0))),0)</f>
        <v>0</v>
      </c>
      <c r="L202" s="114" t="str">
        <f t="shared" si="3"/>
        <v>—</v>
      </c>
      <c r="M202" s="76" t="str">
        <f>IFERROR(IF(A202="","—",IF(D202=0,"—",IF(J202=0,"—",IF(J202&lt;=K202,"✓ OK",IF(J202&lt;=K202*(1+PARAM_HPP_TIPIS),"⚠ TIPIS","⚠ MAHAL"))))),  "—")</f>
        <v>—</v>
      </c>
    </row>
    <row r="203" ht="18.75" customHeight="1">
      <c r="A203" s="77"/>
      <c r="B203" s="77"/>
      <c r="C203" s="116" t="str">
        <f t="array" ref="C203">IFERROR(IF(B203="","",INDEX(PRODUK!$B:$B,MATCH(B203,PRODUK!$A:$A,0))),"")</f>
        <v/>
      </c>
      <c r="D203" s="117"/>
      <c r="E203" s="79"/>
      <c r="F203" s="79"/>
      <c r="G203" s="79"/>
      <c r="H203" s="118">
        <f>IFERROR(IF(A203="",0,(E203+F203)*PARAM_OVERHEAD_PCT),0)</f>
        <v>0</v>
      </c>
      <c r="I203" s="118">
        <f t="shared" si="1"/>
        <v>0</v>
      </c>
      <c r="J203" s="118">
        <f t="shared" si="2"/>
        <v>0</v>
      </c>
      <c r="K203" s="119">
        <f t="array" ref="K203">IFERROR(IF(B203="",0,INDEX(PRODUK!$E:$E,MATCH(B203,PRODUK!$A:$A,0))),0)</f>
        <v>0</v>
      </c>
      <c r="L203" s="118" t="str">
        <f t="shared" si="3"/>
        <v>—</v>
      </c>
      <c r="M203" s="81" t="str">
        <f>IFERROR(IF(A203="","—",IF(D203=0,"—",IF(J203=0,"—",IF(J203&lt;=K203,"✓ OK",IF(J203&lt;=K203*(1+PARAM_HPP_TIPIS),"⚠ TIPIS","⚠ MAHAL"))))),  "—")</f>
        <v>—</v>
      </c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</row>
  </sheetData>
  <mergeCells count="2">
    <mergeCell ref="A1:M1"/>
    <mergeCell ref="A2:M2"/>
  </mergeCells>
  <conditionalFormatting sqref="M4:M203">
    <cfRule type="expression" dxfId="0" priority="1">
      <formula>M4="✓ OK"</formula>
    </cfRule>
  </conditionalFormatting>
  <conditionalFormatting sqref="M4:M203">
    <cfRule type="expression" dxfId="3" priority="2">
      <formula>M4="⚠ MAHAL"</formula>
    </cfRule>
  </conditionalFormatting>
  <conditionalFormatting sqref="M4:M203">
    <cfRule type="expression" dxfId="2" priority="3">
      <formula>M4="⚠ TIPIS"</formula>
    </cfRule>
  </conditionalFormatting>
  <dataValidations>
    <dataValidation type="list" allowBlank="1" showInputMessage="1" showErrorMessage="1" prompt="Input Tidak Valid - Pilih dari daftar yang tersedia" sqref="B4:B203">
      <formula1>PRODUK!$A$4:$A$52</formula1>
    </dataValidation>
    <dataValidation type="decimal" allowBlank="1" showInputMessage="1" showErrorMessage="1" prompt="Angka Tidak Valid - QTY Produksi harus antara 1 - 100.000" sqref="D4:D203">
      <formula1>1.0</formula1>
      <formula2>100000.0</formula2>
    </dataValidation>
    <dataValidation type="decimal" allowBlank="1" showInputMessage="1" showErrorMessage="1" prompt="Nominal Tidak Valid - Nominal biaya tidak valid" sqref="E4:G203">
      <formula1>0.0</formula1>
      <formula2>1.0E10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3C98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9.14"/>
    <col customWidth="1" min="3" max="3" width="22.0"/>
    <col customWidth="1" min="4" max="4" width="13.57"/>
    <col customWidth="1" min="5" max="6" width="17.14"/>
    <col customWidth="1" min="7" max="7" width="18.14"/>
    <col customWidth="1" min="8" max="8" width="21.29"/>
    <col customWidth="1" min="9" max="9" width="17.29"/>
    <col customWidth="1" min="10" max="10" width="17.14"/>
    <col customWidth="1" min="11" max="11" width="17.86"/>
    <col customWidth="1" min="12" max="12" width="15.57"/>
    <col customWidth="1" min="13" max="13" width="15.43"/>
    <col customWidth="1" min="14" max="25" width="8.71"/>
  </cols>
  <sheetData>
    <row r="1" ht="36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5" t="s">
        <v>369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72" t="s">
        <v>144</v>
      </c>
      <c r="B3" s="72" t="s">
        <v>166</v>
      </c>
      <c r="C3" s="72" t="s">
        <v>370</v>
      </c>
      <c r="D3" s="72" t="s">
        <v>371</v>
      </c>
      <c r="E3" s="72" t="s">
        <v>372</v>
      </c>
      <c r="F3" s="72" t="s">
        <v>373</v>
      </c>
      <c r="G3" s="72" t="s">
        <v>374</v>
      </c>
      <c r="H3" s="72" t="s">
        <v>375</v>
      </c>
      <c r="I3" s="72" t="s">
        <v>376</v>
      </c>
      <c r="J3" s="122" t="s">
        <v>377</v>
      </c>
      <c r="K3" s="76" t="s">
        <v>378</v>
      </c>
      <c r="L3" s="76" t="s">
        <v>379</v>
      </c>
      <c r="M3" s="76" t="s">
        <v>380</v>
      </c>
    </row>
    <row r="4" ht="18.75" customHeight="1">
      <c r="A4" s="77" t="s">
        <v>361</v>
      </c>
      <c r="B4" s="77" t="s">
        <v>174</v>
      </c>
      <c r="C4" s="78" t="s">
        <v>381</v>
      </c>
      <c r="D4" s="117">
        <v>150.0</v>
      </c>
      <c r="E4" s="117">
        <v>148.0</v>
      </c>
      <c r="F4" s="123" t="s">
        <v>382</v>
      </c>
      <c r="G4" s="123" t="s">
        <v>383</v>
      </c>
      <c r="H4" s="77" t="s">
        <v>384</v>
      </c>
      <c r="I4" s="117">
        <v>6.0</v>
      </c>
      <c r="J4" s="124">
        <f t="shared" ref="J4:J203" si="1">IFERROR(IF(OR(A4="",E4=0),0,I4/E4),0)</f>
        <v>0.04054054054</v>
      </c>
      <c r="K4" s="81" t="str">
        <f>IFERROR(IF(A4="","—",IF(H4="Selesai","✓ Selesai",IF(H4="Cancel","✗ Cancel",IF(E4=0,"—",IF(J4=0,"✓ BAGUS",IF(J4&lt;=PARAM_REJECT_MAJOR,"⚠ MINOR",IF(J4&lt;=PARAM_REJECT_MAX,"⚠ PERHATIAN","🚨 ESKALASI"))))))),  "—")</f>
        <v>⚠ PERHATIAN</v>
      </c>
      <c r="L4" s="81">
        <f t="shared" ref="L4:L202" si="2">IFERROR(IF(A4="","—",IF(H4="Selesai","✓ Selesai",IF(H4="Cancel","✗ Cancel",IF(F4="","—",TODAY()-F4)))),"—")</f>
        <v>17</v>
      </c>
      <c r="M4" s="81">
        <f t="shared" ref="M4:M202" si="3">IFERROR(IF(A4="","—",IF(OR(H4="Selesai",H4="Cancel"),"✓ Done",IF(G4="","—",G4-TODAY()))),"—")</f>
        <v>1</v>
      </c>
    </row>
    <row r="5" ht="18.75" customHeight="1">
      <c r="A5" s="72" t="s">
        <v>362</v>
      </c>
      <c r="B5" s="72" t="s">
        <v>178</v>
      </c>
      <c r="C5" s="73" t="s">
        <v>385</v>
      </c>
      <c r="D5" s="113">
        <v>200.0</v>
      </c>
      <c r="E5" s="113">
        <v>185.0</v>
      </c>
      <c r="F5" s="125" t="s">
        <v>386</v>
      </c>
      <c r="G5" s="125" t="s">
        <v>387</v>
      </c>
      <c r="H5" s="72" t="s">
        <v>384</v>
      </c>
      <c r="I5" s="113">
        <v>9.0</v>
      </c>
      <c r="J5" s="122">
        <f t="shared" si="1"/>
        <v>0.04864864865</v>
      </c>
      <c r="K5" s="76" t="str">
        <f>IFERROR(IF(A5="","—",IF(H5="Selesai","✓ Selesai",IF(H5="Cancel","✗ Cancel",IF(E5=0,"—",IF(J5=0,"✓ BAGUS",IF(J5&lt;=PARAM_REJECT_MAJOR,"⚠ MINOR",IF(J5&lt;=PARAM_REJECT_MAX,"⚠ PERHATIAN","🚨 ESKALASI"))))))),  "—")</f>
        <v>⚠ PERHATIAN</v>
      </c>
      <c r="L5" s="76">
        <f t="shared" si="2"/>
        <v>13</v>
      </c>
      <c r="M5" s="76">
        <f t="shared" si="3"/>
        <v>7</v>
      </c>
    </row>
    <row r="6" ht="18.75" customHeight="1">
      <c r="A6" s="77" t="s">
        <v>363</v>
      </c>
      <c r="B6" s="77" t="s">
        <v>182</v>
      </c>
      <c r="C6" s="78" t="s">
        <v>388</v>
      </c>
      <c r="D6" s="117">
        <v>80.0</v>
      </c>
      <c r="E6" s="117">
        <v>80.0</v>
      </c>
      <c r="F6" s="123" t="s">
        <v>389</v>
      </c>
      <c r="G6" s="123" t="s">
        <v>390</v>
      </c>
      <c r="H6" s="77" t="s">
        <v>391</v>
      </c>
      <c r="I6" s="117">
        <v>3.0</v>
      </c>
      <c r="J6" s="124">
        <f t="shared" si="1"/>
        <v>0.0375</v>
      </c>
      <c r="K6" s="81" t="str">
        <f>IFERROR(IF(A6="","—",IF(H6="Selesai","✓ Selesai",IF(H6="Cancel","✗ Cancel",IF(E6=0,"—",IF(J6=0,"✓ BAGUS",IF(J6&lt;=PARAM_REJECT_MAJOR,"⚠ MINOR",IF(J6&lt;=PARAM_REJECT_MAX,"⚠ PERHATIAN","🚨 ESKALASI"))))))),  "—")</f>
        <v>⚠ PERHATIAN</v>
      </c>
      <c r="L6" s="81">
        <f t="shared" si="2"/>
        <v>10</v>
      </c>
      <c r="M6" s="81">
        <f t="shared" si="3"/>
        <v>15</v>
      </c>
    </row>
    <row r="7" ht="18.75" customHeight="1">
      <c r="A7" s="72" t="s">
        <v>364</v>
      </c>
      <c r="B7" s="72" t="s">
        <v>186</v>
      </c>
      <c r="C7" s="73" t="s">
        <v>392</v>
      </c>
      <c r="D7" s="113">
        <v>120.0</v>
      </c>
      <c r="E7" s="113">
        <v>120.0</v>
      </c>
      <c r="F7" s="125" t="s">
        <v>393</v>
      </c>
      <c r="G7" s="125" t="s">
        <v>394</v>
      </c>
      <c r="H7" s="72" t="s">
        <v>395</v>
      </c>
      <c r="I7" s="113">
        <v>2.0</v>
      </c>
      <c r="J7" s="122">
        <f t="shared" si="1"/>
        <v>0.01666666667</v>
      </c>
      <c r="K7" s="76" t="str">
        <f>IFERROR(IF(A7="","—",IF(H7="Selesai","✓ Selesai",IF(H7="Cancel","✗ Cancel",IF(E7=0,"—",IF(J7=0,"✓ BAGUS",IF(J7&lt;=PARAM_REJECT_MAJOR,"⚠ MINOR",IF(J7&lt;=PARAM_REJECT_MAX,"⚠ PERHATIAN","🚨 ESKALASI"))))))),  "—")</f>
        <v>✓ Selesai</v>
      </c>
      <c r="L7" s="76" t="str">
        <f t="shared" si="2"/>
        <v>✓ Selesai</v>
      </c>
      <c r="M7" s="76" t="str">
        <f t="shared" si="3"/>
        <v>✓ Done</v>
      </c>
    </row>
    <row r="8" ht="18.75" customHeight="1">
      <c r="A8" s="77" t="s">
        <v>365</v>
      </c>
      <c r="B8" s="77" t="s">
        <v>189</v>
      </c>
      <c r="C8" s="78" t="s">
        <v>396</v>
      </c>
      <c r="D8" s="117">
        <v>100.0</v>
      </c>
      <c r="E8" s="126">
        <v>20.0</v>
      </c>
      <c r="F8" s="123" t="s">
        <v>394</v>
      </c>
      <c r="G8" s="123" t="s">
        <v>397</v>
      </c>
      <c r="H8" s="77" t="s">
        <v>398</v>
      </c>
      <c r="I8" s="126">
        <v>1.0</v>
      </c>
      <c r="J8" s="124">
        <f t="shared" si="1"/>
        <v>0.05</v>
      </c>
      <c r="K8" s="81" t="str">
        <f>IFERROR(IF(A8="","—",IF(H8="Selesai","✓ Selesai",IF(H8="Cancel","✗ Cancel",IF(E8=0,"—",IF(J8=0,"✓ BAGUS",IF(J8&lt;=PARAM_REJECT_MAJOR,"⚠ MINOR",IF(J8&lt;=PARAM_REJECT_MAX,"⚠ PERHATIAN","🚨 ESKALASI"))))))),  "—")</f>
        <v>⚠ PERHATIAN</v>
      </c>
      <c r="L8" s="81">
        <f t="shared" si="2"/>
        <v>6</v>
      </c>
      <c r="M8" s="81">
        <f t="shared" si="3"/>
        <v>19</v>
      </c>
    </row>
    <row r="9" ht="18.75" customHeight="1">
      <c r="A9" s="72" t="s">
        <v>366</v>
      </c>
      <c r="B9" s="72" t="s">
        <v>174</v>
      </c>
      <c r="C9" s="73" t="s">
        <v>399</v>
      </c>
      <c r="D9" s="113">
        <v>250.0</v>
      </c>
      <c r="E9" s="113">
        <v>240.0</v>
      </c>
      <c r="F9" s="125" t="s">
        <v>400</v>
      </c>
      <c r="G9" s="125" t="s">
        <v>401</v>
      </c>
      <c r="H9" s="72" t="s">
        <v>384</v>
      </c>
      <c r="I9" s="113">
        <v>8.0</v>
      </c>
      <c r="J9" s="122">
        <f t="shared" si="1"/>
        <v>0.03333333333</v>
      </c>
      <c r="K9" s="76" t="str">
        <f>IFERROR(IF(A9="","—",IF(H9="Selesai","✓ Selesai",IF(H9="Cancel","✗ Cancel",IF(E9=0,"—",IF(J9=0,"✓ BAGUS",IF(J9&lt;=PARAM_REJECT_MAJOR,"⚠ MINOR",IF(J9&lt;=PARAM_REJECT_MAX,"⚠ PERHATIAN","🚨 ESKALASI"))))))),  "—")</f>
        <v>⚠ PERHATIAN</v>
      </c>
      <c r="L9" s="76">
        <f t="shared" si="2"/>
        <v>11</v>
      </c>
      <c r="M9" s="76">
        <f t="shared" si="3"/>
        <v>5</v>
      </c>
    </row>
    <row r="10" ht="18.75" customHeight="1">
      <c r="A10" s="77" t="s">
        <v>367</v>
      </c>
      <c r="B10" s="77" t="s">
        <v>178</v>
      </c>
      <c r="C10" s="78" t="s">
        <v>402</v>
      </c>
      <c r="D10" s="117">
        <v>180.0</v>
      </c>
      <c r="E10" s="117">
        <v>170.0</v>
      </c>
      <c r="F10" s="123" t="s">
        <v>403</v>
      </c>
      <c r="G10" s="123" t="s">
        <v>404</v>
      </c>
      <c r="H10" s="77" t="s">
        <v>384</v>
      </c>
      <c r="I10" s="117">
        <v>8.0</v>
      </c>
      <c r="J10" s="124">
        <f t="shared" si="1"/>
        <v>0.04705882353</v>
      </c>
      <c r="K10" s="81" t="str">
        <f>IFERROR(IF(A10="","—",IF(H10="Selesai","✓ Selesai",IF(H10="Cancel","✗ Cancel",IF(E10=0,"—",IF(J10=0,"✓ BAGUS",IF(J10&lt;=PARAM_REJECT_MAJOR,"⚠ MINOR",IF(J10&lt;=PARAM_REJECT_MAX,"⚠ PERHATIAN","🚨 ESKALASI"))))))),  "—")</f>
        <v>⚠ PERHATIAN</v>
      </c>
      <c r="L10" s="81">
        <f t="shared" si="2"/>
        <v>8</v>
      </c>
      <c r="M10" s="81">
        <f t="shared" si="3"/>
        <v>12</v>
      </c>
    </row>
    <row r="11" ht="18.75" customHeight="1">
      <c r="A11" s="72"/>
      <c r="B11" s="72"/>
      <c r="C11" s="73"/>
      <c r="D11" s="113"/>
      <c r="E11" s="113"/>
      <c r="F11" s="125"/>
      <c r="G11" s="125"/>
      <c r="H11" s="72"/>
      <c r="I11" s="113"/>
      <c r="J11" s="122">
        <f t="shared" si="1"/>
        <v>0</v>
      </c>
      <c r="K11" s="76" t="str">
        <f>IFERROR(IF(A11="","—",IF(H11="Selesai","✓ Selesai",IF(H11="Cancel","✗ Cancel",IF(E11=0,"—",IF(J11=0,"✓ BAGUS",IF(J11&lt;=PARAM_REJECT_MAJOR,"⚠ MINOR",IF(J11&lt;=PARAM_REJECT_MAX,"⚠ PERHATIAN","🚨 ESKALASI"))))))),  "—")</f>
        <v>—</v>
      </c>
      <c r="L11" s="76" t="str">
        <f t="shared" si="2"/>
        <v>—</v>
      </c>
      <c r="M11" s="76" t="str">
        <f t="shared" si="3"/>
        <v>—</v>
      </c>
    </row>
    <row r="12" ht="18.75" customHeight="1">
      <c r="A12" s="77"/>
      <c r="B12" s="77"/>
      <c r="C12" s="78"/>
      <c r="D12" s="117"/>
      <c r="E12" s="117"/>
      <c r="F12" s="123"/>
      <c r="G12" s="123"/>
      <c r="H12" s="77"/>
      <c r="I12" s="117"/>
      <c r="J12" s="124">
        <f t="shared" si="1"/>
        <v>0</v>
      </c>
      <c r="K12" s="81" t="str">
        <f>IFERROR(IF(A12="","—",IF(H12="Selesai","✓ Selesai",IF(H12="Cancel","✗ Cancel",IF(E12=0,"—",IF(J12=0,"✓ BAGUS",IF(J12&lt;=PARAM_REJECT_MAJOR,"⚠ MINOR",IF(J12&lt;=PARAM_REJECT_MAX,"⚠ PERHATIAN","🚨 ESKALASI"))))))),  "—")</f>
        <v>—</v>
      </c>
      <c r="L12" s="81" t="str">
        <f t="shared" si="2"/>
        <v>—</v>
      </c>
      <c r="M12" s="81" t="str">
        <f t="shared" si="3"/>
        <v>—</v>
      </c>
    </row>
    <row r="13" ht="18.75" customHeight="1">
      <c r="A13" s="72"/>
      <c r="B13" s="72"/>
      <c r="C13" s="73"/>
      <c r="D13" s="113"/>
      <c r="E13" s="113"/>
      <c r="F13" s="125"/>
      <c r="G13" s="125"/>
      <c r="H13" s="72"/>
      <c r="I13" s="113"/>
      <c r="J13" s="122">
        <f t="shared" si="1"/>
        <v>0</v>
      </c>
      <c r="K13" s="76" t="str">
        <f>IFERROR(IF(A13="","—",IF(H13="Selesai","✓ Selesai",IF(H13="Cancel","✗ Cancel",IF(E13=0,"—",IF(J13=0,"✓ BAGUS",IF(J13&lt;=PARAM_REJECT_MAJOR,"⚠ MINOR",IF(J13&lt;=PARAM_REJECT_MAX,"⚠ PERHATIAN","🚨 ESKALASI"))))))),  "—")</f>
        <v>—</v>
      </c>
      <c r="L13" s="76" t="str">
        <f t="shared" si="2"/>
        <v>—</v>
      </c>
      <c r="M13" s="76" t="str">
        <f t="shared" si="3"/>
        <v>—</v>
      </c>
    </row>
    <row r="14" ht="18.75" customHeight="1">
      <c r="A14" s="77"/>
      <c r="B14" s="77"/>
      <c r="C14" s="78"/>
      <c r="D14" s="117"/>
      <c r="E14" s="117"/>
      <c r="F14" s="123"/>
      <c r="G14" s="123"/>
      <c r="H14" s="77"/>
      <c r="I14" s="117"/>
      <c r="J14" s="124">
        <f t="shared" si="1"/>
        <v>0</v>
      </c>
      <c r="K14" s="81" t="str">
        <f>IFERROR(IF(A14="","—",IF(H14="Selesai","✓ Selesai",IF(H14="Cancel","✗ Cancel",IF(E14=0,"—",IF(J14=0,"✓ BAGUS",IF(J14&lt;=PARAM_REJECT_MAJOR,"⚠ MINOR",IF(J14&lt;=PARAM_REJECT_MAX,"⚠ PERHATIAN","🚨 ESKALASI"))))))),  "—")</f>
        <v>—</v>
      </c>
      <c r="L14" s="81" t="str">
        <f t="shared" si="2"/>
        <v>—</v>
      </c>
      <c r="M14" s="81" t="str">
        <f t="shared" si="3"/>
        <v>—</v>
      </c>
    </row>
    <row r="15" ht="18.75" customHeight="1">
      <c r="A15" s="72"/>
      <c r="B15" s="72"/>
      <c r="C15" s="73"/>
      <c r="D15" s="113"/>
      <c r="E15" s="113"/>
      <c r="F15" s="125"/>
      <c r="G15" s="125"/>
      <c r="H15" s="72"/>
      <c r="I15" s="113"/>
      <c r="J15" s="122">
        <f t="shared" si="1"/>
        <v>0</v>
      </c>
      <c r="K15" s="76" t="str">
        <f>IFERROR(IF(A15="","—",IF(H15="Selesai","✓ Selesai",IF(H15="Cancel","✗ Cancel",IF(E15=0,"—",IF(J15=0,"✓ BAGUS",IF(J15&lt;=PARAM_REJECT_MAJOR,"⚠ MINOR",IF(J15&lt;=PARAM_REJECT_MAX,"⚠ PERHATIAN","🚨 ESKALASI"))))))),  "—")</f>
        <v>—</v>
      </c>
      <c r="L15" s="76" t="str">
        <f t="shared" si="2"/>
        <v>—</v>
      </c>
      <c r="M15" s="76" t="str">
        <f t="shared" si="3"/>
        <v>—</v>
      </c>
    </row>
    <row r="16" ht="18.75" customHeight="1">
      <c r="A16" s="77"/>
      <c r="B16" s="77"/>
      <c r="C16" s="78"/>
      <c r="D16" s="117"/>
      <c r="E16" s="117"/>
      <c r="F16" s="123"/>
      <c r="G16" s="123"/>
      <c r="H16" s="77"/>
      <c r="I16" s="117"/>
      <c r="J16" s="124">
        <f t="shared" si="1"/>
        <v>0</v>
      </c>
      <c r="K16" s="81" t="str">
        <f>IFERROR(IF(A16="","—",IF(H16="Selesai","✓ Selesai",IF(H16="Cancel","✗ Cancel",IF(E16=0,"—",IF(J16=0,"✓ BAGUS",IF(J16&lt;=PARAM_REJECT_MAJOR,"⚠ MINOR",IF(J16&lt;=PARAM_REJECT_MAX,"⚠ PERHATIAN","🚨 ESKALASI"))))))),  "—")</f>
        <v>—</v>
      </c>
      <c r="L16" s="81" t="str">
        <f t="shared" si="2"/>
        <v>—</v>
      </c>
      <c r="M16" s="81" t="str">
        <f t="shared" si="3"/>
        <v>—</v>
      </c>
    </row>
    <row r="17" ht="18.75" customHeight="1">
      <c r="A17" s="72"/>
      <c r="B17" s="72"/>
      <c r="C17" s="73"/>
      <c r="D17" s="113"/>
      <c r="E17" s="113"/>
      <c r="F17" s="125"/>
      <c r="G17" s="125"/>
      <c r="H17" s="72"/>
      <c r="I17" s="113"/>
      <c r="J17" s="122">
        <f t="shared" si="1"/>
        <v>0</v>
      </c>
      <c r="K17" s="76" t="str">
        <f>IFERROR(IF(A17="","—",IF(H17="Selesai","✓ Selesai",IF(H17="Cancel","✗ Cancel",IF(E17=0,"—",IF(J17=0,"✓ BAGUS",IF(J17&lt;=PARAM_REJECT_MAJOR,"⚠ MINOR",IF(J17&lt;=PARAM_REJECT_MAX,"⚠ PERHATIAN","🚨 ESKALASI"))))))),  "—")</f>
        <v>—</v>
      </c>
      <c r="L17" s="76" t="str">
        <f t="shared" si="2"/>
        <v>—</v>
      </c>
      <c r="M17" s="76" t="str">
        <f t="shared" si="3"/>
        <v>—</v>
      </c>
    </row>
    <row r="18" ht="18.75" customHeight="1">
      <c r="A18" s="77"/>
      <c r="B18" s="77"/>
      <c r="C18" s="78"/>
      <c r="D18" s="117"/>
      <c r="E18" s="117"/>
      <c r="F18" s="123"/>
      <c r="G18" s="123"/>
      <c r="H18" s="77"/>
      <c r="I18" s="117"/>
      <c r="J18" s="124">
        <f t="shared" si="1"/>
        <v>0</v>
      </c>
      <c r="K18" s="81" t="str">
        <f>IFERROR(IF(A18="","—",IF(H18="Selesai","✓ Selesai",IF(H18="Cancel","✗ Cancel",IF(E18=0,"—",IF(J18=0,"✓ BAGUS",IF(J18&lt;=PARAM_REJECT_MAJOR,"⚠ MINOR",IF(J18&lt;=PARAM_REJECT_MAX,"⚠ PERHATIAN","🚨 ESKALASI"))))))),  "—")</f>
        <v>—</v>
      </c>
      <c r="L18" s="81" t="str">
        <f t="shared" si="2"/>
        <v>—</v>
      </c>
      <c r="M18" s="81" t="str">
        <f t="shared" si="3"/>
        <v>—</v>
      </c>
    </row>
    <row r="19" ht="18.75" customHeight="1">
      <c r="A19" s="72"/>
      <c r="B19" s="72"/>
      <c r="C19" s="73"/>
      <c r="D19" s="113"/>
      <c r="E19" s="113"/>
      <c r="F19" s="125"/>
      <c r="G19" s="125"/>
      <c r="H19" s="72"/>
      <c r="I19" s="113"/>
      <c r="J19" s="122">
        <f t="shared" si="1"/>
        <v>0</v>
      </c>
      <c r="K19" s="76" t="str">
        <f>IFERROR(IF(A19="","—",IF(H19="Selesai","✓ Selesai",IF(H19="Cancel","✗ Cancel",IF(E19=0,"—",IF(J19=0,"✓ BAGUS",IF(J19&lt;=PARAM_REJECT_MAJOR,"⚠ MINOR",IF(J19&lt;=PARAM_REJECT_MAX,"⚠ PERHATIAN","🚨 ESKALASI"))))))),  "—")</f>
        <v>—</v>
      </c>
      <c r="L19" s="76" t="str">
        <f t="shared" si="2"/>
        <v>—</v>
      </c>
      <c r="M19" s="76" t="str">
        <f t="shared" si="3"/>
        <v>—</v>
      </c>
    </row>
    <row r="20" ht="18.75" customHeight="1">
      <c r="A20" s="77"/>
      <c r="B20" s="77"/>
      <c r="C20" s="78"/>
      <c r="D20" s="117"/>
      <c r="E20" s="117"/>
      <c r="F20" s="123"/>
      <c r="G20" s="123"/>
      <c r="H20" s="77"/>
      <c r="I20" s="117"/>
      <c r="J20" s="124">
        <f t="shared" si="1"/>
        <v>0</v>
      </c>
      <c r="K20" s="81" t="str">
        <f>IFERROR(IF(A20="","—",IF(H20="Selesai","✓ Selesai",IF(H20="Cancel","✗ Cancel",IF(E20=0,"—",IF(J20=0,"✓ BAGUS",IF(J20&lt;=PARAM_REJECT_MAJOR,"⚠ MINOR",IF(J20&lt;=PARAM_REJECT_MAX,"⚠ PERHATIAN","🚨 ESKALASI"))))))),  "—")</f>
        <v>—</v>
      </c>
      <c r="L20" s="81" t="str">
        <f t="shared" si="2"/>
        <v>—</v>
      </c>
      <c r="M20" s="81" t="str">
        <f t="shared" si="3"/>
        <v>—</v>
      </c>
    </row>
    <row r="21" ht="18.75" customHeight="1">
      <c r="A21" s="72"/>
      <c r="B21" s="72"/>
      <c r="C21" s="73"/>
      <c r="D21" s="113"/>
      <c r="E21" s="113"/>
      <c r="F21" s="125"/>
      <c r="G21" s="125"/>
      <c r="H21" s="72"/>
      <c r="I21" s="113"/>
      <c r="J21" s="122">
        <f t="shared" si="1"/>
        <v>0</v>
      </c>
      <c r="K21" s="76" t="str">
        <f>IFERROR(IF(A21="","—",IF(H21="Selesai","✓ Selesai",IF(H21="Cancel","✗ Cancel",IF(E21=0,"—",IF(J21=0,"✓ BAGUS",IF(J21&lt;=PARAM_REJECT_MAJOR,"⚠ MINOR",IF(J21&lt;=PARAM_REJECT_MAX,"⚠ PERHATIAN","🚨 ESKALASI"))))))),  "—")</f>
        <v>—</v>
      </c>
      <c r="L21" s="76" t="str">
        <f t="shared" si="2"/>
        <v>—</v>
      </c>
      <c r="M21" s="76" t="str">
        <f t="shared" si="3"/>
        <v>—</v>
      </c>
    </row>
    <row r="22" ht="18.75" customHeight="1">
      <c r="A22" s="77"/>
      <c r="B22" s="77"/>
      <c r="C22" s="78"/>
      <c r="D22" s="117"/>
      <c r="E22" s="117"/>
      <c r="F22" s="123"/>
      <c r="G22" s="123"/>
      <c r="H22" s="77"/>
      <c r="I22" s="117"/>
      <c r="J22" s="124">
        <f t="shared" si="1"/>
        <v>0</v>
      </c>
      <c r="K22" s="81" t="str">
        <f>IFERROR(IF(A22="","—",IF(H22="Selesai","✓ Selesai",IF(H22="Cancel","✗ Cancel",IF(E22=0,"—",IF(J22=0,"✓ BAGUS",IF(J22&lt;=PARAM_REJECT_MAJOR,"⚠ MINOR",IF(J22&lt;=PARAM_REJECT_MAX,"⚠ PERHATIAN","🚨 ESKALASI"))))))),  "—")</f>
        <v>—</v>
      </c>
      <c r="L22" s="81" t="str">
        <f t="shared" si="2"/>
        <v>—</v>
      </c>
      <c r="M22" s="81" t="str">
        <f t="shared" si="3"/>
        <v>—</v>
      </c>
    </row>
    <row r="23" ht="18.75" customHeight="1">
      <c r="A23" s="72"/>
      <c r="B23" s="72"/>
      <c r="C23" s="73"/>
      <c r="D23" s="113"/>
      <c r="E23" s="113"/>
      <c r="F23" s="125"/>
      <c r="G23" s="125"/>
      <c r="H23" s="72"/>
      <c r="I23" s="113"/>
      <c r="J23" s="122">
        <f t="shared" si="1"/>
        <v>0</v>
      </c>
      <c r="K23" s="76" t="str">
        <f>IFERROR(IF(A23="","—",IF(H23="Selesai","✓ Selesai",IF(H23="Cancel","✗ Cancel",IF(E23=0,"—",IF(J23=0,"✓ BAGUS",IF(J23&lt;=PARAM_REJECT_MAJOR,"⚠ MINOR",IF(J23&lt;=PARAM_REJECT_MAX,"⚠ PERHATIAN","🚨 ESKALASI"))))))),  "—")</f>
        <v>—</v>
      </c>
      <c r="L23" s="76" t="str">
        <f t="shared" si="2"/>
        <v>—</v>
      </c>
      <c r="M23" s="76" t="str">
        <f t="shared" si="3"/>
        <v>—</v>
      </c>
    </row>
    <row r="24" ht="18.75" customHeight="1">
      <c r="A24" s="77"/>
      <c r="B24" s="77"/>
      <c r="C24" s="78"/>
      <c r="D24" s="117"/>
      <c r="E24" s="117"/>
      <c r="F24" s="123"/>
      <c r="G24" s="123"/>
      <c r="H24" s="77"/>
      <c r="I24" s="117"/>
      <c r="J24" s="124">
        <f t="shared" si="1"/>
        <v>0</v>
      </c>
      <c r="K24" s="81" t="str">
        <f>IFERROR(IF(A24="","—",IF(H24="Selesai","✓ Selesai",IF(H24="Cancel","✗ Cancel",IF(E24=0,"—",IF(J24=0,"✓ BAGUS",IF(J24&lt;=PARAM_REJECT_MAJOR,"⚠ MINOR",IF(J24&lt;=PARAM_REJECT_MAX,"⚠ PERHATIAN","🚨 ESKALASI"))))))),  "—")</f>
        <v>—</v>
      </c>
      <c r="L24" s="81" t="str">
        <f t="shared" si="2"/>
        <v>—</v>
      </c>
      <c r="M24" s="81" t="str">
        <f t="shared" si="3"/>
        <v>—</v>
      </c>
    </row>
    <row r="25" ht="18.75" customHeight="1">
      <c r="A25" s="72"/>
      <c r="B25" s="72"/>
      <c r="C25" s="73"/>
      <c r="D25" s="113"/>
      <c r="E25" s="113"/>
      <c r="F25" s="125"/>
      <c r="G25" s="125"/>
      <c r="H25" s="72"/>
      <c r="I25" s="113"/>
      <c r="J25" s="122">
        <f t="shared" si="1"/>
        <v>0</v>
      </c>
      <c r="K25" s="76" t="str">
        <f>IFERROR(IF(A25="","—",IF(H25="Selesai","✓ Selesai",IF(H25="Cancel","✗ Cancel",IF(E25=0,"—",IF(J25=0,"✓ BAGUS",IF(J25&lt;=PARAM_REJECT_MAJOR,"⚠ MINOR",IF(J25&lt;=PARAM_REJECT_MAX,"⚠ PERHATIAN","🚨 ESKALASI"))))))),  "—")</f>
        <v>—</v>
      </c>
      <c r="L25" s="76" t="str">
        <f t="shared" si="2"/>
        <v>—</v>
      </c>
      <c r="M25" s="76" t="str">
        <f t="shared" si="3"/>
        <v>—</v>
      </c>
    </row>
    <row r="26" ht="18.75" customHeight="1">
      <c r="A26" s="77"/>
      <c r="B26" s="77"/>
      <c r="C26" s="78"/>
      <c r="D26" s="117"/>
      <c r="E26" s="117"/>
      <c r="F26" s="123"/>
      <c r="G26" s="123"/>
      <c r="H26" s="77"/>
      <c r="I26" s="117"/>
      <c r="J26" s="124">
        <f t="shared" si="1"/>
        <v>0</v>
      </c>
      <c r="K26" s="81" t="str">
        <f>IFERROR(IF(A26="","—",IF(H26="Selesai","✓ Selesai",IF(H26="Cancel","✗ Cancel",IF(E26=0,"—",IF(J26=0,"✓ BAGUS",IF(J26&lt;=PARAM_REJECT_MAJOR,"⚠ MINOR",IF(J26&lt;=PARAM_REJECT_MAX,"⚠ PERHATIAN","🚨 ESKALASI"))))))),  "—")</f>
        <v>—</v>
      </c>
      <c r="L26" s="81" t="str">
        <f t="shared" si="2"/>
        <v>—</v>
      </c>
      <c r="M26" s="81" t="str">
        <f t="shared" si="3"/>
        <v>—</v>
      </c>
    </row>
    <row r="27" ht="18.75" customHeight="1">
      <c r="A27" s="72"/>
      <c r="B27" s="72"/>
      <c r="C27" s="73"/>
      <c r="D27" s="113"/>
      <c r="E27" s="113"/>
      <c r="F27" s="125"/>
      <c r="G27" s="125"/>
      <c r="H27" s="72"/>
      <c r="I27" s="113"/>
      <c r="J27" s="122">
        <f t="shared" si="1"/>
        <v>0</v>
      </c>
      <c r="K27" s="76" t="str">
        <f>IFERROR(IF(A27="","—",IF(H27="Selesai","✓ Selesai",IF(H27="Cancel","✗ Cancel",IF(E27=0,"—",IF(J27=0,"✓ BAGUS",IF(J27&lt;=PARAM_REJECT_MAJOR,"⚠ MINOR",IF(J27&lt;=PARAM_REJECT_MAX,"⚠ PERHATIAN","🚨 ESKALASI"))))))),  "—")</f>
        <v>—</v>
      </c>
      <c r="L27" s="76" t="str">
        <f t="shared" si="2"/>
        <v>—</v>
      </c>
      <c r="M27" s="76" t="str">
        <f t="shared" si="3"/>
        <v>—</v>
      </c>
    </row>
    <row r="28" ht="18.75" customHeight="1">
      <c r="A28" s="77"/>
      <c r="B28" s="77"/>
      <c r="C28" s="78"/>
      <c r="D28" s="117"/>
      <c r="E28" s="117"/>
      <c r="F28" s="123"/>
      <c r="G28" s="123"/>
      <c r="H28" s="77"/>
      <c r="I28" s="117"/>
      <c r="J28" s="124">
        <f t="shared" si="1"/>
        <v>0</v>
      </c>
      <c r="K28" s="81" t="str">
        <f>IFERROR(IF(A28="","—",IF(H28="Selesai","✓ Selesai",IF(H28="Cancel","✗ Cancel",IF(E28=0,"—",IF(J28=0,"✓ BAGUS",IF(J28&lt;=PARAM_REJECT_MAJOR,"⚠ MINOR",IF(J28&lt;=PARAM_REJECT_MAX,"⚠ PERHATIAN","🚨 ESKALASI"))))))),  "—")</f>
        <v>—</v>
      </c>
      <c r="L28" s="81" t="str">
        <f t="shared" si="2"/>
        <v>—</v>
      </c>
      <c r="M28" s="81" t="str">
        <f t="shared" si="3"/>
        <v>—</v>
      </c>
    </row>
    <row r="29" ht="18.75" customHeight="1">
      <c r="A29" s="72"/>
      <c r="B29" s="72"/>
      <c r="C29" s="73"/>
      <c r="D29" s="113"/>
      <c r="E29" s="113"/>
      <c r="F29" s="125"/>
      <c r="G29" s="125"/>
      <c r="H29" s="72"/>
      <c r="I29" s="113"/>
      <c r="J29" s="122">
        <f t="shared" si="1"/>
        <v>0</v>
      </c>
      <c r="K29" s="76" t="str">
        <f>IFERROR(IF(A29="","—",IF(H29="Selesai","✓ Selesai",IF(H29="Cancel","✗ Cancel",IF(E29=0,"—",IF(J29=0,"✓ BAGUS",IF(J29&lt;=PARAM_REJECT_MAJOR,"⚠ MINOR",IF(J29&lt;=PARAM_REJECT_MAX,"⚠ PERHATIAN","🚨 ESKALASI"))))))),  "—")</f>
        <v>—</v>
      </c>
      <c r="L29" s="76" t="str">
        <f t="shared" si="2"/>
        <v>—</v>
      </c>
      <c r="M29" s="76" t="str">
        <f t="shared" si="3"/>
        <v>—</v>
      </c>
    </row>
    <row r="30" ht="18.75" customHeight="1">
      <c r="A30" s="77"/>
      <c r="B30" s="77"/>
      <c r="C30" s="78"/>
      <c r="D30" s="117"/>
      <c r="E30" s="117"/>
      <c r="F30" s="123"/>
      <c r="G30" s="123"/>
      <c r="H30" s="77"/>
      <c r="I30" s="117"/>
      <c r="J30" s="124">
        <f t="shared" si="1"/>
        <v>0</v>
      </c>
      <c r="K30" s="81" t="str">
        <f>IFERROR(IF(A30="","—",IF(H30="Selesai","✓ Selesai",IF(H30="Cancel","✗ Cancel",IF(E30=0,"—",IF(J30=0,"✓ BAGUS",IF(J30&lt;=PARAM_REJECT_MAJOR,"⚠ MINOR",IF(J30&lt;=PARAM_REJECT_MAX,"⚠ PERHATIAN","🚨 ESKALASI"))))))),  "—")</f>
        <v>—</v>
      </c>
      <c r="L30" s="81" t="str">
        <f t="shared" si="2"/>
        <v>—</v>
      </c>
      <c r="M30" s="81" t="str">
        <f t="shared" si="3"/>
        <v>—</v>
      </c>
    </row>
    <row r="31" ht="18.75" customHeight="1">
      <c r="A31" s="72"/>
      <c r="B31" s="72"/>
      <c r="C31" s="73"/>
      <c r="D31" s="113"/>
      <c r="E31" s="113"/>
      <c r="F31" s="125"/>
      <c r="G31" s="125"/>
      <c r="H31" s="72"/>
      <c r="I31" s="113"/>
      <c r="J31" s="122">
        <f t="shared" si="1"/>
        <v>0</v>
      </c>
      <c r="K31" s="76" t="str">
        <f>IFERROR(IF(A31="","—",IF(H31="Selesai","✓ Selesai",IF(H31="Cancel","✗ Cancel",IF(E31=0,"—",IF(J31=0,"✓ BAGUS",IF(J31&lt;=PARAM_REJECT_MAJOR,"⚠ MINOR",IF(J31&lt;=PARAM_REJECT_MAX,"⚠ PERHATIAN","🚨 ESKALASI"))))))),  "—")</f>
        <v>—</v>
      </c>
      <c r="L31" s="76" t="str">
        <f t="shared" si="2"/>
        <v>—</v>
      </c>
      <c r="M31" s="76" t="str">
        <f t="shared" si="3"/>
        <v>—</v>
      </c>
    </row>
    <row r="32" ht="18.75" customHeight="1">
      <c r="A32" s="77"/>
      <c r="B32" s="77"/>
      <c r="C32" s="78"/>
      <c r="D32" s="117"/>
      <c r="E32" s="117"/>
      <c r="F32" s="123"/>
      <c r="G32" s="123"/>
      <c r="H32" s="77"/>
      <c r="I32" s="117"/>
      <c r="J32" s="124">
        <f t="shared" si="1"/>
        <v>0</v>
      </c>
      <c r="K32" s="81" t="str">
        <f>IFERROR(IF(A32="","—",IF(H32="Selesai","✓ Selesai",IF(H32="Cancel","✗ Cancel",IF(E32=0,"—",IF(J32=0,"✓ BAGUS",IF(J32&lt;=PARAM_REJECT_MAJOR,"⚠ MINOR",IF(J32&lt;=PARAM_REJECT_MAX,"⚠ PERHATIAN","🚨 ESKALASI"))))))),  "—")</f>
        <v>—</v>
      </c>
      <c r="L32" s="81" t="str">
        <f t="shared" si="2"/>
        <v>—</v>
      </c>
      <c r="M32" s="81" t="str">
        <f t="shared" si="3"/>
        <v>—</v>
      </c>
    </row>
    <row r="33" ht="18.75" customHeight="1">
      <c r="A33" s="72"/>
      <c r="B33" s="72"/>
      <c r="C33" s="73"/>
      <c r="D33" s="113"/>
      <c r="E33" s="113"/>
      <c r="F33" s="125"/>
      <c r="G33" s="125"/>
      <c r="H33" s="72"/>
      <c r="I33" s="113"/>
      <c r="J33" s="122">
        <f t="shared" si="1"/>
        <v>0</v>
      </c>
      <c r="K33" s="76" t="str">
        <f>IFERROR(IF(A33="","—",IF(H33="Selesai","✓ Selesai",IF(H33="Cancel","✗ Cancel",IF(E33=0,"—",IF(J33=0,"✓ BAGUS",IF(J33&lt;=PARAM_REJECT_MAJOR,"⚠ MINOR",IF(J33&lt;=PARAM_REJECT_MAX,"⚠ PERHATIAN","🚨 ESKALASI"))))))),  "—")</f>
        <v>—</v>
      </c>
      <c r="L33" s="76" t="str">
        <f t="shared" si="2"/>
        <v>—</v>
      </c>
      <c r="M33" s="76" t="str">
        <f t="shared" si="3"/>
        <v>—</v>
      </c>
    </row>
    <row r="34" ht="18.75" customHeight="1">
      <c r="A34" s="77"/>
      <c r="B34" s="77"/>
      <c r="C34" s="78"/>
      <c r="D34" s="117"/>
      <c r="E34" s="117"/>
      <c r="F34" s="123"/>
      <c r="G34" s="123"/>
      <c r="H34" s="77"/>
      <c r="I34" s="117"/>
      <c r="J34" s="124">
        <f t="shared" si="1"/>
        <v>0</v>
      </c>
      <c r="K34" s="81" t="str">
        <f>IFERROR(IF(A34="","—",IF(H34="Selesai","✓ Selesai",IF(H34="Cancel","✗ Cancel",IF(E34=0,"—",IF(J34=0,"✓ BAGUS",IF(J34&lt;=PARAM_REJECT_MAJOR,"⚠ MINOR",IF(J34&lt;=PARAM_REJECT_MAX,"⚠ PERHATIAN","🚨 ESKALASI"))))))),  "—")</f>
        <v>—</v>
      </c>
      <c r="L34" s="81" t="str">
        <f t="shared" si="2"/>
        <v>—</v>
      </c>
      <c r="M34" s="81" t="str">
        <f t="shared" si="3"/>
        <v>—</v>
      </c>
    </row>
    <row r="35" ht="18.75" customHeight="1">
      <c r="A35" s="72"/>
      <c r="B35" s="72"/>
      <c r="C35" s="73"/>
      <c r="D35" s="113"/>
      <c r="E35" s="113"/>
      <c r="F35" s="125"/>
      <c r="G35" s="125"/>
      <c r="H35" s="72"/>
      <c r="I35" s="113"/>
      <c r="J35" s="122">
        <f t="shared" si="1"/>
        <v>0</v>
      </c>
      <c r="K35" s="76" t="str">
        <f>IFERROR(IF(A35="","—",IF(H35="Selesai","✓ Selesai",IF(H35="Cancel","✗ Cancel",IF(E35=0,"—",IF(J35=0,"✓ BAGUS",IF(J35&lt;=PARAM_REJECT_MAJOR,"⚠ MINOR",IF(J35&lt;=PARAM_REJECT_MAX,"⚠ PERHATIAN","🚨 ESKALASI"))))))),  "—")</f>
        <v>—</v>
      </c>
      <c r="L35" s="76" t="str">
        <f t="shared" si="2"/>
        <v>—</v>
      </c>
      <c r="M35" s="76" t="str">
        <f t="shared" si="3"/>
        <v>—</v>
      </c>
    </row>
    <row r="36" ht="18.75" customHeight="1">
      <c r="A36" s="77"/>
      <c r="B36" s="77"/>
      <c r="C36" s="78"/>
      <c r="D36" s="117"/>
      <c r="E36" s="117"/>
      <c r="F36" s="123"/>
      <c r="G36" s="123"/>
      <c r="H36" s="77"/>
      <c r="I36" s="117"/>
      <c r="J36" s="124">
        <f t="shared" si="1"/>
        <v>0</v>
      </c>
      <c r="K36" s="81" t="str">
        <f>IFERROR(IF(A36="","—",IF(H36="Selesai","✓ Selesai",IF(H36="Cancel","✗ Cancel",IF(E36=0,"—",IF(J36=0,"✓ BAGUS",IF(J36&lt;=PARAM_REJECT_MAJOR,"⚠ MINOR",IF(J36&lt;=PARAM_REJECT_MAX,"⚠ PERHATIAN","🚨 ESKALASI"))))))),  "—")</f>
        <v>—</v>
      </c>
      <c r="L36" s="81" t="str">
        <f t="shared" si="2"/>
        <v>—</v>
      </c>
      <c r="M36" s="81" t="str">
        <f t="shared" si="3"/>
        <v>—</v>
      </c>
    </row>
    <row r="37" ht="18.75" customHeight="1">
      <c r="A37" s="72"/>
      <c r="B37" s="72"/>
      <c r="C37" s="73"/>
      <c r="D37" s="113"/>
      <c r="E37" s="113"/>
      <c r="F37" s="125"/>
      <c r="G37" s="125"/>
      <c r="H37" s="72"/>
      <c r="I37" s="113"/>
      <c r="J37" s="122">
        <f t="shared" si="1"/>
        <v>0</v>
      </c>
      <c r="K37" s="76" t="str">
        <f>IFERROR(IF(A37="","—",IF(H37="Selesai","✓ Selesai",IF(H37="Cancel","✗ Cancel",IF(E37=0,"—",IF(J37=0,"✓ BAGUS",IF(J37&lt;=PARAM_REJECT_MAJOR,"⚠ MINOR",IF(J37&lt;=PARAM_REJECT_MAX,"⚠ PERHATIAN","🚨 ESKALASI"))))))),  "—")</f>
        <v>—</v>
      </c>
      <c r="L37" s="76" t="str">
        <f t="shared" si="2"/>
        <v>—</v>
      </c>
      <c r="M37" s="76" t="str">
        <f t="shared" si="3"/>
        <v>—</v>
      </c>
    </row>
    <row r="38" ht="18.75" customHeight="1">
      <c r="A38" s="77"/>
      <c r="B38" s="77"/>
      <c r="C38" s="78"/>
      <c r="D38" s="117"/>
      <c r="E38" s="117"/>
      <c r="F38" s="123"/>
      <c r="G38" s="123"/>
      <c r="H38" s="77"/>
      <c r="I38" s="117"/>
      <c r="J38" s="124">
        <f t="shared" si="1"/>
        <v>0</v>
      </c>
      <c r="K38" s="81" t="str">
        <f>IFERROR(IF(A38="","—",IF(H38="Selesai","✓ Selesai",IF(H38="Cancel","✗ Cancel",IF(E38=0,"—",IF(J38=0,"✓ BAGUS",IF(J38&lt;=PARAM_REJECT_MAJOR,"⚠ MINOR",IF(J38&lt;=PARAM_REJECT_MAX,"⚠ PERHATIAN","🚨 ESKALASI"))))))),  "—")</f>
        <v>—</v>
      </c>
      <c r="L38" s="81" t="str">
        <f t="shared" si="2"/>
        <v>—</v>
      </c>
      <c r="M38" s="81" t="str">
        <f t="shared" si="3"/>
        <v>—</v>
      </c>
    </row>
    <row r="39" ht="18.75" customHeight="1">
      <c r="A39" s="72"/>
      <c r="B39" s="72"/>
      <c r="C39" s="73"/>
      <c r="D39" s="113"/>
      <c r="E39" s="113"/>
      <c r="F39" s="125"/>
      <c r="G39" s="125"/>
      <c r="H39" s="72"/>
      <c r="I39" s="113"/>
      <c r="J39" s="122">
        <f t="shared" si="1"/>
        <v>0</v>
      </c>
      <c r="K39" s="76" t="str">
        <f>IFERROR(IF(A39="","—",IF(H39="Selesai","✓ Selesai",IF(H39="Cancel","✗ Cancel",IF(E39=0,"—",IF(J39=0,"✓ BAGUS",IF(J39&lt;=PARAM_REJECT_MAJOR,"⚠ MINOR",IF(J39&lt;=PARAM_REJECT_MAX,"⚠ PERHATIAN","🚨 ESKALASI"))))))),  "—")</f>
        <v>—</v>
      </c>
      <c r="L39" s="76" t="str">
        <f t="shared" si="2"/>
        <v>—</v>
      </c>
      <c r="M39" s="76" t="str">
        <f t="shared" si="3"/>
        <v>—</v>
      </c>
    </row>
    <row r="40" ht="18.75" customHeight="1">
      <c r="A40" s="77"/>
      <c r="B40" s="77"/>
      <c r="C40" s="78"/>
      <c r="D40" s="117"/>
      <c r="E40" s="117"/>
      <c r="F40" s="123"/>
      <c r="G40" s="123"/>
      <c r="H40" s="77"/>
      <c r="I40" s="117"/>
      <c r="J40" s="124">
        <f t="shared" si="1"/>
        <v>0</v>
      </c>
      <c r="K40" s="81" t="str">
        <f>IFERROR(IF(A40="","—",IF(H40="Selesai","✓ Selesai",IF(H40="Cancel","✗ Cancel",IF(E40=0,"—",IF(J40=0,"✓ BAGUS",IF(J40&lt;=PARAM_REJECT_MAJOR,"⚠ MINOR",IF(J40&lt;=PARAM_REJECT_MAX,"⚠ PERHATIAN","🚨 ESKALASI"))))))),  "—")</f>
        <v>—</v>
      </c>
      <c r="L40" s="81" t="str">
        <f t="shared" si="2"/>
        <v>—</v>
      </c>
      <c r="M40" s="81" t="str">
        <f t="shared" si="3"/>
        <v>—</v>
      </c>
    </row>
    <row r="41" ht="18.75" customHeight="1">
      <c r="A41" s="72"/>
      <c r="B41" s="72"/>
      <c r="C41" s="73"/>
      <c r="D41" s="113"/>
      <c r="E41" s="113"/>
      <c r="F41" s="125"/>
      <c r="G41" s="125"/>
      <c r="H41" s="72"/>
      <c r="I41" s="113"/>
      <c r="J41" s="122">
        <f t="shared" si="1"/>
        <v>0</v>
      </c>
      <c r="K41" s="76" t="str">
        <f>IFERROR(IF(A41="","—",IF(H41="Selesai","✓ Selesai",IF(H41="Cancel","✗ Cancel",IF(E41=0,"—",IF(J41=0,"✓ BAGUS",IF(J41&lt;=PARAM_REJECT_MAJOR,"⚠ MINOR",IF(J41&lt;=PARAM_REJECT_MAX,"⚠ PERHATIAN","🚨 ESKALASI"))))))),  "—")</f>
        <v>—</v>
      </c>
      <c r="L41" s="76" t="str">
        <f t="shared" si="2"/>
        <v>—</v>
      </c>
      <c r="M41" s="76" t="str">
        <f t="shared" si="3"/>
        <v>—</v>
      </c>
    </row>
    <row r="42" ht="18.75" customHeight="1">
      <c r="A42" s="77"/>
      <c r="B42" s="77"/>
      <c r="C42" s="78"/>
      <c r="D42" s="117"/>
      <c r="E42" s="117"/>
      <c r="F42" s="123"/>
      <c r="G42" s="123"/>
      <c r="H42" s="77"/>
      <c r="I42" s="117"/>
      <c r="J42" s="124">
        <f t="shared" si="1"/>
        <v>0</v>
      </c>
      <c r="K42" s="81" t="str">
        <f>IFERROR(IF(A42="","—",IF(H42="Selesai","✓ Selesai",IF(H42="Cancel","✗ Cancel",IF(E42=0,"—",IF(J42=0,"✓ BAGUS",IF(J42&lt;=PARAM_REJECT_MAJOR,"⚠ MINOR",IF(J42&lt;=PARAM_REJECT_MAX,"⚠ PERHATIAN","🚨 ESKALASI"))))))),  "—")</f>
        <v>—</v>
      </c>
      <c r="L42" s="81" t="str">
        <f t="shared" si="2"/>
        <v>—</v>
      </c>
      <c r="M42" s="81" t="str">
        <f t="shared" si="3"/>
        <v>—</v>
      </c>
    </row>
    <row r="43" ht="18.75" customHeight="1">
      <c r="A43" s="72"/>
      <c r="B43" s="72"/>
      <c r="C43" s="73"/>
      <c r="D43" s="113"/>
      <c r="E43" s="113"/>
      <c r="F43" s="125"/>
      <c r="G43" s="125"/>
      <c r="H43" s="72"/>
      <c r="I43" s="113"/>
      <c r="J43" s="122">
        <f t="shared" si="1"/>
        <v>0</v>
      </c>
      <c r="K43" s="76" t="str">
        <f>IFERROR(IF(A43="","—",IF(H43="Selesai","✓ Selesai",IF(H43="Cancel","✗ Cancel",IF(E43=0,"—",IF(J43=0,"✓ BAGUS",IF(J43&lt;=PARAM_REJECT_MAJOR,"⚠ MINOR",IF(J43&lt;=PARAM_REJECT_MAX,"⚠ PERHATIAN","🚨 ESKALASI"))))))),  "—")</f>
        <v>—</v>
      </c>
      <c r="L43" s="76" t="str">
        <f t="shared" si="2"/>
        <v>—</v>
      </c>
      <c r="M43" s="76" t="str">
        <f t="shared" si="3"/>
        <v>—</v>
      </c>
    </row>
    <row r="44" ht="18.75" customHeight="1">
      <c r="A44" s="77"/>
      <c r="B44" s="77"/>
      <c r="C44" s="78"/>
      <c r="D44" s="117"/>
      <c r="E44" s="117"/>
      <c r="F44" s="123"/>
      <c r="G44" s="123"/>
      <c r="H44" s="77"/>
      <c r="I44" s="117"/>
      <c r="J44" s="124">
        <f t="shared" si="1"/>
        <v>0</v>
      </c>
      <c r="K44" s="81" t="str">
        <f>IFERROR(IF(A44="","—",IF(H44="Selesai","✓ Selesai",IF(H44="Cancel","✗ Cancel",IF(E44=0,"—",IF(J44=0,"✓ BAGUS",IF(J44&lt;=PARAM_REJECT_MAJOR,"⚠ MINOR",IF(J44&lt;=PARAM_REJECT_MAX,"⚠ PERHATIAN","🚨 ESKALASI"))))))),  "—")</f>
        <v>—</v>
      </c>
      <c r="L44" s="81" t="str">
        <f t="shared" si="2"/>
        <v>—</v>
      </c>
      <c r="M44" s="81" t="str">
        <f t="shared" si="3"/>
        <v>—</v>
      </c>
    </row>
    <row r="45" ht="18.75" customHeight="1">
      <c r="A45" s="72"/>
      <c r="B45" s="72"/>
      <c r="C45" s="73"/>
      <c r="D45" s="113"/>
      <c r="E45" s="113"/>
      <c r="F45" s="125"/>
      <c r="G45" s="125"/>
      <c r="H45" s="72"/>
      <c r="I45" s="113"/>
      <c r="J45" s="122">
        <f t="shared" si="1"/>
        <v>0</v>
      </c>
      <c r="K45" s="76" t="str">
        <f>IFERROR(IF(A45="","—",IF(H45="Selesai","✓ Selesai",IF(H45="Cancel","✗ Cancel",IF(E45=0,"—",IF(J45=0,"✓ BAGUS",IF(J45&lt;=PARAM_REJECT_MAJOR,"⚠ MINOR",IF(J45&lt;=PARAM_REJECT_MAX,"⚠ PERHATIAN","🚨 ESKALASI"))))))),  "—")</f>
        <v>—</v>
      </c>
      <c r="L45" s="76" t="str">
        <f t="shared" si="2"/>
        <v>—</v>
      </c>
      <c r="M45" s="76" t="str">
        <f t="shared" si="3"/>
        <v>—</v>
      </c>
    </row>
    <row r="46" ht="18.75" customHeight="1">
      <c r="A46" s="77"/>
      <c r="B46" s="77"/>
      <c r="C46" s="78"/>
      <c r="D46" s="117"/>
      <c r="E46" s="117"/>
      <c r="F46" s="123"/>
      <c r="G46" s="123"/>
      <c r="H46" s="77"/>
      <c r="I46" s="117"/>
      <c r="J46" s="124">
        <f t="shared" si="1"/>
        <v>0</v>
      </c>
      <c r="K46" s="81" t="str">
        <f>IFERROR(IF(A46="","—",IF(H46="Selesai","✓ Selesai",IF(H46="Cancel","✗ Cancel",IF(E46=0,"—",IF(J46=0,"✓ BAGUS",IF(J46&lt;=PARAM_REJECT_MAJOR,"⚠ MINOR",IF(J46&lt;=PARAM_REJECT_MAX,"⚠ PERHATIAN","🚨 ESKALASI"))))))),  "—")</f>
        <v>—</v>
      </c>
      <c r="L46" s="81" t="str">
        <f t="shared" si="2"/>
        <v>—</v>
      </c>
      <c r="M46" s="81" t="str">
        <f t="shared" si="3"/>
        <v>—</v>
      </c>
    </row>
    <row r="47" ht="18.75" customHeight="1">
      <c r="A47" s="72"/>
      <c r="B47" s="72"/>
      <c r="C47" s="73"/>
      <c r="D47" s="113"/>
      <c r="E47" s="113"/>
      <c r="F47" s="125"/>
      <c r="G47" s="125"/>
      <c r="H47" s="72"/>
      <c r="I47" s="113"/>
      <c r="J47" s="122">
        <f t="shared" si="1"/>
        <v>0</v>
      </c>
      <c r="K47" s="76" t="str">
        <f>IFERROR(IF(A47="","—",IF(H47="Selesai","✓ Selesai",IF(H47="Cancel","✗ Cancel",IF(E47=0,"—",IF(J47=0,"✓ BAGUS",IF(J47&lt;=PARAM_REJECT_MAJOR,"⚠ MINOR",IF(J47&lt;=PARAM_REJECT_MAX,"⚠ PERHATIAN","🚨 ESKALASI"))))))),  "—")</f>
        <v>—</v>
      </c>
      <c r="L47" s="76" t="str">
        <f t="shared" si="2"/>
        <v>—</v>
      </c>
      <c r="M47" s="76" t="str">
        <f t="shared" si="3"/>
        <v>—</v>
      </c>
    </row>
    <row r="48" ht="18.75" customHeight="1">
      <c r="A48" s="77"/>
      <c r="B48" s="77"/>
      <c r="C48" s="78"/>
      <c r="D48" s="117"/>
      <c r="E48" s="117"/>
      <c r="F48" s="123"/>
      <c r="G48" s="123"/>
      <c r="H48" s="77"/>
      <c r="I48" s="117"/>
      <c r="J48" s="124">
        <f t="shared" si="1"/>
        <v>0</v>
      </c>
      <c r="K48" s="81" t="str">
        <f>IFERROR(IF(A48="","—",IF(H48="Selesai","✓ Selesai",IF(H48="Cancel","✗ Cancel",IF(E48=0,"—",IF(J48=0,"✓ BAGUS",IF(J48&lt;=PARAM_REJECT_MAJOR,"⚠ MINOR",IF(J48&lt;=PARAM_REJECT_MAX,"⚠ PERHATIAN","🚨 ESKALASI"))))))),  "—")</f>
        <v>—</v>
      </c>
      <c r="L48" s="81" t="str">
        <f t="shared" si="2"/>
        <v>—</v>
      </c>
      <c r="M48" s="81" t="str">
        <f t="shared" si="3"/>
        <v>—</v>
      </c>
    </row>
    <row r="49" ht="18.75" customHeight="1">
      <c r="A49" s="72"/>
      <c r="B49" s="72"/>
      <c r="C49" s="73"/>
      <c r="D49" s="113"/>
      <c r="E49" s="113"/>
      <c r="F49" s="125"/>
      <c r="G49" s="125"/>
      <c r="H49" s="72"/>
      <c r="I49" s="113"/>
      <c r="J49" s="122">
        <f t="shared" si="1"/>
        <v>0</v>
      </c>
      <c r="K49" s="76" t="str">
        <f>IFERROR(IF(A49="","—",IF(H49="Selesai","✓ Selesai",IF(H49="Cancel","✗ Cancel",IF(E49=0,"—",IF(J49=0,"✓ BAGUS",IF(J49&lt;=PARAM_REJECT_MAJOR,"⚠ MINOR",IF(J49&lt;=PARAM_REJECT_MAX,"⚠ PERHATIAN","🚨 ESKALASI"))))))),  "—")</f>
        <v>—</v>
      </c>
      <c r="L49" s="76" t="str">
        <f t="shared" si="2"/>
        <v>—</v>
      </c>
      <c r="M49" s="76" t="str">
        <f t="shared" si="3"/>
        <v>—</v>
      </c>
    </row>
    <row r="50" ht="18.75" customHeight="1">
      <c r="A50" s="77"/>
      <c r="B50" s="77"/>
      <c r="C50" s="78"/>
      <c r="D50" s="117"/>
      <c r="E50" s="117"/>
      <c r="F50" s="123"/>
      <c r="G50" s="123"/>
      <c r="H50" s="77"/>
      <c r="I50" s="117"/>
      <c r="J50" s="124">
        <f t="shared" si="1"/>
        <v>0</v>
      </c>
      <c r="K50" s="81" t="str">
        <f>IFERROR(IF(A50="","—",IF(H50="Selesai","✓ Selesai",IF(H50="Cancel","✗ Cancel",IF(E50=0,"—",IF(J50=0,"✓ BAGUS",IF(J50&lt;=PARAM_REJECT_MAJOR,"⚠ MINOR",IF(J50&lt;=PARAM_REJECT_MAX,"⚠ PERHATIAN","🚨 ESKALASI"))))))),  "—")</f>
        <v>—</v>
      </c>
      <c r="L50" s="81" t="str">
        <f t="shared" si="2"/>
        <v>—</v>
      </c>
      <c r="M50" s="81" t="str">
        <f t="shared" si="3"/>
        <v>—</v>
      </c>
    </row>
    <row r="51" ht="18.75" customHeight="1">
      <c r="A51" s="72"/>
      <c r="B51" s="72"/>
      <c r="C51" s="73"/>
      <c r="D51" s="113"/>
      <c r="E51" s="113"/>
      <c r="F51" s="125"/>
      <c r="G51" s="125"/>
      <c r="H51" s="72"/>
      <c r="I51" s="113"/>
      <c r="J51" s="122">
        <f t="shared" si="1"/>
        <v>0</v>
      </c>
      <c r="K51" s="76" t="str">
        <f>IFERROR(IF(A51="","—",IF(H51="Selesai","✓ Selesai",IF(H51="Cancel","✗ Cancel",IF(E51=0,"—",IF(J51=0,"✓ BAGUS",IF(J51&lt;=PARAM_REJECT_MAJOR,"⚠ MINOR",IF(J51&lt;=PARAM_REJECT_MAX,"⚠ PERHATIAN","🚨 ESKALASI"))))))),  "—")</f>
        <v>—</v>
      </c>
      <c r="L51" s="76" t="str">
        <f t="shared" si="2"/>
        <v>—</v>
      </c>
      <c r="M51" s="76" t="str">
        <f t="shared" si="3"/>
        <v>—</v>
      </c>
    </row>
    <row r="52" ht="18.75" customHeight="1">
      <c r="A52" s="77"/>
      <c r="B52" s="77"/>
      <c r="C52" s="78"/>
      <c r="D52" s="117"/>
      <c r="E52" s="117"/>
      <c r="F52" s="123"/>
      <c r="G52" s="123"/>
      <c r="H52" s="77"/>
      <c r="I52" s="117"/>
      <c r="J52" s="124">
        <f t="shared" si="1"/>
        <v>0</v>
      </c>
      <c r="K52" s="81" t="str">
        <f>IFERROR(IF(A52="","—",IF(H52="Selesai","✓ Selesai",IF(H52="Cancel","✗ Cancel",IF(E52=0,"—",IF(J52=0,"✓ BAGUS",IF(J52&lt;=PARAM_REJECT_MAJOR,"⚠ MINOR",IF(J52&lt;=PARAM_REJECT_MAX,"⚠ PERHATIAN","🚨 ESKALASI"))))))),  "—")</f>
        <v>—</v>
      </c>
      <c r="L52" s="81" t="str">
        <f t="shared" si="2"/>
        <v>—</v>
      </c>
      <c r="M52" s="81" t="str">
        <f t="shared" si="3"/>
        <v>—</v>
      </c>
    </row>
    <row r="53" ht="18.75" customHeight="1">
      <c r="A53" s="72"/>
      <c r="B53" s="72"/>
      <c r="C53" s="73"/>
      <c r="D53" s="113"/>
      <c r="E53" s="113"/>
      <c r="F53" s="125"/>
      <c r="G53" s="125"/>
      <c r="H53" s="72"/>
      <c r="I53" s="113"/>
      <c r="J53" s="122">
        <f t="shared" si="1"/>
        <v>0</v>
      </c>
      <c r="K53" s="76" t="str">
        <f>IFERROR(IF(A53="","—",IF(H53="Selesai","✓ Selesai",IF(H53="Cancel","✗ Cancel",IF(E53=0,"—",IF(J53=0,"✓ BAGUS",IF(J53&lt;=PARAM_REJECT_MAJOR,"⚠ MINOR",IF(J53&lt;=PARAM_REJECT_MAX,"⚠ PERHATIAN","🚨 ESKALASI"))))))),  "—")</f>
        <v>—</v>
      </c>
      <c r="L53" s="76" t="str">
        <f t="shared" si="2"/>
        <v>—</v>
      </c>
      <c r="M53" s="76" t="str">
        <f t="shared" si="3"/>
        <v>—</v>
      </c>
    </row>
    <row r="54" ht="18.75" customHeight="1">
      <c r="A54" s="77"/>
      <c r="B54" s="77"/>
      <c r="C54" s="78"/>
      <c r="D54" s="117"/>
      <c r="E54" s="117"/>
      <c r="F54" s="123"/>
      <c r="G54" s="123"/>
      <c r="H54" s="77"/>
      <c r="I54" s="117"/>
      <c r="J54" s="124">
        <f t="shared" si="1"/>
        <v>0</v>
      </c>
      <c r="K54" s="81" t="str">
        <f>IFERROR(IF(A54="","—",IF(H54="Selesai","✓ Selesai",IF(H54="Cancel","✗ Cancel",IF(E54=0,"—",IF(J54=0,"✓ BAGUS",IF(J54&lt;=PARAM_REJECT_MAJOR,"⚠ MINOR",IF(J54&lt;=PARAM_REJECT_MAX,"⚠ PERHATIAN","🚨 ESKALASI"))))))),  "—")</f>
        <v>—</v>
      </c>
      <c r="L54" s="81" t="str">
        <f t="shared" si="2"/>
        <v>—</v>
      </c>
      <c r="M54" s="81" t="str">
        <f t="shared" si="3"/>
        <v>—</v>
      </c>
    </row>
    <row r="55" ht="18.75" customHeight="1">
      <c r="A55" s="72"/>
      <c r="B55" s="72"/>
      <c r="C55" s="73"/>
      <c r="D55" s="113"/>
      <c r="E55" s="113"/>
      <c r="F55" s="125"/>
      <c r="G55" s="125"/>
      <c r="H55" s="72"/>
      <c r="I55" s="113"/>
      <c r="J55" s="122">
        <f t="shared" si="1"/>
        <v>0</v>
      </c>
      <c r="K55" s="76" t="str">
        <f>IFERROR(IF(A55="","—",IF(H55="Selesai","✓ Selesai",IF(H55="Cancel","✗ Cancel",IF(E55=0,"—",IF(J55=0,"✓ BAGUS",IF(J55&lt;=PARAM_REJECT_MAJOR,"⚠ MINOR",IF(J55&lt;=PARAM_REJECT_MAX,"⚠ PERHATIAN","🚨 ESKALASI"))))))),  "—")</f>
        <v>—</v>
      </c>
      <c r="L55" s="76" t="str">
        <f t="shared" si="2"/>
        <v>—</v>
      </c>
      <c r="M55" s="76" t="str">
        <f t="shared" si="3"/>
        <v>—</v>
      </c>
    </row>
    <row r="56" ht="18.75" customHeight="1">
      <c r="A56" s="77"/>
      <c r="B56" s="77"/>
      <c r="C56" s="78"/>
      <c r="D56" s="117"/>
      <c r="E56" s="117"/>
      <c r="F56" s="123"/>
      <c r="G56" s="123"/>
      <c r="H56" s="77"/>
      <c r="I56" s="117"/>
      <c r="J56" s="124">
        <f t="shared" si="1"/>
        <v>0</v>
      </c>
      <c r="K56" s="81" t="str">
        <f>IFERROR(IF(A56="","—",IF(H56="Selesai","✓ Selesai",IF(H56="Cancel","✗ Cancel",IF(E56=0,"—",IF(J56=0,"✓ BAGUS",IF(J56&lt;=PARAM_REJECT_MAJOR,"⚠ MINOR",IF(J56&lt;=PARAM_REJECT_MAX,"⚠ PERHATIAN","🚨 ESKALASI"))))))),  "—")</f>
        <v>—</v>
      </c>
      <c r="L56" s="81" t="str">
        <f t="shared" si="2"/>
        <v>—</v>
      </c>
      <c r="M56" s="81" t="str">
        <f t="shared" si="3"/>
        <v>—</v>
      </c>
    </row>
    <row r="57" ht="18.75" customHeight="1">
      <c r="A57" s="72"/>
      <c r="B57" s="72"/>
      <c r="C57" s="73"/>
      <c r="D57" s="113"/>
      <c r="E57" s="113"/>
      <c r="F57" s="125"/>
      <c r="G57" s="125"/>
      <c r="H57" s="72"/>
      <c r="I57" s="113"/>
      <c r="J57" s="122">
        <f t="shared" si="1"/>
        <v>0</v>
      </c>
      <c r="K57" s="76" t="str">
        <f>IFERROR(IF(A57="","—",IF(H57="Selesai","✓ Selesai",IF(H57="Cancel","✗ Cancel",IF(E57=0,"—",IF(J57=0,"✓ BAGUS",IF(J57&lt;=PARAM_REJECT_MAJOR,"⚠ MINOR",IF(J57&lt;=PARAM_REJECT_MAX,"⚠ PERHATIAN","🚨 ESKALASI"))))))),  "—")</f>
        <v>—</v>
      </c>
      <c r="L57" s="76" t="str">
        <f t="shared" si="2"/>
        <v>—</v>
      </c>
      <c r="M57" s="76" t="str">
        <f t="shared" si="3"/>
        <v>—</v>
      </c>
    </row>
    <row r="58" ht="18.75" customHeight="1">
      <c r="A58" s="77"/>
      <c r="B58" s="77"/>
      <c r="C58" s="78"/>
      <c r="D58" s="117"/>
      <c r="E58" s="117"/>
      <c r="F58" s="123"/>
      <c r="G58" s="123"/>
      <c r="H58" s="77"/>
      <c r="I58" s="117"/>
      <c r="J58" s="124">
        <f t="shared" si="1"/>
        <v>0</v>
      </c>
      <c r="K58" s="81" t="str">
        <f>IFERROR(IF(A58="","—",IF(H58="Selesai","✓ Selesai",IF(H58="Cancel","✗ Cancel",IF(E58=0,"—",IF(J58=0,"✓ BAGUS",IF(J58&lt;=PARAM_REJECT_MAJOR,"⚠ MINOR",IF(J58&lt;=PARAM_REJECT_MAX,"⚠ PERHATIAN","🚨 ESKALASI"))))))),  "—")</f>
        <v>—</v>
      </c>
      <c r="L58" s="81" t="str">
        <f t="shared" si="2"/>
        <v>—</v>
      </c>
      <c r="M58" s="81" t="str">
        <f t="shared" si="3"/>
        <v>—</v>
      </c>
    </row>
    <row r="59" ht="18.75" customHeight="1">
      <c r="A59" s="72"/>
      <c r="B59" s="72"/>
      <c r="C59" s="73"/>
      <c r="D59" s="113"/>
      <c r="E59" s="113"/>
      <c r="F59" s="125"/>
      <c r="G59" s="125"/>
      <c r="H59" s="72"/>
      <c r="I59" s="113"/>
      <c r="J59" s="122">
        <f t="shared" si="1"/>
        <v>0</v>
      </c>
      <c r="K59" s="76" t="str">
        <f>IFERROR(IF(A59="","—",IF(H59="Selesai","✓ Selesai",IF(H59="Cancel","✗ Cancel",IF(E59=0,"—",IF(J59=0,"✓ BAGUS",IF(J59&lt;=PARAM_REJECT_MAJOR,"⚠ MINOR",IF(J59&lt;=PARAM_REJECT_MAX,"⚠ PERHATIAN","🚨 ESKALASI"))))))),  "—")</f>
        <v>—</v>
      </c>
      <c r="L59" s="76" t="str">
        <f t="shared" si="2"/>
        <v>—</v>
      </c>
      <c r="M59" s="76" t="str">
        <f t="shared" si="3"/>
        <v>—</v>
      </c>
    </row>
    <row r="60" ht="18.75" customHeight="1">
      <c r="A60" s="77"/>
      <c r="B60" s="77"/>
      <c r="C60" s="78"/>
      <c r="D60" s="117"/>
      <c r="E60" s="117"/>
      <c r="F60" s="123"/>
      <c r="G60" s="123"/>
      <c r="H60" s="77"/>
      <c r="I60" s="117"/>
      <c r="J60" s="124">
        <f t="shared" si="1"/>
        <v>0</v>
      </c>
      <c r="K60" s="81" t="str">
        <f>IFERROR(IF(A60="","—",IF(H60="Selesai","✓ Selesai",IF(H60="Cancel","✗ Cancel",IF(E60=0,"—",IF(J60=0,"✓ BAGUS",IF(J60&lt;=PARAM_REJECT_MAJOR,"⚠ MINOR",IF(J60&lt;=PARAM_REJECT_MAX,"⚠ PERHATIAN","🚨 ESKALASI"))))))),  "—")</f>
        <v>—</v>
      </c>
      <c r="L60" s="81" t="str">
        <f t="shared" si="2"/>
        <v>—</v>
      </c>
      <c r="M60" s="81" t="str">
        <f t="shared" si="3"/>
        <v>—</v>
      </c>
    </row>
    <row r="61" ht="18.75" customHeight="1">
      <c r="A61" s="72"/>
      <c r="B61" s="72"/>
      <c r="C61" s="73"/>
      <c r="D61" s="113"/>
      <c r="E61" s="113"/>
      <c r="F61" s="125"/>
      <c r="G61" s="125"/>
      <c r="H61" s="72"/>
      <c r="I61" s="113"/>
      <c r="J61" s="122">
        <f t="shared" si="1"/>
        <v>0</v>
      </c>
      <c r="K61" s="76" t="str">
        <f>IFERROR(IF(A61="","—",IF(H61="Selesai","✓ Selesai",IF(H61="Cancel","✗ Cancel",IF(E61=0,"—",IF(J61=0,"✓ BAGUS",IF(J61&lt;=PARAM_REJECT_MAJOR,"⚠ MINOR",IF(J61&lt;=PARAM_REJECT_MAX,"⚠ PERHATIAN","🚨 ESKALASI"))))))),  "—")</f>
        <v>—</v>
      </c>
      <c r="L61" s="76" t="str">
        <f t="shared" si="2"/>
        <v>—</v>
      </c>
      <c r="M61" s="76" t="str">
        <f t="shared" si="3"/>
        <v>—</v>
      </c>
    </row>
    <row r="62" ht="18.75" customHeight="1">
      <c r="A62" s="77"/>
      <c r="B62" s="77"/>
      <c r="C62" s="78"/>
      <c r="D62" s="117"/>
      <c r="E62" s="117"/>
      <c r="F62" s="123"/>
      <c r="G62" s="123"/>
      <c r="H62" s="77"/>
      <c r="I62" s="117"/>
      <c r="J62" s="124">
        <f t="shared" si="1"/>
        <v>0</v>
      </c>
      <c r="K62" s="81" t="str">
        <f>IFERROR(IF(A62="","—",IF(H62="Selesai","✓ Selesai",IF(H62="Cancel","✗ Cancel",IF(E62=0,"—",IF(J62=0,"✓ BAGUS",IF(J62&lt;=PARAM_REJECT_MAJOR,"⚠ MINOR",IF(J62&lt;=PARAM_REJECT_MAX,"⚠ PERHATIAN","🚨 ESKALASI"))))))),  "—")</f>
        <v>—</v>
      </c>
      <c r="L62" s="81" t="str">
        <f t="shared" si="2"/>
        <v>—</v>
      </c>
      <c r="M62" s="81" t="str">
        <f t="shared" si="3"/>
        <v>—</v>
      </c>
    </row>
    <row r="63" ht="18.75" customHeight="1">
      <c r="A63" s="72"/>
      <c r="B63" s="72"/>
      <c r="C63" s="73"/>
      <c r="D63" s="113"/>
      <c r="E63" s="113"/>
      <c r="F63" s="125"/>
      <c r="G63" s="125"/>
      <c r="H63" s="72"/>
      <c r="I63" s="113"/>
      <c r="J63" s="122">
        <f t="shared" si="1"/>
        <v>0</v>
      </c>
      <c r="K63" s="76" t="str">
        <f>IFERROR(IF(A63="","—",IF(H63="Selesai","✓ Selesai",IF(H63="Cancel","✗ Cancel",IF(E63=0,"—",IF(J63=0,"✓ BAGUS",IF(J63&lt;=PARAM_REJECT_MAJOR,"⚠ MINOR",IF(J63&lt;=PARAM_REJECT_MAX,"⚠ PERHATIAN","🚨 ESKALASI"))))))),  "—")</f>
        <v>—</v>
      </c>
      <c r="L63" s="76" t="str">
        <f t="shared" si="2"/>
        <v>—</v>
      </c>
      <c r="M63" s="76" t="str">
        <f t="shared" si="3"/>
        <v>—</v>
      </c>
    </row>
    <row r="64" ht="18.75" customHeight="1">
      <c r="A64" s="77"/>
      <c r="B64" s="77"/>
      <c r="C64" s="78"/>
      <c r="D64" s="117"/>
      <c r="E64" s="117"/>
      <c r="F64" s="123"/>
      <c r="G64" s="123"/>
      <c r="H64" s="77"/>
      <c r="I64" s="117"/>
      <c r="J64" s="124">
        <f t="shared" si="1"/>
        <v>0</v>
      </c>
      <c r="K64" s="81" t="str">
        <f>IFERROR(IF(A64="","—",IF(H64="Selesai","✓ Selesai",IF(H64="Cancel","✗ Cancel",IF(E64=0,"—",IF(J64=0,"✓ BAGUS",IF(J64&lt;=PARAM_REJECT_MAJOR,"⚠ MINOR",IF(J64&lt;=PARAM_REJECT_MAX,"⚠ PERHATIAN","🚨 ESKALASI"))))))),  "—")</f>
        <v>—</v>
      </c>
      <c r="L64" s="81" t="str">
        <f t="shared" si="2"/>
        <v>—</v>
      </c>
      <c r="M64" s="81" t="str">
        <f t="shared" si="3"/>
        <v>—</v>
      </c>
    </row>
    <row r="65" ht="18.75" customHeight="1">
      <c r="A65" s="72"/>
      <c r="B65" s="72"/>
      <c r="C65" s="73"/>
      <c r="D65" s="113"/>
      <c r="E65" s="113"/>
      <c r="F65" s="125"/>
      <c r="G65" s="125"/>
      <c r="H65" s="72"/>
      <c r="I65" s="113"/>
      <c r="J65" s="122">
        <f t="shared" si="1"/>
        <v>0</v>
      </c>
      <c r="K65" s="76" t="str">
        <f>IFERROR(IF(A65="","—",IF(H65="Selesai","✓ Selesai",IF(H65="Cancel","✗ Cancel",IF(E65=0,"—",IF(J65=0,"✓ BAGUS",IF(J65&lt;=PARAM_REJECT_MAJOR,"⚠ MINOR",IF(J65&lt;=PARAM_REJECT_MAX,"⚠ PERHATIAN","🚨 ESKALASI"))))))),  "—")</f>
        <v>—</v>
      </c>
      <c r="L65" s="76" t="str">
        <f t="shared" si="2"/>
        <v>—</v>
      </c>
      <c r="M65" s="76" t="str">
        <f t="shared" si="3"/>
        <v>—</v>
      </c>
    </row>
    <row r="66" ht="18.75" customHeight="1">
      <c r="A66" s="77"/>
      <c r="B66" s="77"/>
      <c r="C66" s="78"/>
      <c r="D66" s="117"/>
      <c r="E66" s="117"/>
      <c r="F66" s="123"/>
      <c r="G66" s="123"/>
      <c r="H66" s="77"/>
      <c r="I66" s="117"/>
      <c r="J66" s="124">
        <f t="shared" si="1"/>
        <v>0</v>
      </c>
      <c r="K66" s="81" t="str">
        <f>IFERROR(IF(A66="","—",IF(H66="Selesai","✓ Selesai",IF(H66="Cancel","✗ Cancel",IF(E66=0,"—",IF(J66=0,"✓ BAGUS",IF(J66&lt;=PARAM_REJECT_MAJOR,"⚠ MINOR",IF(J66&lt;=PARAM_REJECT_MAX,"⚠ PERHATIAN","🚨 ESKALASI"))))))),  "—")</f>
        <v>—</v>
      </c>
      <c r="L66" s="81" t="str">
        <f t="shared" si="2"/>
        <v>—</v>
      </c>
      <c r="M66" s="81" t="str">
        <f t="shared" si="3"/>
        <v>—</v>
      </c>
    </row>
    <row r="67" ht="18.75" customHeight="1">
      <c r="A67" s="72"/>
      <c r="B67" s="72"/>
      <c r="C67" s="73"/>
      <c r="D67" s="113"/>
      <c r="E67" s="113"/>
      <c r="F67" s="125"/>
      <c r="G67" s="125"/>
      <c r="H67" s="72"/>
      <c r="I67" s="113"/>
      <c r="J67" s="122">
        <f t="shared" si="1"/>
        <v>0</v>
      </c>
      <c r="K67" s="76" t="str">
        <f>IFERROR(IF(A67="","—",IF(H67="Selesai","✓ Selesai",IF(H67="Cancel","✗ Cancel",IF(E67=0,"—",IF(J67=0,"✓ BAGUS",IF(J67&lt;=PARAM_REJECT_MAJOR,"⚠ MINOR",IF(J67&lt;=PARAM_REJECT_MAX,"⚠ PERHATIAN","🚨 ESKALASI"))))))),  "—")</f>
        <v>—</v>
      </c>
      <c r="L67" s="76" t="str">
        <f t="shared" si="2"/>
        <v>—</v>
      </c>
      <c r="M67" s="76" t="str">
        <f t="shared" si="3"/>
        <v>—</v>
      </c>
    </row>
    <row r="68" ht="18.75" customHeight="1">
      <c r="A68" s="77"/>
      <c r="B68" s="77"/>
      <c r="C68" s="78"/>
      <c r="D68" s="117"/>
      <c r="E68" s="117"/>
      <c r="F68" s="123"/>
      <c r="G68" s="123"/>
      <c r="H68" s="77"/>
      <c r="I68" s="117"/>
      <c r="J68" s="124">
        <f t="shared" si="1"/>
        <v>0</v>
      </c>
      <c r="K68" s="81" t="str">
        <f>IFERROR(IF(A68="","—",IF(H68="Selesai","✓ Selesai",IF(H68="Cancel","✗ Cancel",IF(E68=0,"—",IF(J68=0,"✓ BAGUS",IF(J68&lt;=PARAM_REJECT_MAJOR,"⚠ MINOR",IF(J68&lt;=PARAM_REJECT_MAX,"⚠ PERHATIAN","🚨 ESKALASI"))))))),  "—")</f>
        <v>—</v>
      </c>
      <c r="L68" s="81" t="str">
        <f t="shared" si="2"/>
        <v>—</v>
      </c>
      <c r="M68" s="81" t="str">
        <f t="shared" si="3"/>
        <v>—</v>
      </c>
    </row>
    <row r="69" ht="18.75" customHeight="1">
      <c r="A69" s="72"/>
      <c r="B69" s="72"/>
      <c r="C69" s="73"/>
      <c r="D69" s="113"/>
      <c r="E69" s="113"/>
      <c r="F69" s="125"/>
      <c r="G69" s="125"/>
      <c r="H69" s="72"/>
      <c r="I69" s="113"/>
      <c r="J69" s="122">
        <f t="shared" si="1"/>
        <v>0</v>
      </c>
      <c r="K69" s="76" t="str">
        <f>IFERROR(IF(A69="","—",IF(H69="Selesai","✓ Selesai",IF(H69="Cancel","✗ Cancel",IF(E69=0,"—",IF(J69=0,"✓ BAGUS",IF(J69&lt;=PARAM_REJECT_MAJOR,"⚠ MINOR",IF(J69&lt;=PARAM_REJECT_MAX,"⚠ PERHATIAN","🚨 ESKALASI"))))))),  "—")</f>
        <v>—</v>
      </c>
      <c r="L69" s="76" t="str">
        <f t="shared" si="2"/>
        <v>—</v>
      </c>
      <c r="M69" s="76" t="str">
        <f t="shared" si="3"/>
        <v>—</v>
      </c>
    </row>
    <row r="70" ht="18.75" customHeight="1">
      <c r="A70" s="77"/>
      <c r="B70" s="77"/>
      <c r="C70" s="78"/>
      <c r="D70" s="117"/>
      <c r="E70" s="117"/>
      <c r="F70" s="123"/>
      <c r="G70" s="123"/>
      <c r="H70" s="77"/>
      <c r="I70" s="117"/>
      <c r="J70" s="124">
        <f t="shared" si="1"/>
        <v>0</v>
      </c>
      <c r="K70" s="81" t="str">
        <f>IFERROR(IF(A70="","—",IF(H70="Selesai","✓ Selesai",IF(H70="Cancel","✗ Cancel",IF(E70=0,"—",IF(J70=0,"✓ BAGUS",IF(J70&lt;=PARAM_REJECT_MAJOR,"⚠ MINOR",IF(J70&lt;=PARAM_REJECT_MAX,"⚠ PERHATIAN","🚨 ESKALASI"))))))),  "—")</f>
        <v>—</v>
      </c>
      <c r="L70" s="81" t="str">
        <f t="shared" si="2"/>
        <v>—</v>
      </c>
      <c r="M70" s="81" t="str">
        <f t="shared" si="3"/>
        <v>—</v>
      </c>
    </row>
    <row r="71" ht="18.75" customHeight="1">
      <c r="A71" s="72"/>
      <c r="B71" s="72"/>
      <c r="C71" s="73"/>
      <c r="D71" s="113"/>
      <c r="E71" s="113"/>
      <c r="F71" s="125"/>
      <c r="G71" s="125"/>
      <c r="H71" s="72"/>
      <c r="I71" s="113"/>
      <c r="J71" s="122">
        <f t="shared" si="1"/>
        <v>0</v>
      </c>
      <c r="K71" s="76" t="str">
        <f>IFERROR(IF(A71="","—",IF(H71="Selesai","✓ Selesai",IF(H71="Cancel","✗ Cancel",IF(E71=0,"—",IF(J71=0,"✓ BAGUS",IF(J71&lt;=PARAM_REJECT_MAJOR,"⚠ MINOR",IF(J71&lt;=PARAM_REJECT_MAX,"⚠ PERHATIAN","🚨 ESKALASI"))))))),  "—")</f>
        <v>—</v>
      </c>
      <c r="L71" s="76" t="str">
        <f t="shared" si="2"/>
        <v>—</v>
      </c>
      <c r="M71" s="76" t="str">
        <f t="shared" si="3"/>
        <v>—</v>
      </c>
    </row>
    <row r="72" ht="18.75" customHeight="1">
      <c r="A72" s="77"/>
      <c r="B72" s="77"/>
      <c r="C72" s="78"/>
      <c r="D72" s="117"/>
      <c r="E72" s="117"/>
      <c r="F72" s="123"/>
      <c r="G72" s="123"/>
      <c r="H72" s="77"/>
      <c r="I72" s="117"/>
      <c r="J72" s="124">
        <f t="shared" si="1"/>
        <v>0</v>
      </c>
      <c r="K72" s="81" t="str">
        <f>IFERROR(IF(A72="","—",IF(H72="Selesai","✓ Selesai",IF(H72="Cancel","✗ Cancel",IF(E72=0,"—",IF(J72=0,"✓ BAGUS",IF(J72&lt;=PARAM_REJECT_MAJOR,"⚠ MINOR",IF(J72&lt;=PARAM_REJECT_MAX,"⚠ PERHATIAN","🚨 ESKALASI"))))))),  "—")</f>
        <v>—</v>
      </c>
      <c r="L72" s="81" t="str">
        <f t="shared" si="2"/>
        <v>—</v>
      </c>
      <c r="M72" s="81" t="str">
        <f t="shared" si="3"/>
        <v>—</v>
      </c>
    </row>
    <row r="73" ht="18.75" customHeight="1">
      <c r="A73" s="72"/>
      <c r="B73" s="72"/>
      <c r="C73" s="73"/>
      <c r="D73" s="113"/>
      <c r="E73" s="113"/>
      <c r="F73" s="125"/>
      <c r="G73" s="125"/>
      <c r="H73" s="72"/>
      <c r="I73" s="113"/>
      <c r="J73" s="122">
        <f t="shared" si="1"/>
        <v>0</v>
      </c>
      <c r="K73" s="76" t="str">
        <f>IFERROR(IF(A73="","—",IF(H73="Selesai","✓ Selesai",IF(H73="Cancel","✗ Cancel",IF(E73=0,"—",IF(J73=0,"✓ BAGUS",IF(J73&lt;=PARAM_REJECT_MAJOR,"⚠ MINOR",IF(J73&lt;=PARAM_REJECT_MAX,"⚠ PERHATIAN","🚨 ESKALASI"))))))),  "—")</f>
        <v>—</v>
      </c>
      <c r="L73" s="76" t="str">
        <f t="shared" si="2"/>
        <v>—</v>
      </c>
      <c r="M73" s="76" t="str">
        <f t="shared" si="3"/>
        <v>—</v>
      </c>
    </row>
    <row r="74" ht="18.75" customHeight="1">
      <c r="A74" s="77"/>
      <c r="B74" s="77"/>
      <c r="C74" s="78"/>
      <c r="D74" s="117"/>
      <c r="E74" s="117"/>
      <c r="F74" s="123"/>
      <c r="G74" s="123"/>
      <c r="H74" s="77"/>
      <c r="I74" s="117"/>
      <c r="J74" s="124">
        <f t="shared" si="1"/>
        <v>0</v>
      </c>
      <c r="K74" s="81" t="str">
        <f>IFERROR(IF(A74="","—",IF(H74="Selesai","✓ Selesai",IF(H74="Cancel","✗ Cancel",IF(E74=0,"—",IF(J74=0,"✓ BAGUS",IF(J74&lt;=PARAM_REJECT_MAJOR,"⚠ MINOR",IF(J74&lt;=PARAM_REJECT_MAX,"⚠ PERHATIAN","🚨 ESKALASI"))))))),  "—")</f>
        <v>—</v>
      </c>
      <c r="L74" s="81" t="str">
        <f t="shared" si="2"/>
        <v>—</v>
      </c>
      <c r="M74" s="81" t="str">
        <f t="shared" si="3"/>
        <v>—</v>
      </c>
    </row>
    <row r="75" ht="18.75" customHeight="1">
      <c r="A75" s="72"/>
      <c r="B75" s="72"/>
      <c r="C75" s="73"/>
      <c r="D75" s="113"/>
      <c r="E75" s="113"/>
      <c r="F75" s="125"/>
      <c r="G75" s="125"/>
      <c r="H75" s="72"/>
      <c r="I75" s="113"/>
      <c r="J75" s="122">
        <f t="shared" si="1"/>
        <v>0</v>
      </c>
      <c r="K75" s="76" t="str">
        <f>IFERROR(IF(A75="","—",IF(H75="Selesai","✓ Selesai",IF(H75="Cancel","✗ Cancel",IF(E75=0,"—",IF(J75=0,"✓ BAGUS",IF(J75&lt;=PARAM_REJECT_MAJOR,"⚠ MINOR",IF(J75&lt;=PARAM_REJECT_MAX,"⚠ PERHATIAN","🚨 ESKALASI"))))))),  "—")</f>
        <v>—</v>
      </c>
      <c r="L75" s="76" t="str">
        <f t="shared" si="2"/>
        <v>—</v>
      </c>
      <c r="M75" s="76" t="str">
        <f t="shared" si="3"/>
        <v>—</v>
      </c>
    </row>
    <row r="76" ht="18.75" customHeight="1">
      <c r="A76" s="77"/>
      <c r="B76" s="77"/>
      <c r="C76" s="78"/>
      <c r="D76" s="117"/>
      <c r="E76" s="117"/>
      <c r="F76" s="123"/>
      <c r="G76" s="123"/>
      <c r="H76" s="77"/>
      <c r="I76" s="117"/>
      <c r="J76" s="124">
        <f t="shared" si="1"/>
        <v>0</v>
      </c>
      <c r="K76" s="81" t="str">
        <f>IFERROR(IF(A76="","—",IF(H76="Selesai","✓ Selesai",IF(H76="Cancel","✗ Cancel",IF(E76=0,"—",IF(J76=0,"✓ BAGUS",IF(J76&lt;=PARAM_REJECT_MAJOR,"⚠ MINOR",IF(J76&lt;=PARAM_REJECT_MAX,"⚠ PERHATIAN","🚨 ESKALASI"))))))),  "—")</f>
        <v>—</v>
      </c>
      <c r="L76" s="81" t="str">
        <f t="shared" si="2"/>
        <v>—</v>
      </c>
      <c r="M76" s="81" t="str">
        <f t="shared" si="3"/>
        <v>—</v>
      </c>
    </row>
    <row r="77" ht="18.75" customHeight="1">
      <c r="A77" s="72"/>
      <c r="B77" s="72"/>
      <c r="C77" s="73"/>
      <c r="D77" s="113"/>
      <c r="E77" s="113"/>
      <c r="F77" s="125"/>
      <c r="G77" s="125"/>
      <c r="H77" s="72"/>
      <c r="I77" s="113"/>
      <c r="J77" s="122">
        <f t="shared" si="1"/>
        <v>0</v>
      </c>
      <c r="K77" s="76" t="str">
        <f>IFERROR(IF(A77="","—",IF(H77="Selesai","✓ Selesai",IF(H77="Cancel","✗ Cancel",IF(E77=0,"—",IF(J77=0,"✓ BAGUS",IF(J77&lt;=PARAM_REJECT_MAJOR,"⚠ MINOR",IF(J77&lt;=PARAM_REJECT_MAX,"⚠ PERHATIAN","🚨 ESKALASI"))))))),  "—")</f>
        <v>—</v>
      </c>
      <c r="L77" s="76" t="str">
        <f t="shared" si="2"/>
        <v>—</v>
      </c>
      <c r="M77" s="76" t="str">
        <f t="shared" si="3"/>
        <v>—</v>
      </c>
    </row>
    <row r="78" ht="18.75" customHeight="1">
      <c r="A78" s="77"/>
      <c r="B78" s="77"/>
      <c r="C78" s="78"/>
      <c r="D78" s="117"/>
      <c r="E78" s="117"/>
      <c r="F78" s="123"/>
      <c r="G78" s="123"/>
      <c r="H78" s="77"/>
      <c r="I78" s="117"/>
      <c r="J78" s="124">
        <f t="shared" si="1"/>
        <v>0</v>
      </c>
      <c r="K78" s="81" t="str">
        <f>IFERROR(IF(A78="","—",IF(H78="Selesai","✓ Selesai",IF(H78="Cancel","✗ Cancel",IF(E78=0,"—",IF(J78=0,"✓ BAGUS",IF(J78&lt;=PARAM_REJECT_MAJOR,"⚠ MINOR",IF(J78&lt;=PARAM_REJECT_MAX,"⚠ PERHATIAN","🚨 ESKALASI"))))))),  "—")</f>
        <v>—</v>
      </c>
      <c r="L78" s="81" t="str">
        <f t="shared" si="2"/>
        <v>—</v>
      </c>
      <c r="M78" s="81" t="str">
        <f t="shared" si="3"/>
        <v>—</v>
      </c>
    </row>
    <row r="79" ht="18.75" customHeight="1">
      <c r="A79" s="72"/>
      <c r="B79" s="72"/>
      <c r="C79" s="73"/>
      <c r="D79" s="113"/>
      <c r="E79" s="113"/>
      <c r="F79" s="125"/>
      <c r="G79" s="125"/>
      <c r="H79" s="72"/>
      <c r="I79" s="113"/>
      <c r="J79" s="122">
        <f t="shared" si="1"/>
        <v>0</v>
      </c>
      <c r="K79" s="76" t="str">
        <f>IFERROR(IF(A79="","—",IF(H79="Selesai","✓ Selesai",IF(H79="Cancel","✗ Cancel",IF(E79=0,"—",IF(J79=0,"✓ BAGUS",IF(J79&lt;=PARAM_REJECT_MAJOR,"⚠ MINOR",IF(J79&lt;=PARAM_REJECT_MAX,"⚠ PERHATIAN","🚨 ESKALASI"))))))),  "—")</f>
        <v>—</v>
      </c>
      <c r="L79" s="76" t="str">
        <f t="shared" si="2"/>
        <v>—</v>
      </c>
      <c r="M79" s="76" t="str">
        <f t="shared" si="3"/>
        <v>—</v>
      </c>
    </row>
    <row r="80" ht="18.75" customHeight="1">
      <c r="A80" s="77"/>
      <c r="B80" s="77"/>
      <c r="C80" s="78"/>
      <c r="D80" s="117"/>
      <c r="E80" s="117"/>
      <c r="F80" s="123"/>
      <c r="G80" s="123"/>
      <c r="H80" s="77"/>
      <c r="I80" s="117"/>
      <c r="J80" s="124">
        <f t="shared" si="1"/>
        <v>0</v>
      </c>
      <c r="K80" s="81" t="str">
        <f>IFERROR(IF(A80="","—",IF(H80="Selesai","✓ Selesai",IF(H80="Cancel","✗ Cancel",IF(E80=0,"—",IF(J80=0,"✓ BAGUS",IF(J80&lt;=PARAM_REJECT_MAJOR,"⚠ MINOR",IF(J80&lt;=PARAM_REJECT_MAX,"⚠ PERHATIAN","🚨 ESKALASI"))))))),  "—")</f>
        <v>—</v>
      </c>
      <c r="L80" s="81" t="str">
        <f t="shared" si="2"/>
        <v>—</v>
      </c>
      <c r="M80" s="81" t="str">
        <f t="shared" si="3"/>
        <v>—</v>
      </c>
    </row>
    <row r="81" ht="18.75" customHeight="1">
      <c r="A81" s="72"/>
      <c r="B81" s="72"/>
      <c r="C81" s="73"/>
      <c r="D81" s="113"/>
      <c r="E81" s="113"/>
      <c r="F81" s="125"/>
      <c r="G81" s="125"/>
      <c r="H81" s="72"/>
      <c r="I81" s="113"/>
      <c r="J81" s="122">
        <f t="shared" si="1"/>
        <v>0</v>
      </c>
      <c r="K81" s="76" t="str">
        <f>IFERROR(IF(A81="","—",IF(H81="Selesai","✓ Selesai",IF(H81="Cancel","✗ Cancel",IF(E81=0,"—",IF(J81=0,"✓ BAGUS",IF(J81&lt;=PARAM_REJECT_MAJOR,"⚠ MINOR",IF(J81&lt;=PARAM_REJECT_MAX,"⚠ PERHATIAN","🚨 ESKALASI"))))))),  "—")</f>
        <v>—</v>
      </c>
      <c r="L81" s="76" t="str">
        <f t="shared" si="2"/>
        <v>—</v>
      </c>
      <c r="M81" s="76" t="str">
        <f t="shared" si="3"/>
        <v>—</v>
      </c>
    </row>
    <row r="82" ht="18.75" customHeight="1">
      <c r="A82" s="77"/>
      <c r="B82" s="77"/>
      <c r="C82" s="78"/>
      <c r="D82" s="117"/>
      <c r="E82" s="117"/>
      <c r="F82" s="123"/>
      <c r="G82" s="123"/>
      <c r="H82" s="77"/>
      <c r="I82" s="117"/>
      <c r="J82" s="124">
        <f t="shared" si="1"/>
        <v>0</v>
      </c>
      <c r="K82" s="81" t="str">
        <f>IFERROR(IF(A82="","—",IF(H82="Selesai","✓ Selesai",IF(H82="Cancel","✗ Cancel",IF(E82=0,"—",IF(J82=0,"✓ BAGUS",IF(J82&lt;=PARAM_REJECT_MAJOR,"⚠ MINOR",IF(J82&lt;=PARAM_REJECT_MAX,"⚠ PERHATIAN","🚨 ESKALASI"))))))),  "—")</f>
        <v>—</v>
      </c>
      <c r="L82" s="81" t="str">
        <f t="shared" si="2"/>
        <v>—</v>
      </c>
      <c r="M82" s="81" t="str">
        <f t="shared" si="3"/>
        <v>—</v>
      </c>
    </row>
    <row r="83" ht="18.75" customHeight="1">
      <c r="A83" s="72"/>
      <c r="B83" s="72"/>
      <c r="C83" s="73"/>
      <c r="D83" s="113"/>
      <c r="E83" s="113"/>
      <c r="F83" s="125"/>
      <c r="G83" s="125"/>
      <c r="H83" s="72"/>
      <c r="I83" s="113"/>
      <c r="J83" s="122">
        <f t="shared" si="1"/>
        <v>0</v>
      </c>
      <c r="K83" s="76" t="str">
        <f>IFERROR(IF(A83="","—",IF(H83="Selesai","✓ Selesai",IF(H83="Cancel","✗ Cancel",IF(E83=0,"—",IF(J83=0,"✓ BAGUS",IF(J83&lt;=PARAM_REJECT_MAJOR,"⚠ MINOR",IF(J83&lt;=PARAM_REJECT_MAX,"⚠ PERHATIAN","🚨 ESKALASI"))))))),  "—")</f>
        <v>—</v>
      </c>
      <c r="L83" s="76" t="str">
        <f t="shared" si="2"/>
        <v>—</v>
      </c>
      <c r="M83" s="76" t="str">
        <f t="shared" si="3"/>
        <v>—</v>
      </c>
    </row>
    <row r="84" ht="18.75" customHeight="1">
      <c r="A84" s="77"/>
      <c r="B84" s="77"/>
      <c r="C84" s="78"/>
      <c r="D84" s="117"/>
      <c r="E84" s="117"/>
      <c r="F84" s="123"/>
      <c r="G84" s="123"/>
      <c r="H84" s="77"/>
      <c r="I84" s="117"/>
      <c r="J84" s="124">
        <f t="shared" si="1"/>
        <v>0</v>
      </c>
      <c r="K84" s="81" t="str">
        <f>IFERROR(IF(A84="","—",IF(H84="Selesai","✓ Selesai",IF(H84="Cancel","✗ Cancel",IF(E84=0,"—",IF(J84=0,"✓ BAGUS",IF(J84&lt;=PARAM_REJECT_MAJOR,"⚠ MINOR",IF(J84&lt;=PARAM_REJECT_MAX,"⚠ PERHATIAN","🚨 ESKALASI"))))))),  "—")</f>
        <v>—</v>
      </c>
      <c r="L84" s="81" t="str">
        <f t="shared" si="2"/>
        <v>—</v>
      </c>
      <c r="M84" s="81" t="str">
        <f t="shared" si="3"/>
        <v>—</v>
      </c>
    </row>
    <row r="85" ht="18.75" customHeight="1">
      <c r="A85" s="72"/>
      <c r="B85" s="72"/>
      <c r="C85" s="73"/>
      <c r="D85" s="113"/>
      <c r="E85" s="113"/>
      <c r="F85" s="125"/>
      <c r="G85" s="125"/>
      <c r="H85" s="72"/>
      <c r="I85" s="113"/>
      <c r="J85" s="122">
        <f t="shared" si="1"/>
        <v>0</v>
      </c>
      <c r="K85" s="76" t="str">
        <f>IFERROR(IF(A85="","—",IF(H85="Selesai","✓ Selesai",IF(H85="Cancel","✗ Cancel",IF(E85=0,"—",IF(J85=0,"✓ BAGUS",IF(J85&lt;=PARAM_REJECT_MAJOR,"⚠ MINOR",IF(J85&lt;=PARAM_REJECT_MAX,"⚠ PERHATIAN","🚨 ESKALASI"))))))),  "—")</f>
        <v>—</v>
      </c>
      <c r="L85" s="76" t="str">
        <f t="shared" si="2"/>
        <v>—</v>
      </c>
      <c r="M85" s="76" t="str">
        <f t="shared" si="3"/>
        <v>—</v>
      </c>
    </row>
    <row r="86" ht="18.75" customHeight="1">
      <c r="A86" s="77"/>
      <c r="B86" s="77"/>
      <c r="C86" s="78"/>
      <c r="D86" s="117"/>
      <c r="E86" s="117"/>
      <c r="F86" s="123"/>
      <c r="G86" s="123"/>
      <c r="H86" s="77"/>
      <c r="I86" s="117"/>
      <c r="J86" s="124">
        <f t="shared" si="1"/>
        <v>0</v>
      </c>
      <c r="K86" s="81" t="str">
        <f>IFERROR(IF(A86="","—",IF(H86="Selesai","✓ Selesai",IF(H86="Cancel","✗ Cancel",IF(E86=0,"—",IF(J86=0,"✓ BAGUS",IF(J86&lt;=PARAM_REJECT_MAJOR,"⚠ MINOR",IF(J86&lt;=PARAM_REJECT_MAX,"⚠ PERHATIAN","🚨 ESKALASI"))))))),  "—")</f>
        <v>—</v>
      </c>
      <c r="L86" s="81" t="str">
        <f t="shared" si="2"/>
        <v>—</v>
      </c>
      <c r="M86" s="81" t="str">
        <f t="shared" si="3"/>
        <v>—</v>
      </c>
    </row>
    <row r="87" ht="18.75" customHeight="1">
      <c r="A87" s="72"/>
      <c r="B87" s="72"/>
      <c r="C87" s="73"/>
      <c r="D87" s="113"/>
      <c r="E87" s="113"/>
      <c r="F87" s="125"/>
      <c r="G87" s="125"/>
      <c r="H87" s="72"/>
      <c r="I87" s="113"/>
      <c r="J87" s="122">
        <f t="shared" si="1"/>
        <v>0</v>
      </c>
      <c r="K87" s="76" t="str">
        <f>IFERROR(IF(A87="","—",IF(H87="Selesai","✓ Selesai",IF(H87="Cancel","✗ Cancel",IF(E87=0,"—",IF(J87=0,"✓ BAGUS",IF(J87&lt;=PARAM_REJECT_MAJOR,"⚠ MINOR",IF(J87&lt;=PARAM_REJECT_MAX,"⚠ PERHATIAN","🚨 ESKALASI"))))))),  "—")</f>
        <v>—</v>
      </c>
      <c r="L87" s="76" t="str">
        <f t="shared" si="2"/>
        <v>—</v>
      </c>
      <c r="M87" s="76" t="str">
        <f t="shared" si="3"/>
        <v>—</v>
      </c>
    </row>
    <row r="88" ht="18.75" customHeight="1">
      <c r="A88" s="77"/>
      <c r="B88" s="77"/>
      <c r="C88" s="78"/>
      <c r="D88" s="117"/>
      <c r="E88" s="117"/>
      <c r="F88" s="123"/>
      <c r="G88" s="123"/>
      <c r="H88" s="77"/>
      <c r="I88" s="117"/>
      <c r="J88" s="124">
        <f t="shared" si="1"/>
        <v>0</v>
      </c>
      <c r="K88" s="81" t="str">
        <f>IFERROR(IF(A88="","—",IF(H88="Selesai","✓ Selesai",IF(H88="Cancel","✗ Cancel",IF(E88=0,"—",IF(J88=0,"✓ BAGUS",IF(J88&lt;=PARAM_REJECT_MAJOR,"⚠ MINOR",IF(J88&lt;=PARAM_REJECT_MAX,"⚠ PERHATIAN","🚨 ESKALASI"))))))),  "—")</f>
        <v>—</v>
      </c>
      <c r="L88" s="81" t="str">
        <f t="shared" si="2"/>
        <v>—</v>
      </c>
      <c r="M88" s="81" t="str">
        <f t="shared" si="3"/>
        <v>—</v>
      </c>
    </row>
    <row r="89" ht="18.75" customHeight="1">
      <c r="A89" s="72"/>
      <c r="B89" s="72"/>
      <c r="C89" s="73"/>
      <c r="D89" s="113"/>
      <c r="E89" s="113"/>
      <c r="F89" s="125"/>
      <c r="G89" s="125"/>
      <c r="H89" s="72"/>
      <c r="I89" s="113"/>
      <c r="J89" s="122">
        <f t="shared" si="1"/>
        <v>0</v>
      </c>
      <c r="K89" s="76" t="str">
        <f>IFERROR(IF(A89="","—",IF(H89="Selesai","✓ Selesai",IF(H89="Cancel","✗ Cancel",IF(E89=0,"—",IF(J89=0,"✓ BAGUS",IF(J89&lt;=PARAM_REJECT_MAJOR,"⚠ MINOR",IF(J89&lt;=PARAM_REJECT_MAX,"⚠ PERHATIAN","🚨 ESKALASI"))))))),  "—")</f>
        <v>—</v>
      </c>
      <c r="L89" s="76" t="str">
        <f t="shared" si="2"/>
        <v>—</v>
      </c>
      <c r="M89" s="76" t="str">
        <f t="shared" si="3"/>
        <v>—</v>
      </c>
    </row>
    <row r="90" ht="18.75" customHeight="1">
      <c r="A90" s="77"/>
      <c r="B90" s="77"/>
      <c r="C90" s="78"/>
      <c r="D90" s="117"/>
      <c r="E90" s="117"/>
      <c r="F90" s="123"/>
      <c r="G90" s="123"/>
      <c r="H90" s="77"/>
      <c r="I90" s="117"/>
      <c r="J90" s="124">
        <f t="shared" si="1"/>
        <v>0</v>
      </c>
      <c r="K90" s="81" t="str">
        <f>IFERROR(IF(A90="","—",IF(H90="Selesai","✓ Selesai",IF(H90="Cancel","✗ Cancel",IF(E90=0,"—",IF(J90=0,"✓ BAGUS",IF(J90&lt;=PARAM_REJECT_MAJOR,"⚠ MINOR",IF(J90&lt;=PARAM_REJECT_MAX,"⚠ PERHATIAN","🚨 ESKALASI"))))))),  "—")</f>
        <v>—</v>
      </c>
      <c r="L90" s="81" t="str">
        <f t="shared" si="2"/>
        <v>—</v>
      </c>
      <c r="M90" s="81" t="str">
        <f t="shared" si="3"/>
        <v>—</v>
      </c>
    </row>
    <row r="91" ht="18.75" customHeight="1">
      <c r="A91" s="72"/>
      <c r="B91" s="72"/>
      <c r="C91" s="73"/>
      <c r="D91" s="113"/>
      <c r="E91" s="113"/>
      <c r="F91" s="125"/>
      <c r="G91" s="125"/>
      <c r="H91" s="72"/>
      <c r="I91" s="113"/>
      <c r="J91" s="122">
        <f t="shared" si="1"/>
        <v>0</v>
      </c>
      <c r="K91" s="76" t="str">
        <f>IFERROR(IF(A91="","—",IF(H91="Selesai","✓ Selesai",IF(H91="Cancel","✗ Cancel",IF(E91=0,"—",IF(J91=0,"✓ BAGUS",IF(J91&lt;=PARAM_REJECT_MAJOR,"⚠ MINOR",IF(J91&lt;=PARAM_REJECT_MAX,"⚠ PERHATIAN","🚨 ESKALASI"))))))),  "—")</f>
        <v>—</v>
      </c>
      <c r="L91" s="76" t="str">
        <f t="shared" si="2"/>
        <v>—</v>
      </c>
      <c r="M91" s="76" t="str">
        <f t="shared" si="3"/>
        <v>—</v>
      </c>
    </row>
    <row r="92" ht="18.75" customHeight="1">
      <c r="A92" s="77"/>
      <c r="B92" s="77"/>
      <c r="C92" s="78"/>
      <c r="D92" s="117"/>
      <c r="E92" s="117"/>
      <c r="F92" s="123"/>
      <c r="G92" s="123"/>
      <c r="H92" s="77"/>
      <c r="I92" s="117"/>
      <c r="J92" s="124">
        <f t="shared" si="1"/>
        <v>0</v>
      </c>
      <c r="K92" s="81" t="str">
        <f>IFERROR(IF(A92="","—",IF(H92="Selesai","✓ Selesai",IF(H92="Cancel","✗ Cancel",IF(E92=0,"—",IF(J92=0,"✓ BAGUS",IF(J92&lt;=PARAM_REJECT_MAJOR,"⚠ MINOR",IF(J92&lt;=PARAM_REJECT_MAX,"⚠ PERHATIAN","🚨 ESKALASI"))))))),  "—")</f>
        <v>—</v>
      </c>
      <c r="L92" s="81" t="str">
        <f t="shared" si="2"/>
        <v>—</v>
      </c>
      <c r="M92" s="81" t="str">
        <f t="shared" si="3"/>
        <v>—</v>
      </c>
    </row>
    <row r="93" ht="18.75" customHeight="1">
      <c r="A93" s="72"/>
      <c r="B93" s="72"/>
      <c r="C93" s="73"/>
      <c r="D93" s="113"/>
      <c r="E93" s="113"/>
      <c r="F93" s="125"/>
      <c r="G93" s="125"/>
      <c r="H93" s="72"/>
      <c r="I93" s="113"/>
      <c r="J93" s="122">
        <f t="shared" si="1"/>
        <v>0</v>
      </c>
      <c r="K93" s="76" t="str">
        <f>IFERROR(IF(A93="","—",IF(H93="Selesai","✓ Selesai",IF(H93="Cancel","✗ Cancel",IF(E93=0,"—",IF(J93=0,"✓ BAGUS",IF(J93&lt;=PARAM_REJECT_MAJOR,"⚠ MINOR",IF(J93&lt;=PARAM_REJECT_MAX,"⚠ PERHATIAN","🚨 ESKALASI"))))))),  "—")</f>
        <v>—</v>
      </c>
      <c r="L93" s="76" t="str">
        <f t="shared" si="2"/>
        <v>—</v>
      </c>
      <c r="M93" s="76" t="str">
        <f t="shared" si="3"/>
        <v>—</v>
      </c>
    </row>
    <row r="94" ht="18.75" customHeight="1">
      <c r="A94" s="77"/>
      <c r="B94" s="77"/>
      <c r="C94" s="78"/>
      <c r="D94" s="117"/>
      <c r="E94" s="117"/>
      <c r="F94" s="123"/>
      <c r="G94" s="123"/>
      <c r="H94" s="77"/>
      <c r="I94" s="117"/>
      <c r="J94" s="124">
        <f t="shared" si="1"/>
        <v>0</v>
      </c>
      <c r="K94" s="81" t="str">
        <f>IFERROR(IF(A94="","—",IF(H94="Selesai","✓ Selesai",IF(H94="Cancel","✗ Cancel",IF(E94=0,"—",IF(J94=0,"✓ BAGUS",IF(J94&lt;=PARAM_REJECT_MAJOR,"⚠ MINOR",IF(J94&lt;=PARAM_REJECT_MAX,"⚠ PERHATIAN","🚨 ESKALASI"))))))),  "—")</f>
        <v>—</v>
      </c>
      <c r="L94" s="81" t="str">
        <f t="shared" si="2"/>
        <v>—</v>
      </c>
      <c r="M94" s="81" t="str">
        <f t="shared" si="3"/>
        <v>—</v>
      </c>
    </row>
    <row r="95" ht="18.75" customHeight="1">
      <c r="A95" s="72"/>
      <c r="B95" s="72"/>
      <c r="C95" s="73"/>
      <c r="D95" s="113"/>
      <c r="E95" s="113"/>
      <c r="F95" s="125"/>
      <c r="G95" s="125"/>
      <c r="H95" s="72"/>
      <c r="I95" s="113"/>
      <c r="J95" s="122">
        <f t="shared" si="1"/>
        <v>0</v>
      </c>
      <c r="K95" s="76" t="str">
        <f>IFERROR(IF(A95="","—",IF(H95="Selesai","✓ Selesai",IF(H95="Cancel","✗ Cancel",IF(E95=0,"—",IF(J95=0,"✓ BAGUS",IF(J95&lt;=PARAM_REJECT_MAJOR,"⚠ MINOR",IF(J95&lt;=PARAM_REJECT_MAX,"⚠ PERHATIAN","🚨 ESKALASI"))))))),  "—")</f>
        <v>—</v>
      </c>
      <c r="L95" s="76" t="str">
        <f t="shared" si="2"/>
        <v>—</v>
      </c>
      <c r="M95" s="76" t="str">
        <f t="shared" si="3"/>
        <v>—</v>
      </c>
    </row>
    <row r="96" ht="18.75" customHeight="1">
      <c r="A96" s="77"/>
      <c r="B96" s="77"/>
      <c r="C96" s="78"/>
      <c r="D96" s="117"/>
      <c r="E96" s="117"/>
      <c r="F96" s="123"/>
      <c r="G96" s="123"/>
      <c r="H96" s="77"/>
      <c r="I96" s="117"/>
      <c r="J96" s="124">
        <f t="shared" si="1"/>
        <v>0</v>
      </c>
      <c r="K96" s="81" t="str">
        <f>IFERROR(IF(A96="","—",IF(H96="Selesai","✓ Selesai",IF(H96="Cancel","✗ Cancel",IF(E96=0,"—",IF(J96=0,"✓ BAGUS",IF(J96&lt;=PARAM_REJECT_MAJOR,"⚠ MINOR",IF(J96&lt;=PARAM_REJECT_MAX,"⚠ PERHATIAN","🚨 ESKALASI"))))))),  "—")</f>
        <v>—</v>
      </c>
      <c r="L96" s="81" t="str">
        <f t="shared" si="2"/>
        <v>—</v>
      </c>
      <c r="M96" s="81" t="str">
        <f t="shared" si="3"/>
        <v>—</v>
      </c>
    </row>
    <row r="97" ht="18.75" customHeight="1">
      <c r="A97" s="72"/>
      <c r="B97" s="72"/>
      <c r="C97" s="73"/>
      <c r="D97" s="113"/>
      <c r="E97" s="113"/>
      <c r="F97" s="125"/>
      <c r="G97" s="125"/>
      <c r="H97" s="72"/>
      <c r="I97" s="113"/>
      <c r="J97" s="122">
        <f t="shared" si="1"/>
        <v>0</v>
      </c>
      <c r="K97" s="76" t="str">
        <f>IFERROR(IF(A97="","—",IF(H97="Selesai","✓ Selesai",IF(H97="Cancel","✗ Cancel",IF(E97=0,"—",IF(J97=0,"✓ BAGUS",IF(J97&lt;=PARAM_REJECT_MAJOR,"⚠ MINOR",IF(J97&lt;=PARAM_REJECT_MAX,"⚠ PERHATIAN","🚨 ESKALASI"))))))),  "—")</f>
        <v>—</v>
      </c>
      <c r="L97" s="76" t="str">
        <f t="shared" si="2"/>
        <v>—</v>
      </c>
      <c r="M97" s="76" t="str">
        <f t="shared" si="3"/>
        <v>—</v>
      </c>
    </row>
    <row r="98" ht="18.75" customHeight="1">
      <c r="A98" s="77"/>
      <c r="B98" s="77"/>
      <c r="C98" s="78"/>
      <c r="D98" s="117"/>
      <c r="E98" s="117"/>
      <c r="F98" s="123"/>
      <c r="G98" s="123"/>
      <c r="H98" s="77"/>
      <c r="I98" s="117"/>
      <c r="J98" s="124">
        <f t="shared" si="1"/>
        <v>0</v>
      </c>
      <c r="K98" s="81" t="str">
        <f>IFERROR(IF(A98="","—",IF(H98="Selesai","✓ Selesai",IF(H98="Cancel","✗ Cancel",IF(E98=0,"—",IF(J98=0,"✓ BAGUS",IF(J98&lt;=PARAM_REJECT_MAJOR,"⚠ MINOR",IF(J98&lt;=PARAM_REJECT_MAX,"⚠ PERHATIAN","🚨 ESKALASI"))))))),  "—")</f>
        <v>—</v>
      </c>
      <c r="L98" s="81" t="str">
        <f t="shared" si="2"/>
        <v>—</v>
      </c>
      <c r="M98" s="81" t="str">
        <f t="shared" si="3"/>
        <v>—</v>
      </c>
    </row>
    <row r="99" ht="18.75" customHeight="1">
      <c r="A99" s="72"/>
      <c r="B99" s="72"/>
      <c r="C99" s="73"/>
      <c r="D99" s="113"/>
      <c r="E99" s="113"/>
      <c r="F99" s="125"/>
      <c r="G99" s="125"/>
      <c r="H99" s="72"/>
      <c r="I99" s="113"/>
      <c r="J99" s="122">
        <f t="shared" si="1"/>
        <v>0</v>
      </c>
      <c r="K99" s="76" t="str">
        <f>IFERROR(IF(A99="","—",IF(H99="Selesai","✓ Selesai",IF(H99="Cancel","✗ Cancel",IF(E99=0,"—",IF(J99=0,"✓ BAGUS",IF(J99&lt;=PARAM_REJECT_MAJOR,"⚠ MINOR",IF(J99&lt;=PARAM_REJECT_MAX,"⚠ PERHATIAN","🚨 ESKALASI"))))))),  "—")</f>
        <v>—</v>
      </c>
      <c r="L99" s="76" t="str">
        <f t="shared" si="2"/>
        <v>—</v>
      </c>
      <c r="M99" s="76" t="str">
        <f t="shared" si="3"/>
        <v>—</v>
      </c>
    </row>
    <row r="100" ht="18.75" customHeight="1">
      <c r="A100" s="77"/>
      <c r="B100" s="77"/>
      <c r="C100" s="78"/>
      <c r="D100" s="117"/>
      <c r="E100" s="117"/>
      <c r="F100" s="123"/>
      <c r="G100" s="123"/>
      <c r="H100" s="77"/>
      <c r="I100" s="117"/>
      <c r="J100" s="124">
        <f t="shared" si="1"/>
        <v>0</v>
      </c>
      <c r="K100" s="81" t="str">
        <f>IFERROR(IF(A100="","—",IF(H100="Selesai","✓ Selesai",IF(H100="Cancel","✗ Cancel",IF(E100=0,"—",IF(J100=0,"✓ BAGUS",IF(J100&lt;=PARAM_REJECT_MAJOR,"⚠ MINOR",IF(J100&lt;=PARAM_REJECT_MAX,"⚠ PERHATIAN","🚨 ESKALASI"))))))),  "—")</f>
        <v>—</v>
      </c>
      <c r="L100" s="81" t="str">
        <f t="shared" si="2"/>
        <v>—</v>
      </c>
      <c r="M100" s="81" t="str">
        <f t="shared" si="3"/>
        <v>—</v>
      </c>
    </row>
    <row r="101" ht="18.75" customHeight="1">
      <c r="A101" s="72"/>
      <c r="B101" s="72"/>
      <c r="C101" s="73"/>
      <c r="D101" s="113"/>
      <c r="E101" s="113"/>
      <c r="F101" s="125"/>
      <c r="G101" s="125"/>
      <c r="H101" s="72"/>
      <c r="I101" s="113"/>
      <c r="J101" s="122">
        <f t="shared" si="1"/>
        <v>0</v>
      </c>
      <c r="K101" s="76" t="str">
        <f>IFERROR(IF(A101="","—",IF(H101="Selesai","✓ Selesai",IF(H101="Cancel","✗ Cancel",IF(E101=0,"—",IF(J101=0,"✓ BAGUS",IF(J101&lt;=PARAM_REJECT_MAJOR,"⚠ MINOR",IF(J101&lt;=PARAM_REJECT_MAX,"⚠ PERHATIAN","🚨 ESKALASI"))))))),  "—")</f>
        <v>—</v>
      </c>
      <c r="L101" s="76" t="str">
        <f t="shared" si="2"/>
        <v>—</v>
      </c>
      <c r="M101" s="76" t="str">
        <f t="shared" si="3"/>
        <v>—</v>
      </c>
    </row>
    <row r="102" ht="18.75" customHeight="1">
      <c r="A102" s="77"/>
      <c r="B102" s="77"/>
      <c r="C102" s="78"/>
      <c r="D102" s="117"/>
      <c r="E102" s="117"/>
      <c r="F102" s="123"/>
      <c r="G102" s="123"/>
      <c r="H102" s="77"/>
      <c r="I102" s="117"/>
      <c r="J102" s="124">
        <f t="shared" si="1"/>
        <v>0</v>
      </c>
      <c r="K102" s="81" t="str">
        <f>IFERROR(IF(A102="","—",IF(H102="Selesai","✓ Selesai",IF(H102="Cancel","✗ Cancel",IF(E102=0,"—",IF(J102=0,"✓ BAGUS",IF(J102&lt;=PARAM_REJECT_MAJOR,"⚠ MINOR",IF(J102&lt;=PARAM_REJECT_MAX,"⚠ PERHATIAN","🚨 ESKALASI"))))))),  "—")</f>
        <v>—</v>
      </c>
      <c r="L102" s="81" t="str">
        <f t="shared" si="2"/>
        <v>—</v>
      </c>
      <c r="M102" s="81" t="str">
        <f t="shared" si="3"/>
        <v>—</v>
      </c>
    </row>
    <row r="103" ht="18.75" customHeight="1">
      <c r="A103" s="72"/>
      <c r="B103" s="72"/>
      <c r="C103" s="73"/>
      <c r="D103" s="113"/>
      <c r="E103" s="113"/>
      <c r="F103" s="125"/>
      <c r="G103" s="125"/>
      <c r="H103" s="72"/>
      <c r="I103" s="113"/>
      <c r="J103" s="122">
        <f t="shared" si="1"/>
        <v>0</v>
      </c>
      <c r="K103" s="76" t="str">
        <f>IFERROR(IF(A103="","—",IF(H103="Selesai","✓ Selesai",IF(H103="Cancel","✗ Cancel",IF(E103=0,"—",IF(J103=0,"✓ BAGUS",IF(J103&lt;=PARAM_REJECT_MAJOR,"⚠ MINOR",IF(J103&lt;=PARAM_REJECT_MAX,"⚠ PERHATIAN","🚨 ESKALASI"))))))),  "—")</f>
        <v>—</v>
      </c>
      <c r="L103" s="76" t="str">
        <f t="shared" si="2"/>
        <v>—</v>
      </c>
      <c r="M103" s="76" t="str">
        <f t="shared" si="3"/>
        <v>—</v>
      </c>
    </row>
    <row r="104" ht="18.75" customHeight="1">
      <c r="A104" s="77"/>
      <c r="B104" s="77"/>
      <c r="C104" s="78"/>
      <c r="D104" s="117"/>
      <c r="E104" s="117"/>
      <c r="F104" s="123"/>
      <c r="G104" s="123"/>
      <c r="H104" s="77"/>
      <c r="I104" s="117"/>
      <c r="J104" s="124">
        <f t="shared" si="1"/>
        <v>0</v>
      </c>
      <c r="K104" s="81" t="str">
        <f>IFERROR(IF(A104="","—",IF(H104="Selesai","✓ Selesai",IF(H104="Cancel","✗ Cancel",IF(E104=0,"—",IF(J104=0,"✓ BAGUS",IF(J104&lt;=PARAM_REJECT_MAJOR,"⚠ MINOR",IF(J104&lt;=PARAM_REJECT_MAX,"⚠ PERHATIAN","🚨 ESKALASI"))))))),  "—")</f>
        <v>—</v>
      </c>
      <c r="L104" s="81" t="str">
        <f t="shared" si="2"/>
        <v>—</v>
      </c>
      <c r="M104" s="81" t="str">
        <f t="shared" si="3"/>
        <v>—</v>
      </c>
    </row>
    <row r="105" ht="18.75" customHeight="1">
      <c r="A105" s="72"/>
      <c r="B105" s="72"/>
      <c r="C105" s="73"/>
      <c r="D105" s="113"/>
      <c r="E105" s="113"/>
      <c r="F105" s="125"/>
      <c r="G105" s="125"/>
      <c r="H105" s="72"/>
      <c r="I105" s="113"/>
      <c r="J105" s="122">
        <f t="shared" si="1"/>
        <v>0</v>
      </c>
      <c r="K105" s="76" t="str">
        <f>IFERROR(IF(A105="","—",IF(H105="Selesai","✓ Selesai",IF(H105="Cancel","✗ Cancel",IF(E105=0,"—",IF(J105=0,"✓ BAGUS",IF(J105&lt;=PARAM_REJECT_MAJOR,"⚠ MINOR",IF(J105&lt;=PARAM_REJECT_MAX,"⚠ PERHATIAN","🚨 ESKALASI"))))))),  "—")</f>
        <v>—</v>
      </c>
      <c r="L105" s="76" t="str">
        <f t="shared" si="2"/>
        <v>—</v>
      </c>
      <c r="M105" s="76" t="str">
        <f t="shared" si="3"/>
        <v>—</v>
      </c>
    </row>
    <row r="106" ht="18.75" customHeight="1">
      <c r="A106" s="77"/>
      <c r="B106" s="77"/>
      <c r="C106" s="78"/>
      <c r="D106" s="117"/>
      <c r="E106" s="117"/>
      <c r="F106" s="123"/>
      <c r="G106" s="123"/>
      <c r="H106" s="77"/>
      <c r="I106" s="117"/>
      <c r="J106" s="124">
        <f t="shared" si="1"/>
        <v>0</v>
      </c>
      <c r="K106" s="81" t="str">
        <f>IFERROR(IF(A106="","—",IF(H106="Selesai","✓ Selesai",IF(H106="Cancel","✗ Cancel",IF(E106=0,"—",IF(J106=0,"✓ BAGUS",IF(J106&lt;=PARAM_REJECT_MAJOR,"⚠ MINOR",IF(J106&lt;=PARAM_REJECT_MAX,"⚠ PERHATIAN","🚨 ESKALASI"))))))),  "—")</f>
        <v>—</v>
      </c>
      <c r="L106" s="81" t="str">
        <f t="shared" si="2"/>
        <v>—</v>
      </c>
      <c r="M106" s="81" t="str">
        <f t="shared" si="3"/>
        <v>—</v>
      </c>
    </row>
    <row r="107" ht="18.75" customHeight="1">
      <c r="A107" s="72"/>
      <c r="B107" s="72"/>
      <c r="C107" s="73"/>
      <c r="D107" s="113"/>
      <c r="E107" s="113"/>
      <c r="F107" s="125"/>
      <c r="G107" s="125"/>
      <c r="H107" s="72"/>
      <c r="I107" s="113"/>
      <c r="J107" s="122">
        <f t="shared" si="1"/>
        <v>0</v>
      </c>
      <c r="K107" s="76" t="str">
        <f>IFERROR(IF(A107="","—",IF(H107="Selesai","✓ Selesai",IF(H107="Cancel","✗ Cancel",IF(E107=0,"—",IF(J107=0,"✓ BAGUS",IF(J107&lt;=PARAM_REJECT_MAJOR,"⚠ MINOR",IF(J107&lt;=PARAM_REJECT_MAX,"⚠ PERHATIAN","🚨 ESKALASI"))))))),  "—")</f>
        <v>—</v>
      </c>
      <c r="L107" s="76" t="str">
        <f t="shared" si="2"/>
        <v>—</v>
      </c>
      <c r="M107" s="76" t="str">
        <f t="shared" si="3"/>
        <v>—</v>
      </c>
    </row>
    <row r="108" ht="18.75" customHeight="1">
      <c r="A108" s="77"/>
      <c r="B108" s="77"/>
      <c r="C108" s="78"/>
      <c r="D108" s="117"/>
      <c r="E108" s="117"/>
      <c r="F108" s="123"/>
      <c r="G108" s="123"/>
      <c r="H108" s="77"/>
      <c r="I108" s="117"/>
      <c r="J108" s="124">
        <f t="shared" si="1"/>
        <v>0</v>
      </c>
      <c r="K108" s="81" t="str">
        <f>IFERROR(IF(A108="","—",IF(H108="Selesai","✓ Selesai",IF(H108="Cancel","✗ Cancel",IF(E108=0,"—",IF(J108=0,"✓ BAGUS",IF(J108&lt;=PARAM_REJECT_MAJOR,"⚠ MINOR",IF(J108&lt;=PARAM_REJECT_MAX,"⚠ PERHATIAN","🚨 ESKALASI"))))))),  "—")</f>
        <v>—</v>
      </c>
      <c r="L108" s="81" t="str">
        <f t="shared" si="2"/>
        <v>—</v>
      </c>
      <c r="M108" s="81" t="str">
        <f t="shared" si="3"/>
        <v>—</v>
      </c>
    </row>
    <row r="109" ht="18.75" customHeight="1">
      <c r="A109" s="72"/>
      <c r="B109" s="72"/>
      <c r="C109" s="73"/>
      <c r="D109" s="113"/>
      <c r="E109" s="113"/>
      <c r="F109" s="125"/>
      <c r="G109" s="125"/>
      <c r="H109" s="72"/>
      <c r="I109" s="113"/>
      <c r="J109" s="122">
        <f t="shared" si="1"/>
        <v>0</v>
      </c>
      <c r="K109" s="76" t="str">
        <f>IFERROR(IF(A109="","—",IF(H109="Selesai","✓ Selesai",IF(H109="Cancel","✗ Cancel",IF(E109=0,"—",IF(J109=0,"✓ BAGUS",IF(J109&lt;=PARAM_REJECT_MAJOR,"⚠ MINOR",IF(J109&lt;=PARAM_REJECT_MAX,"⚠ PERHATIAN","🚨 ESKALASI"))))))),  "—")</f>
        <v>—</v>
      </c>
      <c r="L109" s="76" t="str">
        <f t="shared" si="2"/>
        <v>—</v>
      </c>
      <c r="M109" s="76" t="str">
        <f t="shared" si="3"/>
        <v>—</v>
      </c>
    </row>
    <row r="110" ht="18.75" customHeight="1">
      <c r="A110" s="77"/>
      <c r="B110" s="77"/>
      <c r="C110" s="78"/>
      <c r="D110" s="117"/>
      <c r="E110" s="117"/>
      <c r="F110" s="123"/>
      <c r="G110" s="123"/>
      <c r="H110" s="77"/>
      <c r="I110" s="117"/>
      <c r="J110" s="124">
        <f t="shared" si="1"/>
        <v>0</v>
      </c>
      <c r="K110" s="81" t="str">
        <f>IFERROR(IF(A110="","—",IF(H110="Selesai","✓ Selesai",IF(H110="Cancel","✗ Cancel",IF(E110=0,"—",IF(J110=0,"✓ BAGUS",IF(J110&lt;=PARAM_REJECT_MAJOR,"⚠ MINOR",IF(J110&lt;=PARAM_REJECT_MAX,"⚠ PERHATIAN","🚨 ESKALASI"))))))),  "—")</f>
        <v>—</v>
      </c>
      <c r="L110" s="81" t="str">
        <f t="shared" si="2"/>
        <v>—</v>
      </c>
      <c r="M110" s="81" t="str">
        <f t="shared" si="3"/>
        <v>—</v>
      </c>
    </row>
    <row r="111" ht="18.75" customHeight="1">
      <c r="A111" s="72"/>
      <c r="B111" s="72"/>
      <c r="C111" s="73"/>
      <c r="D111" s="113"/>
      <c r="E111" s="113"/>
      <c r="F111" s="125"/>
      <c r="G111" s="125"/>
      <c r="H111" s="72"/>
      <c r="I111" s="113"/>
      <c r="J111" s="122">
        <f t="shared" si="1"/>
        <v>0</v>
      </c>
      <c r="K111" s="76" t="str">
        <f>IFERROR(IF(A111="","—",IF(H111="Selesai","✓ Selesai",IF(H111="Cancel","✗ Cancel",IF(E111=0,"—",IF(J111=0,"✓ BAGUS",IF(J111&lt;=PARAM_REJECT_MAJOR,"⚠ MINOR",IF(J111&lt;=PARAM_REJECT_MAX,"⚠ PERHATIAN","🚨 ESKALASI"))))))),  "—")</f>
        <v>—</v>
      </c>
      <c r="L111" s="76" t="str">
        <f t="shared" si="2"/>
        <v>—</v>
      </c>
      <c r="M111" s="76" t="str">
        <f t="shared" si="3"/>
        <v>—</v>
      </c>
    </row>
    <row r="112" ht="18.75" customHeight="1">
      <c r="A112" s="77"/>
      <c r="B112" s="77"/>
      <c r="C112" s="78"/>
      <c r="D112" s="117"/>
      <c r="E112" s="117"/>
      <c r="F112" s="123"/>
      <c r="G112" s="123"/>
      <c r="H112" s="77"/>
      <c r="I112" s="117"/>
      <c r="J112" s="124">
        <f t="shared" si="1"/>
        <v>0</v>
      </c>
      <c r="K112" s="81" t="str">
        <f>IFERROR(IF(A112="","—",IF(H112="Selesai","✓ Selesai",IF(H112="Cancel","✗ Cancel",IF(E112=0,"—",IF(J112=0,"✓ BAGUS",IF(J112&lt;=PARAM_REJECT_MAJOR,"⚠ MINOR",IF(J112&lt;=PARAM_REJECT_MAX,"⚠ PERHATIAN","🚨 ESKALASI"))))))),  "—")</f>
        <v>—</v>
      </c>
      <c r="L112" s="81" t="str">
        <f t="shared" si="2"/>
        <v>—</v>
      </c>
      <c r="M112" s="81" t="str">
        <f t="shared" si="3"/>
        <v>—</v>
      </c>
    </row>
    <row r="113" ht="18.75" customHeight="1">
      <c r="A113" s="72"/>
      <c r="B113" s="72"/>
      <c r="C113" s="73"/>
      <c r="D113" s="113"/>
      <c r="E113" s="113"/>
      <c r="F113" s="125"/>
      <c r="G113" s="125"/>
      <c r="H113" s="72"/>
      <c r="I113" s="113"/>
      <c r="J113" s="122">
        <f t="shared" si="1"/>
        <v>0</v>
      </c>
      <c r="K113" s="76" t="str">
        <f>IFERROR(IF(A113="","—",IF(H113="Selesai","✓ Selesai",IF(H113="Cancel","✗ Cancel",IF(E113=0,"—",IF(J113=0,"✓ BAGUS",IF(J113&lt;=PARAM_REJECT_MAJOR,"⚠ MINOR",IF(J113&lt;=PARAM_REJECT_MAX,"⚠ PERHATIAN","🚨 ESKALASI"))))))),  "—")</f>
        <v>—</v>
      </c>
      <c r="L113" s="76" t="str">
        <f t="shared" si="2"/>
        <v>—</v>
      </c>
      <c r="M113" s="76" t="str">
        <f t="shared" si="3"/>
        <v>—</v>
      </c>
    </row>
    <row r="114" ht="18.75" customHeight="1">
      <c r="A114" s="77"/>
      <c r="B114" s="77"/>
      <c r="C114" s="78"/>
      <c r="D114" s="117"/>
      <c r="E114" s="117"/>
      <c r="F114" s="123"/>
      <c r="G114" s="123"/>
      <c r="H114" s="77"/>
      <c r="I114" s="117"/>
      <c r="J114" s="124">
        <f t="shared" si="1"/>
        <v>0</v>
      </c>
      <c r="K114" s="81" t="str">
        <f>IFERROR(IF(A114="","—",IF(H114="Selesai","✓ Selesai",IF(H114="Cancel","✗ Cancel",IF(E114=0,"—",IF(J114=0,"✓ BAGUS",IF(J114&lt;=PARAM_REJECT_MAJOR,"⚠ MINOR",IF(J114&lt;=PARAM_REJECT_MAX,"⚠ PERHATIAN","🚨 ESKALASI"))))))),  "—")</f>
        <v>—</v>
      </c>
      <c r="L114" s="81" t="str">
        <f t="shared" si="2"/>
        <v>—</v>
      </c>
      <c r="M114" s="81" t="str">
        <f t="shared" si="3"/>
        <v>—</v>
      </c>
    </row>
    <row r="115" ht="18.75" customHeight="1">
      <c r="A115" s="72"/>
      <c r="B115" s="72"/>
      <c r="C115" s="73"/>
      <c r="D115" s="113"/>
      <c r="E115" s="113"/>
      <c r="F115" s="125"/>
      <c r="G115" s="125"/>
      <c r="H115" s="72"/>
      <c r="I115" s="113"/>
      <c r="J115" s="122">
        <f t="shared" si="1"/>
        <v>0</v>
      </c>
      <c r="K115" s="76" t="str">
        <f>IFERROR(IF(A115="","—",IF(H115="Selesai","✓ Selesai",IF(H115="Cancel","✗ Cancel",IF(E115=0,"—",IF(J115=0,"✓ BAGUS",IF(J115&lt;=PARAM_REJECT_MAJOR,"⚠ MINOR",IF(J115&lt;=PARAM_REJECT_MAX,"⚠ PERHATIAN","🚨 ESKALASI"))))))),  "—")</f>
        <v>—</v>
      </c>
      <c r="L115" s="76" t="str">
        <f t="shared" si="2"/>
        <v>—</v>
      </c>
      <c r="M115" s="76" t="str">
        <f t="shared" si="3"/>
        <v>—</v>
      </c>
    </row>
    <row r="116" ht="18.75" customHeight="1">
      <c r="A116" s="77"/>
      <c r="B116" s="77"/>
      <c r="C116" s="78"/>
      <c r="D116" s="117"/>
      <c r="E116" s="117"/>
      <c r="F116" s="123"/>
      <c r="G116" s="123"/>
      <c r="H116" s="77"/>
      <c r="I116" s="117"/>
      <c r="J116" s="124">
        <f t="shared" si="1"/>
        <v>0</v>
      </c>
      <c r="K116" s="81" t="str">
        <f>IFERROR(IF(A116="","—",IF(H116="Selesai","✓ Selesai",IF(H116="Cancel","✗ Cancel",IF(E116=0,"—",IF(J116=0,"✓ BAGUS",IF(J116&lt;=PARAM_REJECT_MAJOR,"⚠ MINOR",IF(J116&lt;=PARAM_REJECT_MAX,"⚠ PERHATIAN","🚨 ESKALASI"))))))),  "—")</f>
        <v>—</v>
      </c>
      <c r="L116" s="81" t="str">
        <f t="shared" si="2"/>
        <v>—</v>
      </c>
      <c r="M116" s="81" t="str">
        <f t="shared" si="3"/>
        <v>—</v>
      </c>
    </row>
    <row r="117" ht="18.75" customHeight="1">
      <c r="A117" s="72"/>
      <c r="B117" s="72"/>
      <c r="C117" s="73"/>
      <c r="D117" s="113"/>
      <c r="E117" s="113"/>
      <c r="F117" s="125"/>
      <c r="G117" s="125"/>
      <c r="H117" s="72"/>
      <c r="I117" s="113"/>
      <c r="J117" s="122">
        <f t="shared" si="1"/>
        <v>0</v>
      </c>
      <c r="K117" s="76" t="str">
        <f>IFERROR(IF(A117="","—",IF(H117="Selesai","✓ Selesai",IF(H117="Cancel","✗ Cancel",IF(E117=0,"—",IF(J117=0,"✓ BAGUS",IF(J117&lt;=PARAM_REJECT_MAJOR,"⚠ MINOR",IF(J117&lt;=PARAM_REJECT_MAX,"⚠ PERHATIAN","🚨 ESKALASI"))))))),  "—")</f>
        <v>—</v>
      </c>
      <c r="L117" s="76" t="str">
        <f t="shared" si="2"/>
        <v>—</v>
      </c>
      <c r="M117" s="76" t="str">
        <f t="shared" si="3"/>
        <v>—</v>
      </c>
    </row>
    <row r="118" ht="18.75" customHeight="1">
      <c r="A118" s="77"/>
      <c r="B118" s="77"/>
      <c r="C118" s="78"/>
      <c r="D118" s="117"/>
      <c r="E118" s="117"/>
      <c r="F118" s="123"/>
      <c r="G118" s="123"/>
      <c r="H118" s="77"/>
      <c r="I118" s="117"/>
      <c r="J118" s="124">
        <f t="shared" si="1"/>
        <v>0</v>
      </c>
      <c r="K118" s="81" t="str">
        <f>IFERROR(IF(A118="","—",IF(H118="Selesai","✓ Selesai",IF(H118="Cancel","✗ Cancel",IF(E118=0,"—",IF(J118=0,"✓ BAGUS",IF(J118&lt;=PARAM_REJECT_MAJOR,"⚠ MINOR",IF(J118&lt;=PARAM_REJECT_MAX,"⚠ PERHATIAN","🚨 ESKALASI"))))))),  "—")</f>
        <v>—</v>
      </c>
      <c r="L118" s="81" t="str">
        <f t="shared" si="2"/>
        <v>—</v>
      </c>
      <c r="M118" s="81" t="str">
        <f t="shared" si="3"/>
        <v>—</v>
      </c>
    </row>
    <row r="119" ht="18.75" customHeight="1">
      <c r="A119" s="72"/>
      <c r="B119" s="72"/>
      <c r="C119" s="73"/>
      <c r="D119" s="113"/>
      <c r="E119" s="113"/>
      <c r="F119" s="125"/>
      <c r="G119" s="125"/>
      <c r="H119" s="72"/>
      <c r="I119" s="113"/>
      <c r="J119" s="122">
        <f t="shared" si="1"/>
        <v>0</v>
      </c>
      <c r="K119" s="76" t="str">
        <f>IFERROR(IF(A119="","—",IF(H119="Selesai","✓ Selesai",IF(H119="Cancel","✗ Cancel",IF(E119=0,"—",IF(J119=0,"✓ BAGUS",IF(J119&lt;=PARAM_REJECT_MAJOR,"⚠ MINOR",IF(J119&lt;=PARAM_REJECT_MAX,"⚠ PERHATIAN","🚨 ESKALASI"))))))),  "—")</f>
        <v>—</v>
      </c>
      <c r="L119" s="76" t="str">
        <f t="shared" si="2"/>
        <v>—</v>
      </c>
      <c r="M119" s="76" t="str">
        <f t="shared" si="3"/>
        <v>—</v>
      </c>
    </row>
    <row r="120" ht="18.75" customHeight="1">
      <c r="A120" s="77"/>
      <c r="B120" s="77"/>
      <c r="C120" s="78"/>
      <c r="D120" s="117"/>
      <c r="E120" s="117"/>
      <c r="F120" s="123"/>
      <c r="G120" s="123"/>
      <c r="H120" s="77"/>
      <c r="I120" s="117"/>
      <c r="J120" s="124">
        <f t="shared" si="1"/>
        <v>0</v>
      </c>
      <c r="K120" s="81" t="str">
        <f>IFERROR(IF(A120="","—",IF(H120="Selesai","✓ Selesai",IF(H120="Cancel","✗ Cancel",IF(E120=0,"—",IF(J120=0,"✓ BAGUS",IF(J120&lt;=PARAM_REJECT_MAJOR,"⚠ MINOR",IF(J120&lt;=PARAM_REJECT_MAX,"⚠ PERHATIAN","🚨 ESKALASI"))))))),  "—")</f>
        <v>—</v>
      </c>
      <c r="L120" s="81" t="str">
        <f t="shared" si="2"/>
        <v>—</v>
      </c>
      <c r="M120" s="81" t="str">
        <f t="shared" si="3"/>
        <v>—</v>
      </c>
    </row>
    <row r="121" ht="18.75" customHeight="1">
      <c r="A121" s="72"/>
      <c r="B121" s="72"/>
      <c r="C121" s="73"/>
      <c r="D121" s="113"/>
      <c r="E121" s="113"/>
      <c r="F121" s="125"/>
      <c r="G121" s="125"/>
      <c r="H121" s="72"/>
      <c r="I121" s="113"/>
      <c r="J121" s="122">
        <f t="shared" si="1"/>
        <v>0</v>
      </c>
      <c r="K121" s="76" t="str">
        <f>IFERROR(IF(A121="","—",IF(H121="Selesai","✓ Selesai",IF(H121="Cancel","✗ Cancel",IF(E121=0,"—",IF(J121=0,"✓ BAGUS",IF(J121&lt;=PARAM_REJECT_MAJOR,"⚠ MINOR",IF(J121&lt;=PARAM_REJECT_MAX,"⚠ PERHATIAN","🚨 ESKALASI"))))))),  "—")</f>
        <v>—</v>
      </c>
      <c r="L121" s="76" t="str">
        <f t="shared" si="2"/>
        <v>—</v>
      </c>
      <c r="M121" s="76" t="str">
        <f t="shared" si="3"/>
        <v>—</v>
      </c>
    </row>
    <row r="122" ht="18.75" customHeight="1">
      <c r="A122" s="77"/>
      <c r="B122" s="77"/>
      <c r="C122" s="78"/>
      <c r="D122" s="117"/>
      <c r="E122" s="117"/>
      <c r="F122" s="123"/>
      <c r="G122" s="123"/>
      <c r="H122" s="77"/>
      <c r="I122" s="117"/>
      <c r="J122" s="124">
        <f t="shared" si="1"/>
        <v>0</v>
      </c>
      <c r="K122" s="81" t="str">
        <f>IFERROR(IF(A122="","—",IF(H122="Selesai","✓ Selesai",IF(H122="Cancel","✗ Cancel",IF(E122=0,"—",IF(J122=0,"✓ BAGUS",IF(J122&lt;=PARAM_REJECT_MAJOR,"⚠ MINOR",IF(J122&lt;=PARAM_REJECT_MAX,"⚠ PERHATIAN","🚨 ESKALASI"))))))),  "—")</f>
        <v>—</v>
      </c>
      <c r="L122" s="81" t="str">
        <f t="shared" si="2"/>
        <v>—</v>
      </c>
      <c r="M122" s="81" t="str">
        <f t="shared" si="3"/>
        <v>—</v>
      </c>
    </row>
    <row r="123" ht="18.75" customHeight="1">
      <c r="A123" s="72"/>
      <c r="B123" s="72"/>
      <c r="C123" s="73"/>
      <c r="D123" s="113"/>
      <c r="E123" s="113"/>
      <c r="F123" s="125"/>
      <c r="G123" s="125"/>
      <c r="H123" s="72"/>
      <c r="I123" s="113"/>
      <c r="J123" s="122">
        <f t="shared" si="1"/>
        <v>0</v>
      </c>
      <c r="K123" s="76" t="str">
        <f>IFERROR(IF(A123="","—",IF(H123="Selesai","✓ Selesai",IF(H123="Cancel","✗ Cancel",IF(E123=0,"—",IF(J123=0,"✓ BAGUS",IF(J123&lt;=PARAM_REJECT_MAJOR,"⚠ MINOR",IF(J123&lt;=PARAM_REJECT_MAX,"⚠ PERHATIAN","🚨 ESKALASI"))))))),  "—")</f>
        <v>—</v>
      </c>
      <c r="L123" s="76" t="str">
        <f t="shared" si="2"/>
        <v>—</v>
      </c>
      <c r="M123" s="76" t="str">
        <f t="shared" si="3"/>
        <v>—</v>
      </c>
    </row>
    <row r="124" ht="18.75" customHeight="1">
      <c r="A124" s="77"/>
      <c r="B124" s="77"/>
      <c r="C124" s="78"/>
      <c r="D124" s="117"/>
      <c r="E124" s="117"/>
      <c r="F124" s="123"/>
      <c r="G124" s="123"/>
      <c r="H124" s="77"/>
      <c r="I124" s="117"/>
      <c r="J124" s="124">
        <f t="shared" si="1"/>
        <v>0</v>
      </c>
      <c r="K124" s="81" t="str">
        <f>IFERROR(IF(A124="","—",IF(H124="Selesai","✓ Selesai",IF(H124="Cancel","✗ Cancel",IF(E124=0,"—",IF(J124=0,"✓ BAGUS",IF(J124&lt;=PARAM_REJECT_MAJOR,"⚠ MINOR",IF(J124&lt;=PARAM_REJECT_MAX,"⚠ PERHATIAN","🚨 ESKALASI"))))))),  "—")</f>
        <v>—</v>
      </c>
      <c r="L124" s="81" t="str">
        <f t="shared" si="2"/>
        <v>—</v>
      </c>
      <c r="M124" s="81" t="str">
        <f t="shared" si="3"/>
        <v>—</v>
      </c>
    </row>
    <row r="125" ht="18.75" customHeight="1">
      <c r="A125" s="72"/>
      <c r="B125" s="72"/>
      <c r="C125" s="73"/>
      <c r="D125" s="113"/>
      <c r="E125" s="113"/>
      <c r="F125" s="125"/>
      <c r="G125" s="125"/>
      <c r="H125" s="72"/>
      <c r="I125" s="113"/>
      <c r="J125" s="122">
        <f t="shared" si="1"/>
        <v>0</v>
      </c>
      <c r="K125" s="76" t="str">
        <f>IFERROR(IF(A125="","—",IF(H125="Selesai","✓ Selesai",IF(H125="Cancel","✗ Cancel",IF(E125=0,"—",IF(J125=0,"✓ BAGUS",IF(J125&lt;=PARAM_REJECT_MAJOR,"⚠ MINOR",IF(J125&lt;=PARAM_REJECT_MAX,"⚠ PERHATIAN","🚨 ESKALASI"))))))),  "—")</f>
        <v>—</v>
      </c>
      <c r="L125" s="76" t="str">
        <f t="shared" si="2"/>
        <v>—</v>
      </c>
      <c r="M125" s="76" t="str">
        <f t="shared" si="3"/>
        <v>—</v>
      </c>
    </row>
    <row r="126" ht="18.75" customHeight="1">
      <c r="A126" s="77"/>
      <c r="B126" s="77"/>
      <c r="C126" s="78"/>
      <c r="D126" s="117"/>
      <c r="E126" s="117"/>
      <c r="F126" s="123"/>
      <c r="G126" s="123"/>
      <c r="H126" s="77"/>
      <c r="I126" s="117"/>
      <c r="J126" s="124">
        <f t="shared" si="1"/>
        <v>0</v>
      </c>
      <c r="K126" s="81" t="str">
        <f>IFERROR(IF(A126="","—",IF(H126="Selesai","✓ Selesai",IF(H126="Cancel","✗ Cancel",IF(E126=0,"—",IF(J126=0,"✓ BAGUS",IF(J126&lt;=PARAM_REJECT_MAJOR,"⚠ MINOR",IF(J126&lt;=PARAM_REJECT_MAX,"⚠ PERHATIAN","🚨 ESKALASI"))))))),  "—")</f>
        <v>—</v>
      </c>
      <c r="L126" s="81" t="str">
        <f t="shared" si="2"/>
        <v>—</v>
      </c>
      <c r="M126" s="81" t="str">
        <f t="shared" si="3"/>
        <v>—</v>
      </c>
    </row>
    <row r="127" ht="18.75" customHeight="1">
      <c r="A127" s="72"/>
      <c r="B127" s="72"/>
      <c r="C127" s="73"/>
      <c r="D127" s="113"/>
      <c r="E127" s="113"/>
      <c r="F127" s="125"/>
      <c r="G127" s="125"/>
      <c r="H127" s="72"/>
      <c r="I127" s="113"/>
      <c r="J127" s="122">
        <f t="shared" si="1"/>
        <v>0</v>
      </c>
      <c r="K127" s="76" t="str">
        <f>IFERROR(IF(A127="","—",IF(H127="Selesai","✓ Selesai",IF(H127="Cancel","✗ Cancel",IF(E127=0,"—",IF(J127=0,"✓ BAGUS",IF(J127&lt;=PARAM_REJECT_MAJOR,"⚠ MINOR",IF(J127&lt;=PARAM_REJECT_MAX,"⚠ PERHATIAN","🚨 ESKALASI"))))))),  "—")</f>
        <v>—</v>
      </c>
      <c r="L127" s="76" t="str">
        <f t="shared" si="2"/>
        <v>—</v>
      </c>
      <c r="M127" s="76" t="str">
        <f t="shared" si="3"/>
        <v>—</v>
      </c>
    </row>
    <row r="128" ht="18.75" customHeight="1">
      <c r="A128" s="77"/>
      <c r="B128" s="77"/>
      <c r="C128" s="78"/>
      <c r="D128" s="117"/>
      <c r="E128" s="117"/>
      <c r="F128" s="123"/>
      <c r="G128" s="123"/>
      <c r="H128" s="77"/>
      <c r="I128" s="117"/>
      <c r="J128" s="124">
        <f t="shared" si="1"/>
        <v>0</v>
      </c>
      <c r="K128" s="81" t="str">
        <f>IFERROR(IF(A128="","—",IF(H128="Selesai","✓ Selesai",IF(H128="Cancel","✗ Cancel",IF(E128=0,"—",IF(J128=0,"✓ BAGUS",IF(J128&lt;=PARAM_REJECT_MAJOR,"⚠ MINOR",IF(J128&lt;=PARAM_REJECT_MAX,"⚠ PERHATIAN","🚨 ESKALASI"))))))),  "—")</f>
        <v>—</v>
      </c>
      <c r="L128" s="81" t="str">
        <f t="shared" si="2"/>
        <v>—</v>
      </c>
      <c r="M128" s="81" t="str">
        <f t="shared" si="3"/>
        <v>—</v>
      </c>
    </row>
    <row r="129" ht="18.75" customHeight="1">
      <c r="A129" s="72"/>
      <c r="B129" s="72"/>
      <c r="C129" s="73"/>
      <c r="D129" s="113"/>
      <c r="E129" s="113"/>
      <c r="F129" s="125"/>
      <c r="G129" s="125"/>
      <c r="H129" s="72"/>
      <c r="I129" s="113"/>
      <c r="J129" s="122">
        <f t="shared" si="1"/>
        <v>0</v>
      </c>
      <c r="K129" s="76" t="str">
        <f>IFERROR(IF(A129="","—",IF(H129="Selesai","✓ Selesai",IF(H129="Cancel","✗ Cancel",IF(E129=0,"—",IF(J129=0,"✓ BAGUS",IF(J129&lt;=PARAM_REJECT_MAJOR,"⚠ MINOR",IF(J129&lt;=PARAM_REJECT_MAX,"⚠ PERHATIAN","🚨 ESKALASI"))))))),  "—")</f>
        <v>—</v>
      </c>
      <c r="L129" s="76" t="str">
        <f t="shared" si="2"/>
        <v>—</v>
      </c>
      <c r="M129" s="76" t="str">
        <f t="shared" si="3"/>
        <v>—</v>
      </c>
    </row>
    <row r="130" ht="18.75" customHeight="1">
      <c r="A130" s="77"/>
      <c r="B130" s="77"/>
      <c r="C130" s="78"/>
      <c r="D130" s="117"/>
      <c r="E130" s="117"/>
      <c r="F130" s="123"/>
      <c r="G130" s="123"/>
      <c r="H130" s="77"/>
      <c r="I130" s="117"/>
      <c r="J130" s="124">
        <f t="shared" si="1"/>
        <v>0</v>
      </c>
      <c r="K130" s="81" t="str">
        <f>IFERROR(IF(A130="","—",IF(H130="Selesai","✓ Selesai",IF(H130="Cancel","✗ Cancel",IF(E130=0,"—",IF(J130=0,"✓ BAGUS",IF(J130&lt;=PARAM_REJECT_MAJOR,"⚠ MINOR",IF(J130&lt;=PARAM_REJECT_MAX,"⚠ PERHATIAN","🚨 ESKALASI"))))))),  "—")</f>
        <v>—</v>
      </c>
      <c r="L130" s="81" t="str">
        <f t="shared" si="2"/>
        <v>—</v>
      </c>
      <c r="M130" s="81" t="str">
        <f t="shared" si="3"/>
        <v>—</v>
      </c>
    </row>
    <row r="131" ht="18.75" customHeight="1">
      <c r="A131" s="72"/>
      <c r="B131" s="72"/>
      <c r="C131" s="73"/>
      <c r="D131" s="113"/>
      <c r="E131" s="113"/>
      <c r="F131" s="125"/>
      <c r="G131" s="125"/>
      <c r="H131" s="72"/>
      <c r="I131" s="113"/>
      <c r="J131" s="122">
        <f t="shared" si="1"/>
        <v>0</v>
      </c>
      <c r="K131" s="76" t="str">
        <f>IFERROR(IF(A131="","—",IF(H131="Selesai","✓ Selesai",IF(H131="Cancel","✗ Cancel",IF(E131=0,"—",IF(J131=0,"✓ BAGUS",IF(J131&lt;=PARAM_REJECT_MAJOR,"⚠ MINOR",IF(J131&lt;=PARAM_REJECT_MAX,"⚠ PERHATIAN","🚨 ESKALASI"))))))),  "—")</f>
        <v>—</v>
      </c>
      <c r="L131" s="76" t="str">
        <f t="shared" si="2"/>
        <v>—</v>
      </c>
      <c r="M131" s="76" t="str">
        <f t="shared" si="3"/>
        <v>—</v>
      </c>
    </row>
    <row r="132" ht="18.75" customHeight="1">
      <c r="A132" s="77"/>
      <c r="B132" s="77"/>
      <c r="C132" s="78"/>
      <c r="D132" s="117"/>
      <c r="E132" s="117"/>
      <c r="F132" s="123"/>
      <c r="G132" s="123"/>
      <c r="H132" s="77"/>
      <c r="I132" s="117"/>
      <c r="J132" s="124">
        <f t="shared" si="1"/>
        <v>0</v>
      </c>
      <c r="K132" s="81" t="str">
        <f>IFERROR(IF(A132="","—",IF(H132="Selesai","✓ Selesai",IF(H132="Cancel","✗ Cancel",IF(E132=0,"—",IF(J132=0,"✓ BAGUS",IF(J132&lt;=PARAM_REJECT_MAJOR,"⚠ MINOR",IF(J132&lt;=PARAM_REJECT_MAX,"⚠ PERHATIAN","🚨 ESKALASI"))))))),  "—")</f>
        <v>—</v>
      </c>
      <c r="L132" s="81" t="str">
        <f t="shared" si="2"/>
        <v>—</v>
      </c>
      <c r="M132" s="81" t="str">
        <f t="shared" si="3"/>
        <v>—</v>
      </c>
    </row>
    <row r="133" ht="18.75" customHeight="1">
      <c r="A133" s="72"/>
      <c r="B133" s="72"/>
      <c r="C133" s="73"/>
      <c r="D133" s="113"/>
      <c r="E133" s="113"/>
      <c r="F133" s="125"/>
      <c r="G133" s="125"/>
      <c r="H133" s="72"/>
      <c r="I133" s="113"/>
      <c r="J133" s="122">
        <f t="shared" si="1"/>
        <v>0</v>
      </c>
      <c r="K133" s="76" t="str">
        <f>IFERROR(IF(A133="","—",IF(H133="Selesai","✓ Selesai",IF(H133="Cancel","✗ Cancel",IF(E133=0,"—",IF(J133=0,"✓ BAGUS",IF(J133&lt;=PARAM_REJECT_MAJOR,"⚠ MINOR",IF(J133&lt;=PARAM_REJECT_MAX,"⚠ PERHATIAN","🚨 ESKALASI"))))))),  "—")</f>
        <v>—</v>
      </c>
      <c r="L133" s="76" t="str">
        <f t="shared" si="2"/>
        <v>—</v>
      </c>
      <c r="M133" s="76" t="str">
        <f t="shared" si="3"/>
        <v>—</v>
      </c>
    </row>
    <row r="134" ht="18.75" customHeight="1">
      <c r="A134" s="77"/>
      <c r="B134" s="77"/>
      <c r="C134" s="78"/>
      <c r="D134" s="117"/>
      <c r="E134" s="117"/>
      <c r="F134" s="123"/>
      <c r="G134" s="123"/>
      <c r="H134" s="77"/>
      <c r="I134" s="117"/>
      <c r="J134" s="124">
        <f t="shared" si="1"/>
        <v>0</v>
      </c>
      <c r="K134" s="81" t="str">
        <f>IFERROR(IF(A134="","—",IF(H134="Selesai","✓ Selesai",IF(H134="Cancel","✗ Cancel",IF(E134=0,"—",IF(J134=0,"✓ BAGUS",IF(J134&lt;=PARAM_REJECT_MAJOR,"⚠ MINOR",IF(J134&lt;=PARAM_REJECT_MAX,"⚠ PERHATIAN","🚨 ESKALASI"))))))),  "—")</f>
        <v>—</v>
      </c>
      <c r="L134" s="81" t="str">
        <f t="shared" si="2"/>
        <v>—</v>
      </c>
      <c r="M134" s="81" t="str">
        <f t="shared" si="3"/>
        <v>—</v>
      </c>
    </row>
    <row r="135" ht="18.75" customHeight="1">
      <c r="A135" s="72"/>
      <c r="B135" s="72"/>
      <c r="C135" s="73"/>
      <c r="D135" s="113"/>
      <c r="E135" s="113"/>
      <c r="F135" s="125"/>
      <c r="G135" s="125"/>
      <c r="H135" s="72"/>
      <c r="I135" s="113"/>
      <c r="J135" s="122">
        <f t="shared" si="1"/>
        <v>0</v>
      </c>
      <c r="K135" s="76" t="str">
        <f>IFERROR(IF(A135="","—",IF(H135="Selesai","✓ Selesai",IF(H135="Cancel","✗ Cancel",IF(E135=0,"—",IF(J135=0,"✓ BAGUS",IF(J135&lt;=PARAM_REJECT_MAJOR,"⚠ MINOR",IF(J135&lt;=PARAM_REJECT_MAX,"⚠ PERHATIAN","🚨 ESKALASI"))))))),  "—")</f>
        <v>—</v>
      </c>
      <c r="L135" s="76" t="str">
        <f t="shared" si="2"/>
        <v>—</v>
      </c>
      <c r="M135" s="76" t="str">
        <f t="shared" si="3"/>
        <v>—</v>
      </c>
    </row>
    <row r="136" ht="18.75" customHeight="1">
      <c r="A136" s="77"/>
      <c r="B136" s="77"/>
      <c r="C136" s="78"/>
      <c r="D136" s="117"/>
      <c r="E136" s="117"/>
      <c r="F136" s="123"/>
      <c r="G136" s="123"/>
      <c r="H136" s="77"/>
      <c r="I136" s="117"/>
      <c r="J136" s="124">
        <f t="shared" si="1"/>
        <v>0</v>
      </c>
      <c r="K136" s="81" t="str">
        <f>IFERROR(IF(A136="","—",IF(H136="Selesai","✓ Selesai",IF(H136="Cancel","✗ Cancel",IF(E136=0,"—",IF(J136=0,"✓ BAGUS",IF(J136&lt;=PARAM_REJECT_MAJOR,"⚠ MINOR",IF(J136&lt;=PARAM_REJECT_MAX,"⚠ PERHATIAN","🚨 ESKALASI"))))))),  "—")</f>
        <v>—</v>
      </c>
      <c r="L136" s="81" t="str">
        <f t="shared" si="2"/>
        <v>—</v>
      </c>
      <c r="M136" s="81" t="str">
        <f t="shared" si="3"/>
        <v>—</v>
      </c>
    </row>
    <row r="137" ht="18.75" customHeight="1">
      <c r="A137" s="72"/>
      <c r="B137" s="72"/>
      <c r="C137" s="73"/>
      <c r="D137" s="113"/>
      <c r="E137" s="113"/>
      <c r="F137" s="125"/>
      <c r="G137" s="125"/>
      <c r="H137" s="72"/>
      <c r="I137" s="113"/>
      <c r="J137" s="122">
        <f t="shared" si="1"/>
        <v>0</v>
      </c>
      <c r="K137" s="76" t="str">
        <f>IFERROR(IF(A137="","—",IF(H137="Selesai","✓ Selesai",IF(H137="Cancel","✗ Cancel",IF(E137=0,"—",IF(J137=0,"✓ BAGUS",IF(J137&lt;=PARAM_REJECT_MAJOR,"⚠ MINOR",IF(J137&lt;=PARAM_REJECT_MAX,"⚠ PERHATIAN","🚨 ESKALASI"))))))),  "—")</f>
        <v>—</v>
      </c>
      <c r="L137" s="76" t="str">
        <f t="shared" si="2"/>
        <v>—</v>
      </c>
      <c r="M137" s="76" t="str">
        <f t="shared" si="3"/>
        <v>—</v>
      </c>
    </row>
    <row r="138" ht="18.75" customHeight="1">
      <c r="A138" s="77"/>
      <c r="B138" s="77"/>
      <c r="C138" s="78"/>
      <c r="D138" s="117"/>
      <c r="E138" s="117"/>
      <c r="F138" s="123"/>
      <c r="G138" s="123"/>
      <c r="H138" s="77"/>
      <c r="I138" s="117"/>
      <c r="J138" s="124">
        <f t="shared" si="1"/>
        <v>0</v>
      </c>
      <c r="K138" s="81" t="str">
        <f>IFERROR(IF(A138="","—",IF(H138="Selesai","✓ Selesai",IF(H138="Cancel","✗ Cancel",IF(E138=0,"—",IF(J138=0,"✓ BAGUS",IF(J138&lt;=PARAM_REJECT_MAJOR,"⚠ MINOR",IF(J138&lt;=PARAM_REJECT_MAX,"⚠ PERHATIAN","🚨 ESKALASI"))))))),  "—")</f>
        <v>—</v>
      </c>
      <c r="L138" s="81" t="str">
        <f t="shared" si="2"/>
        <v>—</v>
      </c>
      <c r="M138" s="81" t="str">
        <f t="shared" si="3"/>
        <v>—</v>
      </c>
    </row>
    <row r="139" ht="18.75" customHeight="1">
      <c r="A139" s="72"/>
      <c r="B139" s="72"/>
      <c r="C139" s="73"/>
      <c r="D139" s="113"/>
      <c r="E139" s="113"/>
      <c r="F139" s="125"/>
      <c r="G139" s="125"/>
      <c r="H139" s="72"/>
      <c r="I139" s="113"/>
      <c r="J139" s="122">
        <f t="shared" si="1"/>
        <v>0</v>
      </c>
      <c r="K139" s="76" t="str">
        <f>IFERROR(IF(A139="","—",IF(H139="Selesai","✓ Selesai",IF(H139="Cancel","✗ Cancel",IF(E139=0,"—",IF(J139=0,"✓ BAGUS",IF(J139&lt;=PARAM_REJECT_MAJOR,"⚠ MINOR",IF(J139&lt;=PARAM_REJECT_MAX,"⚠ PERHATIAN","🚨 ESKALASI"))))))),  "—")</f>
        <v>—</v>
      </c>
      <c r="L139" s="76" t="str">
        <f t="shared" si="2"/>
        <v>—</v>
      </c>
      <c r="M139" s="76" t="str">
        <f t="shared" si="3"/>
        <v>—</v>
      </c>
    </row>
    <row r="140" ht="18.75" customHeight="1">
      <c r="A140" s="77"/>
      <c r="B140" s="77"/>
      <c r="C140" s="78"/>
      <c r="D140" s="117"/>
      <c r="E140" s="117"/>
      <c r="F140" s="123"/>
      <c r="G140" s="123"/>
      <c r="H140" s="77"/>
      <c r="I140" s="117"/>
      <c r="J140" s="124">
        <f t="shared" si="1"/>
        <v>0</v>
      </c>
      <c r="K140" s="81" t="str">
        <f>IFERROR(IF(A140="","—",IF(H140="Selesai","✓ Selesai",IF(H140="Cancel","✗ Cancel",IF(E140=0,"—",IF(J140=0,"✓ BAGUS",IF(J140&lt;=PARAM_REJECT_MAJOR,"⚠ MINOR",IF(J140&lt;=PARAM_REJECT_MAX,"⚠ PERHATIAN","🚨 ESKALASI"))))))),  "—")</f>
        <v>—</v>
      </c>
      <c r="L140" s="81" t="str">
        <f t="shared" si="2"/>
        <v>—</v>
      </c>
      <c r="M140" s="81" t="str">
        <f t="shared" si="3"/>
        <v>—</v>
      </c>
    </row>
    <row r="141" ht="18.75" customHeight="1">
      <c r="A141" s="72"/>
      <c r="B141" s="72"/>
      <c r="C141" s="73"/>
      <c r="D141" s="113"/>
      <c r="E141" s="113"/>
      <c r="F141" s="125"/>
      <c r="G141" s="125"/>
      <c r="H141" s="72"/>
      <c r="I141" s="113"/>
      <c r="J141" s="122">
        <f t="shared" si="1"/>
        <v>0</v>
      </c>
      <c r="K141" s="76" t="str">
        <f>IFERROR(IF(A141="","—",IF(H141="Selesai","✓ Selesai",IF(H141="Cancel","✗ Cancel",IF(E141=0,"—",IF(J141=0,"✓ BAGUS",IF(J141&lt;=PARAM_REJECT_MAJOR,"⚠ MINOR",IF(J141&lt;=PARAM_REJECT_MAX,"⚠ PERHATIAN","🚨 ESKALASI"))))))),  "—")</f>
        <v>—</v>
      </c>
      <c r="L141" s="76" t="str">
        <f t="shared" si="2"/>
        <v>—</v>
      </c>
      <c r="M141" s="76" t="str">
        <f t="shared" si="3"/>
        <v>—</v>
      </c>
    </row>
    <row r="142" ht="18.75" customHeight="1">
      <c r="A142" s="77"/>
      <c r="B142" s="77"/>
      <c r="C142" s="78"/>
      <c r="D142" s="117"/>
      <c r="E142" s="117"/>
      <c r="F142" s="123"/>
      <c r="G142" s="123"/>
      <c r="H142" s="77"/>
      <c r="I142" s="117"/>
      <c r="J142" s="124">
        <f t="shared" si="1"/>
        <v>0</v>
      </c>
      <c r="K142" s="81" t="str">
        <f>IFERROR(IF(A142="","—",IF(H142="Selesai","✓ Selesai",IF(H142="Cancel","✗ Cancel",IF(E142=0,"—",IF(J142=0,"✓ BAGUS",IF(J142&lt;=PARAM_REJECT_MAJOR,"⚠ MINOR",IF(J142&lt;=PARAM_REJECT_MAX,"⚠ PERHATIAN","🚨 ESKALASI"))))))),  "—")</f>
        <v>—</v>
      </c>
      <c r="L142" s="81" t="str">
        <f t="shared" si="2"/>
        <v>—</v>
      </c>
      <c r="M142" s="81" t="str">
        <f t="shared" si="3"/>
        <v>—</v>
      </c>
    </row>
    <row r="143" ht="18.75" customHeight="1">
      <c r="A143" s="72"/>
      <c r="B143" s="72"/>
      <c r="C143" s="73"/>
      <c r="D143" s="113"/>
      <c r="E143" s="113"/>
      <c r="F143" s="125"/>
      <c r="G143" s="125"/>
      <c r="H143" s="72"/>
      <c r="I143" s="113"/>
      <c r="J143" s="122">
        <f t="shared" si="1"/>
        <v>0</v>
      </c>
      <c r="K143" s="76" t="str">
        <f>IFERROR(IF(A143="","—",IF(H143="Selesai","✓ Selesai",IF(H143="Cancel","✗ Cancel",IF(E143=0,"—",IF(J143=0,"✓ BAGUS",IF(J143&lt;=PARAM_REJECT_MAJOR,"⚠ MINOR",IF(J143&lt;=PARAM_REJECT_MAX,"⚠ PERHATIAN","🚨 ESKALASI"))))))),  "—")</f>
        <v>—</v>
      </c>
      <c r="L143" s="76" t="str">
        <f t="shared" si="2"/>
        <v>—</v>
      </c>
      <c r="M143" s="76" t="str">
        <f t="shared" si="3"/>
        <v>—</v>
      </c>
    </row>
    <row r="144" ht="18.75" customHeight="1">
      <c r="A144" s="77"/>
      <c r="B144" s="77"/>
      <c r="C144" s="78"/>
      <c r="D144" s="117"/>
      <c r="E144" s="117"/>
      <c r="F144" s="123"/>
      <c r="G144" s="123"/>
      <c r="H144" s="77"/>
      <c r="I144" s="117"/>
      <c r="J144" s="124">
        <f t="shared" si="1"/>
        <v>0</v>
      </c>
      <c r="K144" s="81" t="str">
        <f>IFERROR(IF(A144="","—",IF(H144="Selesai","✓ Selesai",IF(H144="Cancel","✗ Cancel",IF(E144=0,"—",IF(J144=0,"✓ BAGUS",IF(J144&lt;=PARAM_REJECT_MAJOR,"⚠ MINOR",IF(J144&lt;=PARAM_REJECT_MAX,"⚠ PERHATIAN","🚨 ESKALASI"))))))),  "—")</f>
        <v>—</v>
      </c>
      <c r="L144" s="81" t="str">
        <f t="shared" si="2"/>
        <v>—</v>
      </c>
      <c r="M144" s="81" t="str">
        <f t="shared" si="3"/>
        <v>—</v>
      </c>
    </row>
    <row r="145" ht="18.75" customHeight="1">
      <c r="A145" s="72"/>
      <c r="B145" s="72"/>
      <c r="C145" s="73"/>
      <c r="D145" s="113"/>
      <c r="E145" s="113"/>
      <c r="F145" s="125"/>
      <c r="G145" s="125"/>
      <c r="H145" s="72"/>
      <c r="I145" s="113"/>
      <c r="J145" s="122">
        <f t="shared" si="1"/>
        <v>0</v>
      </c>
      <c r="K145" s="76" t="str">
        <f>IFERROR(IF(A145="","—",IF(H145="Selesai","✓ Selesai",IF(H145="Cancel","✗ Cancel",IF(E145=0,"—",IF(J145=0,"✓ BAGUS",IF(J145&lt;=PARAM_REJECT_MAJOR,"⚠ MINOR",IF(J145&lt;=PARAM_REJECT_MAX,"⚠ PERHATIAN","🚨 ESKALASI"))))))),  "—")</f>
        <v>—</v>
      </c>
      <c r="L145" s="76" t="str">
        <f t="shared" si="2"/>
        <v>—</v>
      </c>
      <c r="M145" s="76" t="str">
        <f t="shared" si="3"/>
        <v>—</v>
      </c>
    </row>
    <row r="146" ht="18.75" customHeight="1">
      <c r="A146" s="77"/>
      <c r="B146" s="77"/>
      <c r="C146" s="78"/>
      <c r="D146" s="117"/>
      <c r="E146" s="117"/>
      <c r="F146" s="123"/>
      <c r="G146" s="123"/>
      <c r="H146" s="77"/>
      <c r="I146" s="117"/>
      <c r="J146" s="124">
        <f t="shared" si="1"/>
        <v>0</v>
      </c>
      <c r="K146" s="81" t="str">
        <f>IFERROR(IF(A146="","—",IF(H146="Selesai","✓ Selesai",IF(H146="Cancel","✗ Cancel",IF(E146=0,"—",IF(J146=0,"✓ BAGUS",IF(J146&lt;=PARAM_REJECT_MAJOR,"⚠ MINOR",IF(J146&lt;=PARAM_REJECT_MAX,"⚠ PERHATIAN","🚨 ESKALASI"))))))),  "—")</f>
        <v>—</v>
      </c>
      <c r="L146" s="81" t="str">
        <f t="shared" si="2"/>
        <v>—</v>
      </c>
      <c r="M146" s="81" t="str">
        <f t="shared" si="3"/>
        <v>—</v>
      </c>
    </row>
    <row r="147" ht="18.75" customHeight="1">
      <c r="A147" s="72"/>
      <c r="B147" s="72"/>
      <c r="C147" s="73"/>
      <c r="D147" s="113"/>
      <c r="E147" s="113"/>
      <c r="F147" s="125"/>
      <c r="G147" s="125"/>
      <c r="H147" s="72"/>
      <c r="I147" s="113"/>
      <c r="J147" s="122">
        <f t="shared" si="1"/>
        <v>0</v>
      </c>
      <c r="K147" s="76" t="str">
        <f>IFERROR(IF(A147="","—",IF(H147="Selesai","✓ Selesai",IF(H147="Cancel","✗ Cancel",IF(E147=0,"—",IF(J147=0,"✓ BAGUS",IF(J147&lt;=PARAM_REJECT_MAJOR,"⚠ MINOR",IF(J147&lt;=PARAM_REJECT_MAX,"⚠ PERHATIAN","🚨 ESKALASI"))))))),  "—")</f>
        <v>—</v>
      </c>
      <c r="L147" s="76" t="str">
        <f t="shared" si="2"/>
        <v>—</v>
      </c>
      <c r="M147" s="76" t="str">
        <f t="shared" si="3"/>
        <v>—</v>
      </c>
    </row>
    <row r="148" ht="18.75" customHeight="1">
      <c r="A148" s="77"/>
      <c r="B148" s="77"/>
      <c r="C148" s="78"/>
      <c r="D148" s="117"/>
      <c r="E148" s="117"/>
      <c r="F148" s="123"/>
      <c r="G148" s="123"/>
      <c r="H148" s="77"/>
      <c r="I148" s="117"/>
      <c r="J148" s="124">
        <f t="shared" si="1"/>
        <v>0</v>
      </c>
      <c r="K148" s="81" t="str">
        <f>IFERROR(IF(A148="","—",IF(H148="Selesai","✓ Selesai",IF(H148="Cancel","✗ Cancel",IF(E148=0,"—",IF(J148=0,"✓ BAGUS",IF(J148&lt;=PARAM_REJECT_MAJOR,"⚠ MINOR",IF(J148&lt;=PARAM_REJECT_MAX,"⚠ PERHATIAN","🚨 ESKALASI"))))))),  "—")</f>
        <v>—</v>
      </c>
      <c r="L148" s="81" t="str">
        <f t="shared" si="2"/>
        <v>—</v>
      </c>
      <c r="M148" s="81" t="str">
        <f t="shared" si="3"/>
        <v>—</v>
      </c>
    </row>
    <row r="149" ht="18.75" customHeight="1">
      <c r="A149" s="72"/>
      <c r="B149" s="72"/>
      <c r="C149" s="73"/>
      <c r="D149" s="113"/>
      <c r="E149" s="113"/>
      <c r="F149" s="125"/>
      <c r="G149" s="125"/>
      <c r="H149" s="72"/>
      <c r="I149" s="113"/>
      <c r="J149" s="122">
        <f t="shared" si="1"/>
        <v>0</v>
      </c>
      <c r="K149" s="76" t="str">
        <f>IFERROR(IF(A149="","—",IF(H149="Selesai","✓ Selesai",IF(H149="Cancel","✗ Cancel",IF(E149=0,"—",IF(J149=0,"✓ BAGUS",IF(J149&lt;=PARAM_REJECT_MAJOR,"⚠ MINOR",IF(J149&lt;=PARAM_REJECT_MAX,"⚠ PERHATIAN","🚨 ESKALASI"))))))),  "—")</f>
        <v>—</v>
      </c>
      <c r="L149" s="76" t="str">
        <f t="shared" si="2"/>
        <v>—</v>
      </c>
      <c r="M149" s="76" t="str">
        <f t="shared" si="3"/>
        <v>—</v>
      </c>
    </row>
    <row r="150" ht="18.75" customHeight="1">
      <c r="A150" s="77"/>
      <c r="B150" s="77"/>
      <c r="C150" s="78"/>
      <c r="D150" s="117"/>
      <c r="E150" s="117"/>
      <c r="F150" s="123"/>
      <c r="G150" s="123"/>
      <c r="H150" s="77"/>
      <c r="I150" s="117"/>
      <c r="J150" s="124">
        <f t="shared" si="1"/>
        <v>0</v>
      </c>
      <c r="K150" s="81" t="str">
        <f>IFERROR(IF(A150="","—",IF(H150="Selesai","✓ Selesai",IF(H150="Cancel","✗ Cancel",IF(E150=0,"—",IF(J150=0,"✓ BAGUS",IF(J150&lt;=PARAM_REJECT_MAJOR,"⚠ MINOR",IF(J150&lt;=PARAM_REJECT_MAX,"⚠ PERHATIAN","🚨 ESKALASI"))))))),  "—")</f>
        <v>—</v>
      </c>
      <c r="L150" s="81" t="str">
        <f t="shared" si="2"/>
        <v>—</v>
      </c>
      <c r="M150" s="81" t="str">
        <f t="shared" si="3"/>
        <v>—</v>
      </c>
    </row>
    <row r="151" ht="18.75" customHeight="1">
      <c r="A151" s="72"/>
      <c r="B151" s="72"/>
      <c r="C151" s="73"/>
      <c r="D151" s="113"/>
      <c r="E151" s="113"/>
      <c r="F151" s="125"/>
      <c r="G151" s="125"/>
      <c r="H151" s="72"/>
      <c r="I151" s="113"/>
      <c r="J151" s="122">
        <f t="shared" si="1"/>
        <v>0</v>
      </c>
      <c r="K151" s="76" t="str">
        <f>IFERROR(IF(A151="","—",IF(H151="Selesai","✓ Selesai",IF(H151="Cancel","✗ Cancel",IF(E151=0,"—",IF(J151=0,"✓ BAGUS",IF(J151&lt;=PARAM_REJECT_MAJOR,"⚠ MINOR",IF(J151&lt;=PARAM_REJECT_MAX,"⚠ PERHATIAN","🚨 ESKALASI"))))))),  "—")</f>
        <v>—</v>
      </c>
      <c r="L151" s="76" t="str">
        <f t="shared" si="2"/>
        <v>—</v>
      </c>
      <c r="M151" s="76" t="str">
        <f t="shared" si="3"/>
        <v>—</v>
      </c>
    </row>
    <row r="152" ht="18.75" customHeight="1">
      <c r="A152" s="77"/>
      <c r="B152" s="77"/>
      <c r="C152" s="78"/>
      <c r="D152" s="117"/>
      <c r="E152" s="117"/>
      <c r="F152" s="123"/>
      <c r="G152" s="123"/>
      <c r="H152" s="77"/>
      <c r="I152" s="117"/>
      <c r="J152" s="124">
        <f t="shared" si="1"/>
        <v>0</v>
      </c>
      <c r="K152" s="81" t="str">
        <f>IFERROR(IF(A152="","—",IF(H152="Selesai","✓ Selesai",IF(H152="Cancel","✗ Cancel",IF(E152=0,"—",IF(J152=0,"✓ BAGUS",IF(J152&lt;=PARAM_REJECT_MAJOR,"⚠ MINOR",IF(J152&lt;=PARAM_REJECT_MAX,"⚠ PERHATIAN","🚨 ESKALASI"))))))),  "—")</f>
        <v>—</v>
      </c>
      <c r="L152" s="81" t="str">
        <f t="shared" si="2"/>
        <v>—</v>
      </c>
      <c r="M152" s="81" t="str">
        <f t="shared" si="3"/>
        <v>—</v>
      </c>
    </row>
    <row r="153" ht="18.75" customHeight="1">
      <c r="A153" s="72"/>
      <c r="B153" s="72"/>
      <c r="C153" s="73"/>
      <c r="D153" s="113"/>
      <c r="E153" s="113"/>
      <c r="F153" s="125"/>
      <c r="G153" s="125"/>
      <c r="H153" s="72"/>
      <c r="I153" s="113"/>
      <c r="J153" s="122">
        <f t="shared" si="1"/>
        <v>0</v>
      </c>
      <c r="K153" s="76" t="str">
        <f>IFERROR(IF(A153="","—",IF(H153="Selesai","✓ Selesai",IF(H153="Cancel","✗ Cancel",IF(E153=0,"—",IF(J153=0,"✓ BAGUS",IF(J153&lt;=PARAM_REJECT_MAJOR,"⚠ MINOR",IF(J153&lt;=PARAM_REJECT_MAX,"⚠ PERHATIAN","🚨 ESKALASI"))))))),  "—")</f>
        <v>—</v>
      </c>
      <c r="L153" s="76" t="str">
        <f t="shared" si="2"/>
        <v>—</v>
      </c>
      <c r="M153" s="76" t="str">
        <f t="shared" si="3"/>
        <v>—</v>
      </c>
    </row>
    <row r="154" ht="18.75" customHeight="1">
      <c r="A154" s="77"/>
      <c r="B154" s="77"/>
      <c r="C154" s="78"/>
      <c r="D154" s="117"/>
      <c r="E154" s="117"/>
      <c r="F154" s="123"/>
      <c r="G154" s="123"/>
      <c r="H154" s="77"/>
      <c r="I154" s="117"/>
      <c r="J154" s="124">
        <f t="shared" si="1"/>
        <v>0</v>
      </c>
      <c r="K154" s="81" t="str">
        <f>IFERROR(IF(A154="","—",IF(H154="Selesai","✓ Selesai",IF(H154="Cancel","✗ Cancel",IF(E154=0,"—",IF(J154=0,"✓ BAGUS",IF(J154&lt;=PARAM_REJECT_MAJOR,"⚠ MINOR",IF(J154&lt;=PARAM_REJECT_MAX,"⚠ PERHATIAN","🚨 ESKALASI"))))))),  "—")</f>
        <v>—</v>
      </c>
      <c r="L154" s="81" t="str">
        <f t="shared" si="2"/>
        <v>—</v>
      </c>
      <c r="M154" s="81" t="str">
        <f t="shared" si="3"/>
        <v>—</v>
      </c>
    </row>
    <row r="155" ht="18.75" customHeight="1">
      <c r="A155" s="72"/>
      <c r="B155" s="72"/>
      <c r="C155" s="73"/>
      <c r="D155" s="113"/>
      <c r="E155" s="113"/>
      <c r="F155" s="125"/>
      <c r="G155" s="125"/>
      <c r="H155" s="72"/>
      <c r="I155" s="113"/>
      <c r="J155" s="122">
        <f t="shared" si="1"/>
        <v>0</v>
      </c>
      <c r="K155" s="76" t="str">
        <f>IFERROR(IF(A155="","—",IF(H155="Selesai","✓ Selesai",IF(H155="Cancel","✗ Cancel",IF(E155=0,"—",IF(J155=0,"✓ BAGUS",IF(J155&lt;=PARAM_REJECT_MAJOR,"⚠ MINOR",IF(J155&lt;=PARAM_REJECT_MAX,"⚠ PERHATIAN","🚨 ESKALASI"))))))),  "—")</f>
        <v>—</v>
      </c>
      <c r="L155" s="76" t="str">
        <f t="shared" si="2"/>
        <v>—</v>
      </c>
      <c r="M155" s="76" t="str">
        <f t="shared" si="3"/>
        <v>—</v>
      </c>
    </row>
    <row r="156" ht="18.75" customHeight="1">
      <c r="A156" s="77"/>
      <c r="B156" s="77"/>
      <c r="C156" s="78"/>
      <c r="D156" s="117"/>
      <c r="E156" s="117"/>
      <c r="F156" s="123"/>
      <c r="G156" s="123"/>
      <c r="H156" s="77"/>
      <c r="I156" s="117"/>
      <c r="J156" s="124">
        <f t="shared" si="1"/>
        <v>0</v>
      </c>
      <c r="K156" s="81" t="str">
        <f>IFERROR(IF(A156="","—",IF(H156="Selesai","✓ Selesai",IF(H156="Cancel","✗ Cancel",IF(E156=0,"—",IF(J156=0,"✓ BAGUS",IF(J156&lt;=PARAM_REJECT_MAJOR,"⚠ MINOR",IF(J156&lt;=PARAM_REJECT_MAX,"⚠ PERHATIAN","🚨 ESKALASI"))))))),  "—")</f>
        <v>—</v>
      </c>
      <c r="L156" s="81" t="str">
        <f t="shared" si="2"/>
        <v>—</v>
      </c>
      <c r="M156" s="81" t="str">
        <f t="shared" si="3"/>
        <v>—</v>
      </c>
    </row>
    <row r="157" ht="18.75" customHeight="1">
      <c r="A157" s="72"/>
      <c r="B157" s="72"/>
      <c r="C157" s="73"/>
      <c r="D157" s="113"/>
      <c r="E157" s="113"/>
      <c r="F157" s="125"/>
      <c r="G157" s="125"/>
      <c r="H157" s="72"/>
      <c r="I157" s="113"/>
      <c r="J157" s="122">
        <f t="shared" si="1"/>
        <v>0</v>
      </c>
      <c r="K157" s="76" t="str">
        <f>IFERROR(IF(A157="","—",IF(H157="Selesai","✓ Selesai",IF(H157="Cancel","✗ Cancel",IF(E157=0,"—",IF(J157=0,"✓ BAGUS",IF(J157&lt;=PARAM_REJECT_MAJOR,"⚠ MINOR",IF(J157&lt;=PARAM_REJECT_MAX,"⚠ PERHATIAN","🚨 ESKALASI"))))))),  "—")</f>
        <v>—</v>
      </c>
      <c r="L157" s="76" t="str">
        <f t="shared" si="2"/>
        <v>—</v>
      </c>
      <c r="M157" s="76" t="str">
        <f t="shared" si="3"/>
        <v>—</v>
      </c>
    </row>
    <row r="158" ht="18.75" customHeight="1">
      <c r="A158" s="77"/>
      <c r="B158" s="77"/>
      <c r="C158" s="78"/>
      <c r="D158" s="117"/>
      <c r="E158" s="117"/>
      <c r="F158" s="123"/>
      <c r="G158" s="123"/>
      <c r="H158" s="77"/>
      <c r="I158" s="117"/>
      <c r="J158" s="124">
        <f t="shared" si="1"/>
        <v>0</v>
      </c>
      <c r="K158" s="81" t="str">
        <f>IFERROR(IF(A158="","—",IF(H158="Selesai","✓ Selesai",IF(H158="Cancel","✗ Cancel",IF(E158=0,"—",IF(J158=0,"✓ BAGUS",IF(J158&lt;=PARAM_REJECT_MAJOR,"⚠ MINOR",IF(J158&lt;=PARAM_REJECT_MAX,"⚠ PERHATIAN","🚨 ESKALASI"))))))),  "—")</f>
        <v>—</v>
      </c>
      <c r="L158" s="81" t="str">
        <f t="shared" si="2"/>
        <v>—</v>
      </c>
      <c r="M158" s="81" t="str">
        <f t="shared" si="3"/>
        <v>—</v>
      </c>
    </row>
    <row r="159" ht="18.75" customHeight="1">
      <c r="A159" s="72"/>
      <c r="B159" s="72"/>
      <c r="C159" s="73"/>
      <c r="D159" s="113"/>
      <c r="E159" s="113"/>
      <c r="F159" s="125"/>
      <c r="G159" s="125"/>
      <c r="H159" s="72"/>
      <c r="I159" s="113"/>
      <c r="J159" s="122">
        <f t="shared" si="1"/>
        <v>0</v>
      </c>
      <c r="K159" s="76" t="str">
        <f>IFERROR(IF(A159="","—",IF(H159="Selesai","✓ Selesai",IF(H159="Cancel","✗ Cancel",IF(E159=0,"—",IF(J159=0,"✓ BAGUS",IF(J159&lt;=PARAM_REJECT_MAJOR,"⚠ MINOR",IF(J159&lt;=PARAM_REJECT_MAX,"⚠ PERHATIAN","🚨 ESKALASI"))))))),  "—")</f>
        <v>—</v>
      </c>
      <c r="L159" s="76" t="str">
        <f t="shared" si="2"/>
        <v>—</v>
      </c>
      <c r="M159" s="76" t="str">
        <f t="shared" si="3"/>
        <v>—</v>
      </c>
    </row>
    <row r="160" ht="18.75" customHeight="1">
      <c r="A160" s="77"/>
      <c r="B160" s="77"/>
      <c r="C160" s="78"/>
      <c r="D160" s="117"/>
      <c r="E160" s="117"/>
      <c r="F160" s="123"/>
      <c r="G160" s="123"/>
      <c r="H160" s="77"/>
      <c r="I160" s="117"/>
      <c r="J160" s="124">
        <f t="shared" si="1"/>
        <v>0</v>
      </c>
      <c r="K160" s="81" t="str">
        <f>IFERROR(IF(A160="","—",IF(H160="Selesai","✓ Selesai",IF(H160="Cancel","✗ Cancel",IF(E160=0,"—",IF(J160=0,"✓ BAGUS",IF(J160&lt;=PARAM_REJECT_MAJOR,"⚠ MINOR",IF(J160&lt;=PARAM_REJECT_MAX,"⚠ PERHATIAN","🚨 ESKALASI"))))))),  "—")</f>
        <v>—</v>
      </c>
      <c r="L160" s="81" t="str">
        <f t="shared" si="2"/>
        <v>—</v>
      </c>
      <c r="M160" s="81" t="str">
        <f t="shared" si="3"/>
        <v>—</v>
      </c>
    </row>
    <row r="161" ht="18.75" customHeight="1">
      <c r="A161" s="72"/>
      <c r="B161" s="72"/>
      <c r="C161" s="73"/>
      <c r="D161" s="113"/>
      <c r="E161" s="113"/>
      <c r="F161" s="125"/>
      <c r="G161" s="125"/>
      <c r="H161" s="72"/>
      <c r="I161" s="113"/>
      <c r="J161" s="122">
        <f t="shared" si="1"/>
        <v>0</v>
      </c>
      <c r="K161" s="76" t="str">
        <f>IFERROR(IF(A161="","—",IF(H161="Selesai","✓ Selesai",IF(H161="Cancel","✗ Cancel",IF(E161=0,"—",IF(J161=0,"✓ BAGUS",IF(J161&lt;=PARAM_REJECT_MAJOR,"⚠ MINOR",IF(J161&lt;=PARAM_REJECT_MAX,"⚠ PERHATIAN","🚨 ESKALASI"))))))),  "—")</f>
        <v>—</v>
      </c>
      <c r="L161" s="76" t="str">
        <f t="shared" si="2"/>
        <v>—</v>
      </c>
      <c r="M161" s="76" t="str">
        <f t="shared" si="3"/>
        <v>—</v>
      </c>
    </row>
    <row r="162" ht="18.75" customHeight="1">
      <c r="A162" s="77"/>
      <c r="B162" s="77"/>
      <c r="C162" s="78"/>
      <c r="D162" s="117"/>
      <c r="E162" s="117"/>
      <c r="F162" s="123"/>
      <c r="G162" s="123"/>
      <c r="H162" s="77"/>
      <c r="I162" s="117"/>
      <c r="J162" s="124">
        <f t="shared" si="1"/>
        <v>0</v>
      </c>
      <c r="K162" s="81" t="str">
        <f>IFERROR(IF(A162="","—",IF(H162="Selesai","✓ Selesai",IF(H162="Cancel","✗ Cancel",IF(E162=0,"—",IF(J162=0,"✓ BAGUS",IF(J162&lt;=PARAM_REJECT_MAJOR,"⚠ MINOR",IF(J162&lt;=PARAM_REJECT_MAX,"⚠ PERHATIAN","🚨 ESKALASI"))))))),  "—")</f>
        <v>—</v>
      </c>
      <c r="L162" s="81" t="str">
        <f t="shared" si="2"/>
        <v>—</v>
      </c>
      <c r="M162" s="81" t="str">
        <f t="shared" si="3"/>
        <v>—</v>
      </c>
    </row>
    <row r="163" ht="18.75" customHeight="1">
      <c r="A163" s="72"/>
      <c r="B163" s="72"/>
      <c r="C163" s="73"/>
      <c r="D163" s="113"/>
      <c r="E163" s="113"/>
      <c r="F163" s="125"/>
      <c r="G163" s="125"/>
      <c r="H163" s="72"/>
      <c r="I163" s="113"/>
      <c r="J163" s="122">
        <f t="shared" si="1"/>
        <v>0</v>
      </c>
      <c r="K163" s="76" t="str">
        <f>IFERROR(IF(A163="","—",IF(H163="Selesai","✓ Selesai",IF(H163="Cancel","✗ Cancel",IF(E163=0,"—",IF(J163=0,"✓ BAGUS",IF(J163&lt;=PARAM_REJECT_MAJOR,"⚠ MINOR",IF(J163&lt;=PARAM_REJECT_MAX,"⚠ PERHATIAN","🚨 ESKALASI"))))))),  "—")</f>
        <v>—</v>
      </c>
      <c r="L163" s="76" t="str">
        <f t="shared" si="2"/>
        <v>—</v>
      </c>
      <c r="M163" s="76" t="str">
        <f t="shared" si="3"/>
        <v>—</v>
      </c>
    </row>
    <row r="164" ht="18.75" customHeight="1">
      <c r="A164" s="77"/>
      <c r="B164" s="77"/>
      <c r="C164" s="78"/>
      <c r="D164" s="117"/>
      <c r="E164" s="117"/>
      <c r="F164" s="123"/>
      <c r="G164" s="123"/>
      <c r="H164" s="77"/>
      <c r="I164" s="117"/>
      <c r="J164" s="124">
        <f t="shared" si="1"/>
        <v>0</v>
      </c>
      <c r="K164" s="81" t="str">
        <f>IFERROR(IF(A164="","—",IF(H164="Selesai","✓ Selesai",IF(H164="Cancel","✗ Cancel",IF(E164=0,"—",IF(J164=0,"✓ BAGUS",IF(J164&lt;=PARAM_REJECT_MAJOR,"⚠ MINOR",IF(J164&lt;=PARAM_REJECT_MAX,"⚠ PERHATIAN","🚨 ESKALASI"))))))),  "—")</f>
        <v>—</v>
      </c>
      <c r="L164" s="81" t="str">
        <f t="shared" si="2"/>
        <v>—</v>
      </c>
      <c r="M164" s="81" t="str">
        <f t="shared" si="3"/>
        <v>—</v>
      </c>
    </row>
    <row r="165" ht="18.75" customHeight="1">
      <c r="A165" s="72"/>
      <c r="B165" s="72"/>
      <c r="C165" s="73"/>
      <c r="D165" s="113"/>
      <c r="E165" s="113"/>
      <c r="F165" s="125"/>
      <c r="G165" s="125"/>
      <c r="H165" s="72"/>
      <c r="I165" s="113"/>
      <c r="J165" s="122">
        <f t="shared" si="1"/>
        <v>0</v>
      </c>
      <c r="K165" s="76" t="str">
        <f>IFERROR(IF(A165="","—",IF(H165="Selesai","✓ Selesai",IF(H165="Cancel","✗ Cancel",IF(E165=0,"—",IF(J165=0,"✓ BAGUS",IF(J165&lt;=PARAM_REJECT_MAJOR,"⚠ MINOR",IF(J165&lt;=PARAM_REJECT_MAX,"⚠ PERHATIAN","🚨 ESKALASI"))))))),  "—")</f>
        <v>—</v>
      </c>
      <c r="L165" s="76" t="str">
        <f t="shared" si="2"/>
        <v>—</v>
      </c>
      <c r="M165" s="76" t="str">
        <f t="shared" si="3"/>
        <v>—</v>
      </c>
    </row>
    <row r="166" ht="18.75" customHeight="1">
      <c r="A166" s="77"/>
      <c r="B166" s="77"/>
      <c r="C166" s="78"/>
      <c r="D166" s="117"/>
      <c r="E166" s="117"/>
      <c r="F166" s="123"/>
      <c r="G166" s="123"/>
      <c r="H166" s="77"/>
      <c r="I166" s="117"/>
      <c r="J166" s="124">
        <f t="shared" si="1"/>
        <v>0</v>
      </c>
      <c r="K166" s="81" t="str">
        <f>IFERROR(IF(A166="","—",IF(H166="Selesai","✓ Selesai",IF(H166="Cancel","✗ Cancel",IF(E166=0,"—",IF(J166=0,"✓ BAGUS",IF(J166&lt;=PARAM_REJECT_MAJOR,"⚠ MINOR",IF(J166&lt;=PARAM_REJECT_MAX,"⚠ PERHATIAN","🚨 ESKALASI"))))))),  "—")</f>
        <v>—</v>
      </c>
      <c r="L166" s="81" t="str">
        <f t="shared" si="2"/>
        <v>—</v>
      </c>
      <c r="M166" s="81" t="str">
        <f t="shared" si="3"/>
        <v>—</v>
      </c>
    </row>
    <row r="167" ht="18.75" customHeight="1">
      <c r="A167" s="72"/>
      <c r="B167" s="72"/>
      <c r="C167" s="73"/>
      <c r="D167" s="113"/>
      <c r="E167" s="113"/>
      <c r="F167" s="125"/>
      <c r="G167" s="125"/>
      <c r="H167" s="72"/>
      <c r="I167" s="113"/>
      <c r="J167" s="122">
        <f t="shared" si="1"/>
        <v>0</v>
      </c>
      <c r="K167" s="76" t="str">
        <f>IFERROR(IF(A167="","—",IF(H167="Selesai","✓ Selesai",IF(H167="Cancel","✗ Cancel",IF(E167=0,"—",IF(J167=0,"✓ BAGUS",IF(J167&lt;=PARAM_REJECT_MAJOR,"⚠ MINOR",IF(J167&lt;=PARAM_REJECT_MAX,"⚠ PERHATIAN","🚨 ESKALASI"))))))),  "—")</f>
        <v>—</v>
      </c>
      <c r="L167" s="76" t="str">
        <f t="shared" si="2"/>
        <v>—</v>
      </c>
      <c r="M167" s="76" t="str">
        <f t="shared" si="3"/>
        <v>—</v>
      </c>
    </row>
    <row r="168" ht="18.75" customHeight="1">
      <c r="A168" s="77"/>
      <c r="B168" s="77"/>
      <c r="C168" s="78"/>
      <c r="D168" s="117"/>
      <c r="E168" s="117"/>
      <c r="F168" s="123"/>
      <c r="G168" s="123"/>
      <c r="H168" s="77"/>
      <c r="I168" s="117"/>
      <c r="J168" s="124">
        <f t="shared" si="1"/>
        <v>0</v>
      </c>
      <c r="K168" s="81" t="str">
        <f>IFERROR(IF(A168="","—",IF(H168="Selesai","✓ Selesai",IF(H168="Cancel","✗ Cancel",IF(E168=0,"—",IF(J168=0,"✓ BAGUS",IF(J168&lt;=PARAM_REJECT_MAJOR,"⚠ MINOR",IF(J168&lt;=PARAM_REJECT_MAX,"⚠ PERHATIAN","🚨 ESKALASI"))))))),  "—")</f>
        <v>—</v>
      </c>
      <c r="L168" s="81" t="str">
        <f t="shared" si="2"/>
        <v>—</v>
      </c>
      <c r="M168" s="81" t="str">
        <f t="shared" si="3"/>
        <v>—</v>
      </c>
    </row>
    <row r="169" ht="18.75" customHeight="1">
      <c r="A169" s="72"/>
      <c r="B169" s="72"/>
      <c r="C169" s="73"/>
      <c r="D169" s="113"/>
      <c r="E169" s="113"/>
      <c r="F169" s="125"/>
      <c r="G169" s="125"/>
      <c r="H169" s="72"/>
      <c r="I169" s="113"/>
      <c r="J169" s="122">
        <f t="shared" si="1"/>
        <v>0</v>
      </c>
      <c r="K169" s="76" t="str">
        <f>IFERROR(IF(A169="","—",IF(H169="Selesai","✓ Selesai",IF(H169="Cancel","✗ Cancel",IF(E169=0,"—",IF(J169=0,"✓ BAGUS",IF(J169&lt;=PARAM_REJECT_MAJOR,"⚠ MINOR",IF(J169&lt;=PARAM_REJECT_MAX,"⚠ PERHATIAN","🚨 ESKALASI"))))))),  "—")</f>
        <v>—</v>
      </c>
      <c r="L169" s="76" t="str">
        <f t="shared" si="2"/>
        <v>—</v>
      </c>
      <c r="M169" s="76" t="str">
        <f t="shared" si="3"/>
        <v>—</v>
      </c>
    </row>
    <row r="170" ht="18.75" customHeight="1">
      <c r="A170" s="77"/>
      <c r="B170" s="77"/>
      <c r="C170" s="78"/>
      <c r="D170" s="117"/>
      <c r="E170" s="117"/>
      <c r="F170" s="123"/>
      <c r="G170" s="123"/>
      <c r="H170" s="77"/>
      <c r="I170" s="117"/>
      <c r="J170" s="124">
        <f t="shared" si="1"/>
        <v>0</v>
      </c>
      <c r="K170" s="81" t="str">
        <f>IFERROR(IF(A170="","—",IF(H170="Selesai","✓ Selesai",IF(H170="Cancel","✗ Cancel",IF(E170=0,"—",IF(J170=0,"✓ BAGUS",IF(J170&lt;=PARAM_REJECT_MAJOR,"⚠ MINOR",IF(J170&lt;=PARAM_REJECT_MAX,"⚠ PERHATIAN","🚨 ESKALASI"))))))),  "—")</f>
        <v>—</v>
      </c>
      <c r="L170" s="81" t="str">
        <f t="shared" si="2"/>
        <v>—</v>
      </c>
      <c r="M170" s="81" t="str">
        <f t="shared" si="3"/>
        <v>—</v>
      </c>
    </row>
    <row r="171" ht="18.75" customHeight="1">
      <c r="A171" s="72"/>
      <c r="B171" s="72"/>
      <c r="C171" s="73"/>
      <c r="D171" s="113"/>
      <c r="E171" s="113"/>
      <c r="F171" s="125"/>
      <c r="G171" s="125"/>
      <c r="H171" s="72"/>
      <c r="I171" s="113"/>
      <c r="J171" s="122">
        <f t="shared" si="1"/>
        <v>0</v>
      </c>
      <c r="K171" s="76" t="str">
        <f>IFERROR(IF(A171="","—",IF(H171="Selesai","✓ Selesai",IF(H171="Cancel","✗ Cancel",IF(E171=0,"—",IF(J171=0,"✓ BAGUS",IF(J171&lt;=PARAM_REJECT_MAJOR,"⚠ MINOR",IF(J171&lt;=PARAM_REJECT_MAX,"⚠ PERHATIAN","🚨 ESKALASI"))))))),  "—")</f>
        <v>—</v>
      </c>
      <c r="L171" s="76" t="str">
        <f t="shared" si="2"/>
        <v>—</v>
      </c>
      <c r="M171" s="76" t="str">
        <f t="shared" si="3"/>
        <v>—</v>
      </c>
    </row>
    <row r="172" ht="18.75" customHeight="1">
      <c r="A172" s="77"/>
      <c r="B172" s="77"/>
      <c r="C172" s="78"/>
      <c r="D172" s="117"/>
      <c r="E172" s="117"/>
      <c r="F172" s="123"/>
      <c r="G172" s="123"/>
      <c r="H172" s="77"/>
      <c r="I172" s="117"/>
      <c r="J172" s="124">
        <f t="shared" si="1"/>
        <v>0</v>
      </c>
      <c r="K172" s="81" t="str">
        <f>IFERROR(IF(A172="","—",IF(H172="Selesai","✓ Selesai",IF(H172="Cancel","✗ Cancel",IF(E172=0,"—",IF(J172=0,"✓ BAGUS",IF(J172&lt;=PARAM_REJECT_MAJOR,"⚠ MINOR",IF(J172&lt;=PARAM_REJECT_MAX,"⚠ PERHATIAN","🚨 ESKALASI"))))))),  "—")</f>
        <v>—</v>
      </c>
      <c r="L172" s="81" t="str">
        <f t="shared" si="2"/>
        <v>—</v>
      </c>
      <c r="M172" s="81" t="str">
        <f t="shared" si="3"/>
        <v>—</v>
      </c>
    </row>
    <row r="173" ht="18.75" customHeight="1">
      <c r="A173" s="72"/>
      <c r="B173" s="72"/>
      <c r="C173" s="73"/>
      <c r="D173" s="113"/>
      <c r="E173" s="113"/>
      <c r="F173" s="125"/>
      <c r="G173" s="125"/>
      <c r="H173" s="72"/>
      <c r="I173" s="113"/>
      <c r="J173" s="122">
        <f t="shared" si="1"/>
        <v>0</v>
      </c>
      <c r="K173" s="76" t="str">
        <f>IFERROR(IF(A173="","—",IF(H173="Selesai","✓ Selesai",IF(H173="Cancel","✗ Cancel",IF(E173=0,"—",IF(J173=0,"✓ BAGUS",IF(J173&lt;=PARAM_REJECT_MAJOR,"⚠ MINOR",IF(J173&lt;=PARAM_REJECT_MAX,"⚠ PERHATIAN","🚨 ESKALASI"))))))),  "—")</f>
        <v>—</v>
      </c>
      <c r="L173" s="76" t="str">
        <f t="shared" si="2"/>
        <v>—</v>
      </c>
      <c r="M173" s="76" t="str">
        <f t="shared" si="3"/>
        <v>—</v>
      </c>
    </row>
    <row r="174" ht="18.75" customHeight="1">
      <c r="A174" s="77"/>
      <c r="B174" s="77"/>
      <c r="C174" s="78"/>
      <c r="D174" s="117"/>
      <c r="E174" s="117"/>
      <c r="F174" s="123"/>
      <c r="G174" s="123"/>
      <c r="H174" s="77"/>
      <c r="I174" s="117"/>
      <c r="J174" s="124">
        <f t="shared" si="1"/>
        <v>0</v>
      </c>
      <c r="K174" s="81" t="str">
        <f>IFERROR(IF(A174="","—",IF(H174="Selesai","✓ Selesai",IF(H174="Cancel","✗ Cancel",IF(E174=0,"—",IF(J174=0,"✓ BAGUS",IF(J174&lt;=PARAM_REJECT_MAJOR,"⚠ MINOR",IF(J174&lt;=PARAM_REJECT_MAX,"⚠ PERHATIAN","🚨 ESKALASI"))))))),  "—")</f>
        <v>—</v>
      </c>
      <c r="L174" s="81" t="str">
        <f t="shared" si="2"/>
        <v>—</v>
      </c>
      <c r="M174" s="81" t="str">
        <f t="shared" si="3"/>
        <v>—</v>
      </c>
    </row>
    <row r="175" ht="18.75" customHeight="1">
      <c r="A175" s="72"/>
      <c r="B175" s="72"/>
      <c r="C175" s="73"/>
      <c r="D175" s="113"/>
      <c r="E175" s="113"/>
      <c r="F175" s="125"/>
      <c r="G175" s="125"/>
      <c r="H175" s="72"/>
      <c r="I175" s="113"/>
      <c r="J175" s="122">
        <f t="shared" si="1"/>
        <v>0</v>
      </c>
      <c r="K175" s="76" t="str">
        <f>IFERROR(IF(A175="","—",IF(H175="Selesai","✓ Selesai",IF(H175="Cancel","✗ Cancel",IF(E175=0,"—",IF(J175=0,"✓ BAGUS",IF(J175&lt;=PARAM_REJECT_MAJOR,"⚠ MINOR",IF(J175&lt;=PARAM_REJECT_MAX,"⚠ PERHATIAN","🚨 ESKALASI"))))))),  "—")</f>
        <v>—</v>
      </c>
      <c r="L175" s="76" t="str">
        <f t="shared" si="2"/>
        <v>—</v>
      </c>
      <c r="M175" s="76" t="str">
        <f t="shared" si="3"/>
        <v>—</v>
      </c>
    </row>
    <row r="176" ht="18.75" customHeight="1">
      <c r="A176" s="77"/>
      <c r="B176" s="77"/>
      <c r="C176" s="78"/>
      <c r="D176" s="117"/>
      <c r="E176" s="117"/>
      <c r="F176" s="123"/>
      <c r="G176" s="123"/>
      <c r="H176" s="77"/>
      <c r="I176" s="117"/>
      <c r="J176" s="124">
        <f t="shared" si="1"/>
        <v>0</v>
      </c>
      <c r="K176" s="81" t="str">
        <f>IFERROR(IF(A176="","—",IF(H176="Selesai","✓ Selesai",IF(H176="Cancel","✗ Cancel",IF(E176=0,"—",IF(J176=0,"✓ BAGUS",IF(J176&lt;=PARAM_REJECT_MAJOR,"⚠ MINOR",IF(J176&lt;=PARAM_REJECT_MAX,"⚠ PERHATIAN","🚨 ESKALASI"))))))),  "—")</f>
        <v>—</v>
      </c>
      <c r="L176" s="81" t="str">
        <f t="shared" si="2"/>
        <v>—</v>
      </c>
      <c r="M176" s="81" t="str">
        <f t="shared" si="3"/>
        <v>—</v>
      </c>
    </row>
    <row r="177" ht="18.75" customHeight="1">
      <c r="A177" s="72"/>
      <c r="B177" s="72"/>
      <c r="C177" s="73"/>
      <c r="D177" s="113"/>
      <c r="E177" s="113"/>
      <c r="F177" s="125"/>
      <c r="G177" s="125"/>
      <c r="H177" s="72"/>
      <c r="I177" s="113"/>
      <c r="J177" s="122">
        <f t="shared" si="1"/>
        <v>0</v>
      </c>
      <c r="K177" s="76" t="str">
        <f>IFERROR(IF(A177="","—",IF(H177="Selesai","✓ Selesai",IF(H177="Cancel","✗ Cancel",IF(E177=0,"—",IF(J177=0,"✓ BAGUS",IF(J177&lt;=PARAM_REJECT_MAJOR,"⚠ MINOR",IF(J177&lt;=PARAM_REJECT_MAX,"⚠ PERHATIAN","🚨 ESKALASI"))))))),  "—")</f>
        <v>—</v>
      </c>
      <c r="L177" s="76" t="str">
        <f t="shared" si="2"/>
        <v>—</v>
      </c>
      <c r="M177" s="76" t="str">
        <f t="shared" si="3"/>
        <v>—</v>
      </c>
    </row>
    <row r="178" ht="18.75" customHeight="1">
      <c r="A178" s="77"/>
      <c r="B178" s="77"/>
      <c r="C178" s="78"/>
      <c r="D178" s="117"/>
      <c r="E178" s="117"/>
      <c r="F178" s="123"/>
      <c r="G178" s="123"/>
      <c r="H178" s="77"/>
      <c r="I178" s="117"/>
      <c r="J178" s="124">
        <f t="shared" si="1"/>
        <v>0</v>
      </c>
      <c r="K178" s="81" t="str">
        <f>IFERROR(IF(A178="","—",IF(H178="Selesai","✓ Selesai",IF(H178="Cancel","✗ Cancel",IF(E178=0,"—",IF(J178=0,"✓ BAGUS",IF(J178&lt;=PARAM_REJECT_MAJOR,"⚠ MINOR",IF(J178&lt;=PARAM_REJECT_MAX,"⚠ PERHATIAN","🚨 ESKALASI"))))))),  "—")</f>
        <v>—</v>
      </c>
      <c r="L178" s="81" t="str">
        <f t="shared" si="2"/>
        <v>—</v>
      </c>
      <c r="M178" s="81" t="str">
        <f t="shared" si="3"/>
        <v>—</v>
      </c>
    </row>
    <row r="179" ht="18.75" customHeight="1">
      <c r="A179" s="72"/>
      <c r="B179" s="72"/>
      <c r="C179" s="73"/>
      <c r="D179" s="113"/>
      <c r="E179" s="113"/>
      <c r="F179" s="125"/>
      <c r="G179" s="125"/>
      <c r="H179" s="72"/>
      <c r="I179" s="113"/>
      <c r="J179" s="122">
        <f t="shared" si="1"/>
        <v>0</v>
      </c>
      <c r="K179" s="76" t="str">
        <f>IFERROR(IF(A179="","—",IF(H179="Selesai","✓ Selesai",IF(H179="Cancel","✗ Cancel",IF(E179=0,"—",IF(J179=0,"✓ BAGUS",IF(J179&lt;=PARAM_REJECT_MAJOR,"⚠ MINOR",IF(J179&lt;=PARAM_REJECT_MAX,"⚠ PERHATIAN","🚨 ESKALASI"))))))),  "—")</f>
        <v>—</v>
      </c>
      <c r="L179" s="76" t="str">
        <f t="shared" si="2"/>
        <v>—</v>
      </c>
      <c r="M179" s="76" t="str">
        <f t="shared" si="3"/>
        <v>—</v>
      </c>
    </row>
    <row r="180" ht="18.75" customHeight="1">
      <c r="A180" s="77"/>
      <c r="B180" s="77"/>
      <c r="C180" s="78"/>
      <c r="D180" s="117"/>
      <c r="E180" s="117"/>
      <c r="F180" s="123"/>
      <c r="G180" s="123"/>
      <c r="H180" s="77"/>
      <c r="I180" s="117"/>
      <c r="J180" s="124">
        <f t="shared" si="1"/>
        <v>0</v>
      </c>
      <c r="K180" s="81" t="str">
        <f>IFERROR(IF(A180="","—",IF(H180="Selesai","✓ Selesai",IF(H180="Cancel","✗ Cancel",IF(E180=0,"—",IF(J180=0,"✓ BAGUS",IF(J180&lt;=PARAM_REJECT_MAJOR,"⚠ MINOR",IF(J180&lt;=PARAM_REJECT_MAX,"⚠ PERHATIAN","🚨 ESKALASI"))))))),  "—")</f>
        <v>—</v>
      </c>
      <c r="L180" s="81" t="str">
        <f t="shared" si="2"/>
        <v>—</v>
      </c>
      <c r="M180" s="81" t="str">
        <f t="shared" si="3"/>
        <v>—</v>
      </c>
    </row>
    <row r="181" ht="18.75" customHeight="1">
      <c r="A181" s="72"/>
      <c r="B181" s="72"/>
      <c r="C181" s="73"/>
      <c r="D181" s="113"/>
      <c r="E181" s="113"/>
      <c r="F181" s="125"/>
      <c r="G181" s="125"/>
      <c r="H181" s="72"/>
      <c r="I181" s="113"/>
      <c r="J181" s="122">
        <f t="shared" si="1"/>
        <v>0</v>
      </c>
      <c r="K181" s="76" t="str">
        <f>IFERROR(IF(A181="","—",IF(H181="Selesai","✓ Selesai",IF(H181="Cancel","✗ Cancel",IF(E181=0,"—",IF(J181=0,"✓ BAGUS",IF(J181&lt;=PARAM_REJECT_MAJOR,"⚠ MINOR",IF(J181&lt;=PARAM_REJECT_MAX,"⚠ PERHATIAN","🚨 ESKALASI"))))))),  "—")</f>
        <v>—</v>
      </c>
      <c r="L181" s="76" t="str">
        <f t="shared" si="2"/>
        <v>—</v>
      </c>
      <c r="M181" s="76" t="str">
        <f t="shared" si="3"/>
        <v>—</v>
      </c>
    </row>
    <row r="182" ht="18.75" customHeight="1">
      <c r="A182" s="77"/>
      <c r="B182" s="77"/>
      <c r="C182" s="78"/>
      <c r="D182" s="117"/>
      <c r="E182" s="117"/>
      <c r="F182" s="123"/>
      <c r="G182" s="123"/>
      <c r="H182" s="77"/>
      <c r="I182" s="117"/>
      <c r="J182" s="124">
        <f t="shared" si="1"/>
        <v>0</v>
      </c>
      <c r="K182" s="81" t="str">
        <f>IFERROR(IF(A182="","—",IF(H182="Selesai","✓ Selesai",IF(H182="Cancel","✗ Cancel",IF(E182=0,"—",IF(J182=0,"✓ BAGUS",IF(J182&lt;=PARAM_REJECT_MAJOR,"⚠ MINOR",IF(J182&lt;=PARAM_REJECT_MAX,"⚠ PERHATIAN","🚨 ESKALASI"))))))),  "—")</f>
        <v>—</v>
      </c>
      <c r="L182" s="81" t="str">
        <f t="shared" si="2"/>
        <v>—</v>
      </c>
      <c r="M182" s="81" t="str">
        <f t="shared" si="3"/>
        <v>—</v>
      </c>
    </row>
    <row r="183" ht="18.75" customHeight="1">
      <c r="A183" s="72"/>
      <c r="B183" s="72"/>
      <c r="C183" s="73"/>
      <c r="D183" s="113"/>
      <c r="E183" s="113"/>
      <c r="F183" s="125"/>
      <c r="G183" s="125"/>
      <c r="H183" s="72"/>
      <c r="I183" s="113"/>
      <c r="J183" s="122">
        <f t="shared" si="1"/>
        <v>0</v>
      </c>
      <c r="K183" s="76" t="str">
        <f>IFERROR(IF(A183="","—",IF(H183="Selesai","✓ Selesai",IF(H183="Cancel","✗ Cancel",IF(E183=0,"—",IF(J183=0,"✓ BAGUS",IF(J183&lt;=PARAM_REJECT_MAJOR,"⚠ MINOR",IF(J183&lt;=PARAM_REJECT_MAX,"⚠ PERHATIAN","🚨 ESKALASI"))))))),  "—")</f>
        <v>—</v>
      </c>
      <c r="L183" s="76" t="str">
        <f t="shared" si="2"/>
        <v>—</v>
      </c>
      <c r="M183" s="76" t="str">
        <f t="shared" si="3"/>
        <v>—</v>
      </c>
    </row>
    <row r="184" ht="18.75" customHeight="1">
      <c r="A184" s="77"/>
      <c r="B184" s="77"/>
      <c r="C184" s="78"/>
      <c r="D184" s="117"/>
      <c r="E184" s="117"/>
      <c r="F184" s="123"/>
      <c r="G184" s="123"/>
      <c r="H184" s="77"/>
      <c r="I184" s="117"/>
      <c r="J184" s="124">
        <f t="shared" si="1"/>
        <v>0</v>
      </c>
      <c r="K184" s="81" t="str">
        <f>IFERROR(IF(A184="","—",IF(H184="Selesai","✓ Selesai",IF(H184="Cancel","✗ Cancel",IF(E184=0,"—",IF(J184=0,"✓ BAGUS",IF(J184&lt;=PARAM_REJECT_MAJOR,"⚠ MINOR",IF(J184&lt;=PARAM_REJECT_MAX,"⚠ PERHATIAN","🚨 ESKALASI"))))))),  "—")</f>
        <v>—</v>
      </c>
      <c r="L184" s="81" t="str">
        <f t="shared" si="2"/>
        <v>—</v>
      </c>
      <c r="M184" s="81" t="str">
        <f t="shared" si="3"/>
        <v>—</v>
      </c>
    </row>
    <row r="185" ht="18.75" customHeight="1">
      <c r="A185" s="72"/>
      <c r="B185" s="72"/>
      <c r="C185" s="73"/>
      <c r="D185" s="113"/>
      <c r="E185" s="113"/>
      <c r="F185" s="125"/>
      <c r="G185" s="125"/>
      <c r="H185" s="72"/>
      <c r="I185" s="113"/>
      <c r="J185" s="122">
        <f t="shared" si="1"/>
        <v>0</v>
      </c>
      <c r="K185" s="76" t="str">
        <f>IFERROR(IF(A185="","—",IF(H185="Selesai","✓ Selesai",IF(H185="Cancel","✗ Cancel",IF(E185=0,"—",IF(J185=0,"✓ BAGUS",IF(J185&lt;=PARAM_REJECT_MAJOR,"⚠ MINOR",IF(J185&lt;=PARAM_REJECT_MAX,"⚠ PERHATIAN","🚨 ESKALASI"))))))),  "—")</f>
        <v>—</v>
      </c>
      <c r="L185" s="76" t="str">
        <f t="shared" si="2"/>
        <v>—</v>
      </c>
      <c r="M185" s="76" t="str">
        <f t="shared" si="3"/>
        <v>—</v>
      </c>
    </row>
    <row r="186" ht="18.75" customHeight="1">
      <c r="A186" s="77"/>
      <c r="B186" s="77"/>
      <c r="C186" s="78"/>
      <c r="D186" s="117"/>
      <c r="E186" s="117"/>
      <c r="F186" s="123"/>
      <c r="G186" s="123"/>
      <c r="H186" s="77"/>
      <c r="I186" s="117"/>
      <c r="J186" s="124">
        <f t="shared" si="1"/>
        <v>0</v>
      </c>
      <c r="K186" s="81" t="str">
        <f>IFERROR(IF(A186="","—",IF(H186="Selesai","✓ Selesai",IF(H186="Cancel","✗ Cancel",IF(E186=0,"—",IF(J186=0,"✓ BAGUS",IF(J186&lt;=PARAM_REJECT_MAJOR,"⚠ MINOR",IF(J186&lt;=PARAM_REJECT_MAX,"⚠ PERHATIAN","🚨 ESKALASI"))))))),  "—")</f>
        <v>—</v>
      </c>
      <c r="L186" s="81" t="str">
        <f t="shared" si="2"/>
        <v>—</v>
      </c>
      <c r="M186" s="81" t="str">
        <f t="shared" si="3"/>
        <v>—</v>
      </c>
    </row>
    <row r="187" ht="18.75" customHeight="1">
      <c r="A187" s="72"/>
      <c r="B187" s="72"/>
      <c r="C187" s="73"/>
      <c r="D187" s="113"/>
      <c r="E187" s="113"/>
      <c r="F187" s="125"/>
      <c r="G187" s="125"/>
      <c r="H187" s="72"/>
      <c r="I187" s="113"/>
      <c r="J187" s="122">
        <f t="shared" si="1"/>
        <v>0</v>
      </c>
      <c r="K187" s="76" t="str">
        <f>IFERROR(IF(A187="","—",IF(H187="Selesai","✓ Selesai",IF(H187="Cancel","✗ Cancel",IF(E187=0,"—",IF(J187=0,"✓ BAGUS",IF(J187&lt;=PARAM_REJECT_MAJOR,"⚠ MINOR",IF(J187&lt;=PARAM_REJECT_MAX,"⚠ PERHATIAN","🚨 ESKALASI"))))))),  "—")</f>
        <v>—</v>
      </c>
      <c r="L187" s="76" t="str">
        <f t="shared" si="2"/>
        <v>—</v>
      </c>
      <c r="M187" s="76" t="str">
        <f t="shared" si="3"/>
        <v>—</v>
      </c>
    </row>
    <row r="188" ht="18.75" customHeight="1">
      <c r="A188" s="77"/>
      <c r="B188" s="77"/>
      <c r="C188" s="78"/>
      <c r="D188" s="117"/>
      <c r="E188" s="117"/>
      <c r="F188" s="123"/>
      <c r="G188" s="123"/>
      <c r="H188" s="77"/>
      <c r="I188" s="117"/>
      <c r="J188" s="124">
        <f t="shared" si="1"/>
        <v>0</v>
      </c>
      <c r="K188" s="81" t="str">
        <f>IFERROR(IF(A188="","—",IF(H188="Selesai","✓ Selesai",IF(H188="Cancel","✗ Cancel",IF(E188=0,"—",IF(J188=0,"✓ BAGUS",IF(J188&lt;=PARAM_REJECT_MAJOR,"⚠ MINOR",IF(J188&lt;=PARAM_REJECT_MAX,"⚠ PERHATIAN","🚨 ESKALASI"))))))),  "—")</f>
        <v>—</v>
      </c>
      <c r="L188" s="81" t="str">
        <f t="shared" si="2"/>
        <v>—</v>
      </c>
      <c r="M188" s="81" t="str">
        <f t="shared" si="3"/>
        <v>—</v>
      </c>
    </row>
    <row r="189" ht="18.75" customHeight="1">
      <c r="A189" s="72"/>
      <c r="B189" s="72"/>
      <c r="C189" s="73"/>
      <c r="D189" s="113"/>
      <c r="E189" s="113"/>
      <c r="F189" s="125"/>
      <c r="G189" s="125"/>
      <c r="H189" s="72"/>
      <c r="I189" s="113"/>
      <c r="J189" s="122">
        <f t="shared" si="1"/>
        <v>0</v>
      </c>
      <c r="K189" s="76" t="str">
        <f>IFERROR(IF(A189="","—",IF(H189="Selesai","✓ Selesai",IF(H189="Cancel","✗ Cancel",IF(E189=0,"—",IF(J189=0,"✓ BAGUS",IF(J189&lt;=PARAM_REJECT_MAJOR,"⚠ MINOR",IF(J189&lt;=PARAM_REJECT_MAX,"⚠ PERHATIAN","🚨 ESKALASI"))))))),  "—")</f>
        <v>—</v>
      </c>
      <c r="L189" s="76" t="str">
        <f t="shared" si="2"/>
        <v>—</v>
      </c>
      <c r="M189" s="76" t="str">
        <f t="shared" si="3"/>
        <v>—</v>
      </c>
    </row>
    <row r="190" ht="18.75" customHeight="1">
      <c r="A190" s="77"/>
      <c r="B190" s="77"/>
      <c r="C190" s="78"/>
      <c r="D190" s="117"/>
      <c r="E190" s="117"/>
      <c r="F190" s="123"/>
      <c r="G190" s="123"/>
      <c r="H190" s="77"/>
      <c r="I190" s="117"/>
      <c r="J190" s="124">
        <f t="shared" si="1"/>
        <v>0</v>
      </c>
      <c r="K190" s="81" t="str">
        <f>IFERROR(IF(A190="","—",IF(H190="Selesai","✓ Selesai",IF(H190="Cancel","✗ Cancel",IF(E190=0,"—",IF(J190=0,"✓ BAGUS",IF(J190&lt;=PARAM_REJECT_MAJOR,"⚠ MINOR",IF(J190&lt;=PARAM_REJECT_MAX,"⚠ PERHATIAN","🚨 ESKALASI"))))))),  "—")</f>
        <v>—</v>
      </c>
      <c r="L190" s="81" t="str">
        <f t="shared" si="2"/>
        <v>—</v>
      </c>
      <c r="M190" s="81" t="str">
        <f t="shared" si="3"/>
        <v>—</v>
      </c>
    </row>
    <row r="191" ht="18.75" customHeight="1">
      <c r="A191" s="72"/>
      <c r="B191" s="72"/>
      <c r="C191" s="73"/>
      <c r="D191" s="113"/>
      <c r="E191" s="113"/>
      <c r="F191" s="125"/>
      <c r="G191" s="125"/>
      <c r="H191" s="72"/>
      <c r="I191" s="113"/>
      <c r="J191" s="122">
        <f t="shared" si="1"/>
        <v>0</v>
      </c>
      <c r="K191" s="76" t="str">
        <f>IFERROR(IF(A191="","—",IF(H191="Selesai","✓ Selesai",IF(H191="Cancel","✗ Cancel",IF(E191=0,"—",IF(J191=0,"✓ BAGUS",IF(J191&lt;=PARAM_REJECT_MAJOR,"⚠ MINOR",IF(J191&lt;=PARAM_REJECT_MAX,"⚠ PERHATIAN","🚨 ESKALASI"))))))),  "—")</f>
        <v>—</v>
      </c>
      <c r="L191" s="76" t="str">
        <f t="shared" si="2"/>
        <v>—</v>
      </c>
      <c r="M191" s="76" t="str">
        <f t="shared" si="3"/>
        <v>—</v>
      </c>
    </row>
    <row r="192" ht="18.75" customHeight="1">
      <c r="A192" s="77"/>
      <c r="B192" s="77"/>
      <c r="C192" s="78"/>
      <c r="D192" s="117"/>
      <c r="E192" s="117"/>
      <c r="F192" s="123"/>
      <c r="G192" s="123"/>
      <c r="H192" s="77"/>
      <c r="I192" s="117"/>
      <c r="J192" s="124">
        <f t="shared" si="1"/>
        <v>0</v>
      </c>
      <c r="K192" s="81" t="str">
        <f>IFERROR(IF(A192="","—",IF(H192="Selesai","✓ Selesai",IF(H192="Cancel","✗ Cancel",IF(E192=0,"—",IF(J192=0,"✓ BAGUS",IF(J192&lt;=PARAM_REJECT_MAJOR,"⚠ MINOR",IF(J192&lt;=PARAM_REJECT_MAX,"⚠ PERHATIAN","🚨 ESKALASI"))))))),  "—")</f>
        <v>—</v>
      </c>
      <c r="L192" s="81" t="str">
        <f t="shared" si="2"/>
        <v>—</v>
      </c>
      <c r="M192" s="81" t="str">
        <f t="shared" si="3"/>
        <v>—</v>
      </c>
    </row>
    <row r="193" ht="18.75" customHeight="1">
      <c r="A193" s="72"/>
      <c r="B193" s="72"/>
      <c r="C193" s="73"/>
      <c r="D193" s="113"/>
      <c r="E193" s="113"/>
      <c r="F193" s="125"/>
      <c r="G193" s="125"/>
      <c r="H193" s="72"/>
      <c r="I193" s="113"/>
      <c r="J193" s="122">
        <f t="shared" si="1"/>
        <v>0</v>
      </c>
      <c r="K193" s="76" t="str">
        <f>IFERROR(IF(A193="","—",IF(H193="Selesai","✓ Selesai",IF(H193="Cancel","✗ Cancel",IF(E193=0,"—",IF(J193=0,"✓ BAGUS",IF(J193&lt;=PARAM_REJECT_MAJOR,"⚠ MINOR",IF(J193&lt;=PARAM_REJECT_MAX,"⚠ PERHATIAN","🚨 ESKALASI"))))))),  "—")</f>
        <v>—</v>
      </c>
      <c r="L193" s="76" t="str">
        <f t="shared" si="2"/>
        <v>—</v>
      </c>
      <c r="M193" s="76" t="str">
        <f t="shared" si="3"/>
        <v>—</v>
      </c>
    </row>
    <row r="194" ht="18.75" customHeight="1">
      <c r="A194" s="77"/>
      <c r="B194" s="77"/>
      <c r="C194" s="78"/>
      <c r="D194" s="117"/>
      <c r="E194" s="117"/>
      <c r="F194" s="123"/>
      <c r="G194" s="123"/>
      <c r="H194" s="77"/>
      <c r="I194" s="117"/>
      <c r="J194" s="124">
        <f t="shared" si="1"/>
        <v>0</v>
      </c>
      <c r="K194" s="81" t="str">
        <f>IFERROR(IF(A194="","—",IF(H194="Selesai","✓ Selesai",IF(H194="Cancel","✗ Cancel",IF(E194=0,"—",IF(J194=0,"✓ BAGUS",IF(J194&lt;=PARAM_REJECT_MAJOR,"⚠ MINOR",IF(J194&lt;=PARAM_REJECT_MAX,"⚠ PERHATIAN","🚨 ESKALASI"))))))),  "—")</f>
        <v>—</v>
      </c>
      <c r="L194" s="81" t="str">
        <f t="shared" si="2"/>
        <v>—</v>
      </c>
      <c r="M194" s="81" t="str">
        <f t="shared" si="3"/>
        <v>—</v>
      </c>
    </row>
    <row r="195" ht="18.75" customHeight="1">
      <c r="A195" s="72"/>
      <c r="B195" s="72"/>
      <c r="C195" s="73"/>
      <c r="D195" s="113"/>
      <c r="E195" s="113"/>
      <c r="F195" s="125"/>
      <c r="G195" s="125"/>
      <c r="H195" s="72"/>
      <c r="I195" s="113"/>
      <c r="J195" s="122">
        <f t="shared" si="1"/>
        <v>0</v>
      </c>
      <c r="K195" s="76" t="str">
        <f>IFERROR(IF(A195="","—",IF(H195="Selesai","✓ Selesai",IF(H195="Cancel","✗ Cancel",IF(E195=0,"—",IF(J195=0,"✓ BAGUS",IF(J195&lt;=PARAM_REJECT_MAJOR,"⚠ MINOR",IF(J195&lt;=PARAM_REJECT_MAX,"⚠ PERHATIAN","🚨 ESKALASI"))))))),  "—")</f>
        <v>—</v>
      </c>
      <c r="L195" s="76" t="str">
        <f t="shared" si="2"/>
        <v>—</v>
      </c>
      <c r="M195" s="76" t="str">
        <f t="shared" si="3"/>
        <v>—</v>
      </c>
    </row>
    <row r="196" ht="18.75" customHeight="1">
      <c r="A196" s="77"/>
      <c r="B196" s="77"/>
      <c r="C196" s="78"/>
      <c r="D196" s="117"/>
      <c r="E196" s="117"/>
      <c r="F196" s="123"/>
      <c r="G196" s="123"/>
      <c r="H196" s="77"/>
      <c r="I196" s="117"/>
      <c r="J196" s="124">
        <f t="shared" si="1"/>
        <v>0</v>
      </c>
      <c r="K196" s="81" t="str">
        <f>IFERROR(IF(A196="","—",IF(H196="Selesai","✓ Selesai",IF(H196="Cancel","✗ Cancel",IF(E196=0,"—",IF(J196=0,"✓ BAGUS",IF(J196&lt;=PARAM_REJECT_MAJOR,"⚠ MINOR",IF(J196&lt;=PARAM_REJECT_MAX,"⚠ PERHATIAN","🚨 ESKALASI"))))))),  "—")</f>
        <v>—</v>
      </c>
      <c r="L196" s="81" t="str">
        <f t="shared" si="2"/>
        <v>—</v>
      </c>
      <c r="M196" s="81" t="str">
        <f t="shared" si="3"/>
        <v>—</v>
      </c>
    </row>
    <row r="197" ht="18.75" customHeight="1">
      <c r="A197" s="72"/>
      <c r="B197" s="72"/>
      <c r="C197" s="73"/>
      <c r="D197" s="113"/>
      <c r="E197" s="113"/>
      <c r="F197" s="125"/>
      <c r="G197" s="125"/>
      <c r="H197" s="72"/>
      <c r="I197" s="113"/>
      <c r="J197" s="122">
        <f t="shared" si="1"/>
        <v>0</v>
      </c>
      <c r="K197" s="76" t="str">
        <f>IFERROR(IF(A197="","—",IF(H197="Selesai","✓ Selesai",IF(H197="Cancel","✗ Cancel",IF(E197=0,"—",IF(J197=0,"✓ BAGUS",IF(J197&lt;=PARAM_REJECT_MAJOR,"⚠ MINOR",IF(J197&lt;=PARAM_REJECT_MAX,"⚠ PERHATIAN","🚨 ESKALASI"))))))),  "—")</f>
        <v>—</v>
      </c>
      <c r="L197" s="76" t="str">
        <f t="shared" si="2"/>
        <v>—</v>
      </c>
      <c r="M197" s="76" t="str">
        <f t="shared" si="3"/>
        <v>—</v>
      </c>
    </row>
    <row r="198" ht="18.75" customHeight="1">
      <c r="A198" s="77"/>
      <c r="B198" s="77"/>
      <c r="C198" s="78"/>
      <c r="D198" s="117"/>
      <c r="E198" s="117"/>
      <c r="F198" s="123"/>
      <c r="G198" s="123"/>
      <c r="H198" s="77"/>
      <c r="I198" s="117"/>
      <c r="J198" s="124">
        <f t="shared" si="1"/>
        <v>0</v>
      </c>
      <c r="K198" s="81" t="str">
        <f>IFERROR(IF(A198="","—",IF(H198="Selesai","✓ Selesai",IF(H198="Cancel","✗ Cancel",IF(E198=0,"—",IF(J198=0,"✓ BAGUS",IF(J198&lt;=PARAM_REJECT_MAJOR,"⚠ MINOR",IF(J198&lt;=PARAM_REJECT_MAX,"⚠ PERHATIAN","🚨 ESKALASI"))))))),  "—")</f>
        <v>—</v>
      </c>
      <c r="L198" s="81" t="str">
        <f t="shared" si="2"/>
        <v>—</v>
      </c>
      <c r="M198" s="81" t="str">
        <f t="shared" si="3"/>
        <v>—</v>
      </c>
    </row>
    <row r="199" ht="18.75" customHeight="1">
      <c r="A199" s="72"/>
      <c r="B199" s="72"/>
      <c r="C199" s="73"/>
      <c r="D199" s="113"/>
      <c r="E199" s="113"/>
      <c r="F199" s="125"/>
      <c r="G199" s="125"/>
      <c r="H199" s="72"/>
      <c r="I199" s="113"/>
      <c r="J199" s="122">
        <f t="shared" si="1"/>
        <v>0</v>
      </c>
      <c r="K199" s="76" t="str">
        <f>IFERROR(IF(A199="","—",IF(H199="Selesai","✓ Selesai",IF(H199="Cancel","✗ Cancel",IF(E199=0,"—",IF(J199=0,"✓ BAGUS",IF(J199&lt;=PARAM_REJECT_MAJOR,"⚠ MINOR",IF(J199&lt;=PARAM_REJECT_MAX,"⚠ PERHATIAN","🚨 ESKALASI"))))))),  "—")</f>
        <v>—</v>
      </c>
      <c r="L199" s="76" t="str">
        <f t="shared" si="2"/>
        <v>—</v>
      </c>
      <c r="M199" s="76" t="str">
        <f t="shared" si="3"/>
        <v>—</v>
      </c>
    </row>
    <row r="200" ht="18.75" customHeight="1">
      <c r="A200" s="77"/>
      <c r="B200" s="77"/>
      <c r="C200" s="78"/>
      <c r="D200" s="117"/>
      <c r="E200" s="117"/>
      <c r="F200" s="123"/>
      <c r="G200" s="123"/>
      <c r="H200" s="77"/>
      <c r="I200" s="117"/>
      <c r="J200" s="124">
        <f t="shared" si="1"/>
        <v>0</v>
      </c>
      <c r="K200" s="81" t="str">
        <f>IFERROR(IF(A200="","—",IF(H200="Selesai","✓ Selesai",IF(H200="Cancel","✗ Cancel",IF(E200=0,"—",IF(J200=0,"✓ BAGUS",IF(J200&lt;=PARAM_REJECT_MAJOR,"⚠ MINOR",IF(J200&lt;=PARAM_REJECT_MAX,"⚠ PERHATIAN","🚨 ESKALASI"))))))),  "—")</f>
        <v>—</v>
      </c>
      <c r="L200" s="81" t="str">
        <f t="shared" si="2"/>
        <v>—</v>
      </c>
      <c r="M200" s="81" t="str">
        <f t="shared" si="3"/>
        <v>—</v>
      </c>
    </row>
    <row r="201" ht="18.75" customHeight="1">
      <c r="A201" s="72"/>
      <c r="B201" s="72"/>
      <c r="C201" s="73"/>
      <c r="D201" s="113"/>
      <c r="E201" s="113"/>
      <c r="F201" s="125"/>
      <c r="G201" s="125"/>
      <c r="H201" s="72"/>
      <c r="I201" s="113"/>
      <c r="J201" s="122">
        <f t="shared" si="1"/>
        <v>0</v>
      </c>
      <c r="K201" s="76" t="str">
        <f>IFERROR(IF(A201="","—",IF(H201="Selesai","✓ Selesai",IF(H201="Cancel","✗ Cancel",IF(E201=0,"—",IF(J201=0,"✓ BAGUS",IF(J201&lt;=PARAM_REJECT_MAJOR,"⚠ MINOR",IF(J201&lt;=PARAM_REJECT_MAX,"⚠ PERHATIAN","🚨 ESKALASI"))))))),  "—")</f>
        <v>—</v>
      </c>
      <c r="L201" s="76" t="str">
        <f t="shared" si="2"/>
        <v>—</v>
      </c>
      <c r="M201" s="76" t="str">
        <f t="shared" si="3"/>
        <v>—</v>
      </c>
    </row>
    <row r="202" ht="18.75" customHeight="1">
      <c r="A202" s="77"/>
      <c r="B202" s="77"/>
      <c r="C202" s="78"/>
      <c r="D202" s="117"/>
      <c r="E202" s="117"/>
      <c r="F202" s="123"/>
      <c r="G202" s="123"/>
      <c r="H202" s="77"/>
      <c r="I202" s="117"/>
      <c r="J202" s="124">
        <f t="shared" si="1"/>
        <v>0</v>
      </c>
      <c r="K202" s="81" t="str">
        <f>IFERROR(IF(A202="","—",IF(H202="Selesai","✓ Selesai",IF(H202="Cancel","✗ Cancel",IF(E202=0,"—",IF(J202=0,"✓ BAGUS",IF(J202&lt;=PARAM_REJECT_MAJOR,"⚠ MINOR",IF(J202&lt;=PARAM_REJECT_MAX,"⚠ PERHATIAN","🚨 ESKALASI"))))))),  "—")</f>
        <v>—</v>
      </c>
      <c r="L202" s="81" t="str">
        <f t="shared" si="2"/>
        <v>—</v>
      </c>
      <c r="M202" s="81" t="str">
        <f t="shared" si="3"/>
        <v>—</v>
      </c>
    </row>
    <row r="203" ht="18.75" customHeight="1">
      <c r="A203" s="96"/>
      <c r="B203" s="96"/>
      <c r="C203" s="88"/>
      <c r="D203" s="127"/>
      <c r="E203" s="127"/>
      <c r="F203" s="128"/>
      <c r="G203" s="128"/>
      <c r="H203" s="129"/>
      <c r="I203" s="127"/>
      <c r="J203" s="130">
        <f t="shared" si="1"/>
        <v>0</v>
      </c>
      <c r="K203" s="131" t="str">
        <f>IFERROR(IF(A203="","—",IF(H203="Selesai","✓ Selesai",IF(E203=0,"—",IF(J203=0,"✓ BAGUS",IF(J203&lt;=PARAM_REJECT_MAX,"✓ BAGUS",IF(J203&lt;=0.1,"⚠ PERHATIAN","🚨 ESKALASI")))))),"—")</f>
        <v>—</v>
      </c>
      <c r="L203" s="131" t="str">
        <f>IFERROR(IF(A203="","—",IF(H203="Selesai","✓ Selesai",IF(F203="","—",TODAY()-F203))),"—")</f>
        <v>—</v>
      </c>
      <c r="M203" s="131" t="str">
        <f>IFERROR(IF(A203="","—",IF(H203="Selesai","✓ Selesai",IF(G203="","—",G203-TODAY()))),"—")</f>
        <v>—</v>
      </c>
    </row>
    <row r="204" ht="15.75" customHeight="1">
      <c r="A204" s="30"/>
      <c r="B204" s="30"/>
      <c r="C204" s="82"/>
      <c r="D204" s="30"/>
      <c r="E204" s="30"/>
      <c r="F204" s="30"/>
      <c r="G204" s="30"/>
      <c r="H204" s="30"/>
      <c r="I204" s="30"/>
      <c r="J204" s="30"/>
      <c r="K204" s="30"/>
      <c r="L204" s="30"/>
      <c r="M204" s="30"/>
    </row>
    <row r="205" ht="15.75" customHeight="1">
      <c r="A205" s="30"/>
      <c r="B205" s="30"/>
      <c r="C205" s="82"/>
      <c r="D205" s="30"/>
      <c r="E205" s="30"/>
      <c r="F205" s="30"/>
      <c r="G205" s="30"/>
      <c r="H205" s="30"/>
      <c r="I205" s="30"/>
      <c r="J205" s="30"/>
      <c r="K205" s="30"/>
      <c r="L205" s="30"/>
      <c r="M205" s="30"/>
    </row>
    <row r="206" ht="15.75" customHeight="1">
      <c r="A206" s="30"/>
      <c r="B206" s="30"/>
      <c r="C206" s="82"/>
      <c r="D206" s="30"/>
      <c r="E206" s="30"/>
      <c r="F206" s="30"/>
      <c r="G206" s="30"/>
      <c r="H206" s="30"/>
      <c r="I206" s="30"/>
      <c r="J206" s="30"/>
      <c r="K206" s="30"/>
      <c r="L206" s="30"/>
      <c r="M206" s="30"/>
    </row>
    <row r="207" ht="15.75" customHeight="1">
      <c r="A207" s="30"/>
      <c r="B207" s="30"/>
      <c r="C207" s="82"/>
      <c r="D207" s="30"/>
      <c r="E207" s="30"/>
      <c r="F207" s="30"/>
      <c r="G207" s="30"/>
      <c r="H207" s="30"/>
      <c r="I207" s="30"/>
      <c r="J207" s="30"/>
      <c r="K207" s="30"/>
      <c r="L207" s="30"/>
      <c r="M207" s="30"/>
    </row>
    <row r="208" ht="15.75" customHeight="1">
      <c r="A208" s="30"/>
      <c r="B208" s="30"/>
      <c r="C208" s="82"/>
      <c r="D208" s="30"/>
      <c r="E208" s="30"/>
      <c r="F208" s="30"/>
      <c r="G208" s="30"/>
      <c r="H208" s="30"/>
      <c r="I208" s="30"/>
      <c r="J208" s="30"/>
      <c r="K208" s="30"/>
      <c r="L208" s="30"/>
      <c r="M208" s="30"/>
    </row>
    <row r="209" ht="15.75" customHeight="1">
      <c r="A209" s="30"/>
      <c r="B209" s="30"/>
      <c r="C209" s="82"/>
      <c r="D209" s="30"/>
      <c r="E209" s="30"/>
      <c r="F209" s="30"/>
      <c r="G209" s="30"/>
      <c r="H209" s="30"/>
      <c r="I209" s="30"/>
      <c r="J209" s="30"/>
      <c r="K209" s="30"/>
      <c r="L209" s="30"/>
      <c r="M209" s="30"/>
    </row>
    <row r="210" ht="15.75" customHeight="1">
      <c r="A210" s="30"/>
      <c r="B210" s="30"/>
      <c r="C210" s="82"/>
      <c r="D210" s="30"/>
      <c r="E210" s="30"/>
      <c r="F210" s="30"/>
      <c r="G210" s="30"/>
      <c r="H210" s="30"/>
      <c r="I210" s="30"/>
      <c r="J210" s="30"/>
      <c r="K210" s="30"/>
      <c r="L210" s="30"/>
      <c r="M210" s="30"/>
    </row>
    <row r="211" ht="15.75" customHeight="1">
      <c r="A211" s="30"/>
      <c r="B211" s="30"/>
      <c r="C211" s="82"/>
      <c r="D211" s="30"/>
      <c r="E211" s="30"/>
      <c r="F211" s="30"/>
      <c r="G211" s="30"/>
      <c r="H211" s="30"/>
      <c r="I211" s="30"/>
      <c r="J211" s="30"/>
      <c r="K211" s="30"/>
      <c r="L211" s="30"/>
      <c r="M211" s="30"/>
    </row>
    <row r="212" ht="15.75" customHeight="1">
      <c r="A212" s="30"/>
      <c r="B212" s="30"/>
      <c r="C212" s="82"/>
      <c r="D212" s="30"/>
      <c r="E212" s="30"/>
      <c r="F212" s="30"/>
      <c r="G212" s="30"/>
      <c r="H212" s="30"/>
      <c r="I212" s="30"/>
      <c r="J212" s="30"/>
      <c r="K212" s="30"/>
      <c r="L212" s="30"/>
      <c r="M212" s="30"/>
    </row>
    <row r="213" ht="15.75" customHeight="1">
      <c r="A213" s="30"/>
      <c r="B213" s="30"/>
      <c r="C213" s="82"/>
      <c r="D213" s="30"/>
      <c r="E213" s="30"/>
      <c r="F213" s="30"/>
      <c r="G213" s="30"/>
      <c r="H213" s="30"/>
      <c r="I213" s="30"/>
      <c r="J213" s="30"/>
      <c r="K213" s="30"/>
      <c r="L213" s="30"/>
      <c r="M213" s="30"/>
    </row>
    <row r="214" ht="15.75" customHeight="1">
      <c r="A214" s="30"/>
      <c r="B214" s="30"/>
      <c r="C214" s="82"/>
      <c r="D214" s="30"/>
      <c r="E214" s="30"/>
      <c r="F214" s="30"/>
      <c r="G214" s="30"/>
      <c r="H214" s="30"/>
      <c r="I214" s="30"/>
      <c r="J214" s="30"/>
      <c r="K214" s="30"/>
      <c r="L214" s="30"/>
      <c r="M214" s="30"/>
    </row>
    <row r="215" ht="15.75" customHeight="1">
      <c r="A215" s="30"/>
      <c r="B215" s="30"/>
      <c r="C215" s="82"/>
      <c r="D215" s="30"/>
      <c r="E215" s="30"/>
      <c r="F215" s="30"/>
      <c r="G215" s="30"/>
      <c r="H215" s="30"/>
      <c r="I215" s="30"/>
      <c r="J215" s="30"/>
      <c r="K215" s="30"/>
      <c r="L215" s="30"/>
      <c r="M215" s="30"/>
    </row>
    <row r="216" ht="15.75" customHeight="1">
      <c r="A216" s="30"/>
      <c r="B216" s="30"/>
      <c r="C216" s="82"/>
      <c r="D216" s="30"/>
      <c r="E216" s="30"/>
      <c r="F216" s="30"/>
      <c r="G216" s="30"/>
      <c r="H216" s="30"/>
      <c r="I216" s="30"/>
      <c r="J216" s="30"/>
      <c r="K216" s="30"/>
      <c r="L216" s="30"/>
      <c r="M216" s="30"/>
    </row>
    <row r="217" ht="15.75" customHeight="1">
      <c r="A217" s="30"/>
      <c r="B217" s="30"/>
      <c r="C217" s="82"/>
      <c r="D217" s="30"/>
      <c r="E217" s="30"/>
      <c r="F217" s="30"/>
      <c r="G217" s="30"/>
      <c r="H217" s="30"/>
      <c r="I217" s="30"/>
      <c r="J217" s="30"/>
      <c r="K217" s="30"/>
      <c r="L217" s="30"/>
      <c r="M217" s="30"/>
    </row>
    <row r="218" ht="15.75" customHeight="1">
      <c r="A218" s="30"/>
      <c r="B218" s="30"/>
      <c r="C218" s="82"/>
      <c r="D218" s="30"/>
      <c r="E218" s="30"/>
      <c r="F218" s="30"/>
      <c r="G218" s="30"/>
      <c r="H218" s="30"/>
      <c r="I218" s="30"/>
      <c r="J218" s="30"/>
      <c r="K218" s="30"/>
      <c r="L218" s="30"/>
      <c r="M218" s="30"/>
    </row>
    <row r="219" ht="15.75" customHeight="1">
      <c r="A219" s="30"/>
      <c r="B219" s="30"/>
      <c r="C219" s="82"/>
      <c r="D219" s="30"/>
      <c r="E219" s="30"/>
      <c r="F219" s="30"/>
      <c r="G219" s="30"/>
      <c r="H219" s="30"/>
      <c r="I219" s="30"/>
      <c r="J219" s="30"/>
      <c r="K219" s="30"/>
      <c r="L219" s="30"/>
      <c r="M219" s="30"/>
    </row>
    <row r="220" ht="15.75" customHeight="1">
      <c r="A220" s="30"/>
      <c r="B220" s="30"/>
      <c r="C220" s="82"/>
      <c r="D220" s="30"/>
      <c r="E220" s="30"/>
      <c r="F220" s="30"/>
      <c r="G220" s="30"/>
      <c r="H220" s="30"/>
      <c r="I220" s="30"/>
      <c r="J220" s="30"/>
      <c r="K220" s="30"/>
      <c r="L220" s="30"/>
      <c r="M220" s="30"/>
    </row>
    <row r="221" ht="15.75" customHeight="1">
      <c r="A221" s="30"/>
      <c r="B221" s="30"/>
      <c r="C221" s="82"/>
      <c r="D221" s="30"/>
      <c r="E221" s="30"/>
      <c r="F221" s="30"/>
      <c r="G221" s="30"/>
      <c r="H221" s="30"/>
      <c r="I221" s="30"/>
      <c r="J221" s="30"/>
      <c r="K221" s="30"/>
      <c r="L221" s="30"/>
      <c r="M221" s="30"/>
    </row>
    <row r="222" ht="15.75" customHeight="1">
      <c r="A222" s="30"/>
      <c r="B222" s="30"/>
      <c r="C222" s="82"/>
      <c r="D222" s="30"/>
      <c r="E222" s="30"/>
      <c r="F222" s="30"/>
      <c r="G222" s="30"/>
      <c r="H222" s="30"/>
      <c r="I222" s="30"/>
      <c r="J222" s="30"/>
      <c r="K222" s="30"/>
      <c r="L222" s="30"/>
      <c r="M222" s="30"/>
    </row>
    <row r="223" ht="15.75" customHeight="1">
      <c r="A223" s="30"/>
      <c r="B223" s="30"/>
      <c r="C223" s="82"/>
      <c r="D223" s="30"/>
      <c r="E223" s="30"/>
      <c r="F223" s="30"/>
      <c r="G223" s="30"/>
      <c r="H223" s="30"/>
      <c r="I223" s="30"/>
      <c r="J223" s="30"/>
      <c r="K223" s="30"/>
      <c r="L223" s="30"/>
      <c r="M223" s="30"/>
    </row>
    <row r="224" ht="15.75" customHeight="1">
      <c r="A224" s="30"/>
      <c r="B224" s="30"/>
      <c r="C224" s="82"/>
      <c r="D224" s="30"/>
      <c r="E224" s="30"/>
      <c r="F224" s="30"/>
      <c r="G224" s="30"/>
      <c r="H224" s="30"/>
      <c r="I224" s="30"/>
      <c r="J224" s="30"/>
      <c r="K224" s="30"/>
      <c r="L224" s="30"/>
      <c r="M224" s="30"/>
    </row>
    <row r="225" ht="15.75" customHeight="1">
      <c r="A225" s="30"/>
      <c r="B225" s="30"/>
      <c r="C225" s="82"/>
      <c r="D225" s="30"/>
      <c r="E225" s="30"/>
      <c r="F225" s="30"/>
      <c r="G225" s="30"/>
      <c r="H225" s="30"/>
      <c r="I225" s="30"/>
      <c r="J225" s="30"/>
      <c r="K225" s="30"/>
      <c r="L225" s="30"/>
      <c r="M225" s="30"/>
    </row>
    <row r="226" ht="15.75" customHeight="1">
      <c r="A226" s="30"/>
      <c r="B226" s="30"/>
      <c r="C226" s="82"/>
      <c r="D226" s="30"/>
      <c r="E226" s="30"/>
      <c r="F226" s="30"/>
      <c r="G226" s="30"/>
      <c r="H226" s="30"/>
      <c r="I226" s="30"/>
      <c r="J226" s="30"/>
      <c r="K226" s="30"/>
      <c r="L226" s="30"/>
      <c r="M226" s="30"/>
    </row>
    <row r="227" ht="15.75" customHeight="1">
      <c r="A227" s="30"/>
      <c r="B227" s="30"/>
      <c r="C227" s="82"/>
      <c r="D227" s="30"/>
      <c r="E227" s="30"/>
      <c r="F227" s="30"/>
      <c r="G227" s="30"/>
      <c r="H227" s="30"/>
      <c r="I227" s="30"/>
      <c r="J227" s="30"/>
      <c r="K227" s="30"/>
      <c r="L227" s="30"/>
      <c r="M227" s="30"/>
    </row>
    <row r="228" ht="15.75" customHeight="1">
      <c r="A228" s="30"/>
      <c r="B228" s="30"/>
      <c r="C228" s="82"/>
      <c r="D228" s="30"/>
      <c r="E228" s="30"/>
      <c r="F228" s="30"/>
      <c r="G228" s="30"/>
      <c r="H228" s="30"/>
      <c r="I228" s="30"/>
      <c r="J228" s="30"/>
      <c r="K228" s="30"/>
      <c r="L228" s="30"/>
      <c r="M228" s="30"/>
    </row>
    <row r="229" ht="15.75" customHeight="1">
      <c r="A229" s="30"/>
      <c r="B229" s="30"/>
      <c r="C229" s="82"/>
      <c r="D229" s="30"/>
      <c r="E229" s="30"/>
      <c r="F229" s="30"/>
      <c r="G229" s="30"/>
      <c r="H229" s="30"/>
      <c r="I229" s="30"/>
      <c r="J229" s="30"/>
      <c r="K229" s="30"/>
      <c r="L229" s="30"/>
      <c r="M229" s="30"/>
    </row>
    <row r="230" ht="15.75" customHeight="1">
      <c r="A230" s="30"/>
      <c r="B230" s="30"/>
      <c r="C230" s="82"/>
      <c r="D230" s="30"/>
      <c r="E230" s="30"/>
      <c r="F230" s="30"/>
      <c r="G230" s="30"/>
      <c r="H230" s="30"/>
      <c r="I230" s="30"/>
      <c r="J230" s="30"/>
      <c r="K230" s="30"/>
      <c r="L230" s="30"/>
      <c r="M230" s="30"/>
    </row>
    <row r="231" ht="15.75" customHeight="1">
      <c r="A231" s="30"/>
      <c r="B231" s="30"/>
      <c r="C231" s="82"/>
      <c r="D231" s="30"/>
      <c r="E231" s="30"/>
      <c r="F231" s="30"/>
      <c r="G231" s="30"/>
      <c r="H231" s="30"/>
      <c r="I231" s="30"/>
      <c r="J231" s="30"/>
      <c r="K231" s="30"/>
      <c r="L231" s="30"/>
      <c r="M231" s="30"/>
    </row>
    <row r="232" ht="15.75" customHeight="1">
      <c r="A232" s="30"/>
      <c r="B232" s="30"/>
      <c r="C232" s="82"/>
      <c r="D232" s="30"/>
      <c r="E232" s="30"/>
      <c r="F232" s="30"/>
      <c r="G232" s="30"/>
      <c r="H232" s="30"/>
      <c r="I232" s="30"/>
      <c r="J232" s="30"/>
      <c r="K232" s="30"/>
      <c r="L232" s="30"/>
      <c r="M232" s="30"/>
    </row>
    <row r="233" ht="15.75" customHeight="1">
      <c r="A233" s="30"/>
      <c r="B233" s="30"/>
      <c r="C233" s="82"/>
      <c r="D233" s="30"/>
      <c r="E233" s="30"/>
      <c r="F233" s="30"/>
      <c r="G233" s="30"/>
      <c r="H233" s="30"/>
      <c r="I233" s="30"/>
      <c r="J233" s="30"/>
      <c r="K233" s="30"/>
      <c r="L233" s="30"/>
      <c r="M233" s="30"/>
    </row>
    <row r="234" ht="15.75" customHeight="1">
      <c r="A234" s="30"/>
      <c r="B234" s="30"/>
      <c r="C234" s="82"/>
      <c r="D234" s="30"/>
      <c r="E234" s="30"/>
      <c r="F234" s="30"/>
      <c r="G234" s="30"/>
      <c r="H234" s="30"/>
      <c r="I234" s="30"/>
      <c r="J234" s="30"/>
      <c r="K234" s="30"/>
      <c r="L234" s="30"/>
      <c r="M234" s="30"/>
    </row>
    <row r="235" ht="15.75" customHeight="1">
      <c r="A235" s="30"/>
      <c r="B235" s="30"/>
      <c r="C235" s="82"/>
      <c r="D235" s="30"/>
      <c r="E235" s="30"/>
      <c r="F235" s="30"/>
      <c r="G235" s="30"/>
      <c r="H235" s="30"/>
      <c r="I235" s="30"/>
      <c r="J235" s="30"/>
      <c r="K235" s="30"/>
      <c r="L235" s="30"/>
      <c r="M235" s="30"/>
    </row>
    <row r="236" ht="15.75" customHeight="1">
      <c r="A236" s="30"/>
      <c r="B236" s="30"/>
      <c r="C236" s="82"/>
      <c r="D236" s="30"/>
      <c r="E236" s="30"/>
      <c r="F236" s="30"/>
      <c r="G236" s="30"/>
      <c r="H236" s="30"/>
      <c r="I236" s="30"/>
      <c r="J236" s="30"/>
      <c r="K236" s="30"/>
      <c r="L236" s="30"/>
      <c r="M236" s="30"/>
    </row>
    <row r="237" ht="15.75" customHeight="1">
      <c r="A237" s="30"/>
      <c r="B237" s="30"/>
      <c r="C237" s="82"/>
      <c r="D237" s="30"/>
      <c r="E237" s="30"/>
      <c r="F237" s="30"/>
      <c r="G237" s="30"/>
      <c r="H237" s="30"/>
      <c r="I237" s="30"/>
      <c r="J237" s="30"/>
      <c r="K237" s="30"/>
      <c r="L237" s="30"/>
      <c r="M237" s="30"/>
    </row>
    <row r="238" ht="15.75" customHeight="1">
      <c r="A238" s="30"/>
      <c r="B238" s="30"/>
      <c r="C238" s="82"/>
      <c r="D238" s="30"/>
      <c r="E238" s="30"/>
      <c r="F238" s="30"/>
      <c r="G238" s="30"/>
      <c r="H238" s="30"/>
      <c r="I238" s="30"/>
      <c r="J238" s="30"/>
      <c r="K238" s="30"/>
      <c r="L238" s="30"/>
      <c r="M238" s="30"/>
    </row>
    <row r="239" ht="15.75" customHeight="1">
      <c r="A239" s="30"/>
      <c r="B239" s="30"/>
      <c r="C239" s="82"/>
      <c r="D239" s="30"/>
      <c r="E239" s="30"/>
      <c r="F239" s="30"/>
      <c r="G239" s="30"/>
      <c r="H239" s="30"/>
      <c r="I239" s="30"/>
      <c r="J239" s="30"/>
      <c r="K239" s="30"/>
      <c r="L239" s="30"/>
      <c r="M239" s="30"/>
    </row>
    <row r="240" ht="15.75" customHeight="1">
      <c r="A240" s="30"/>
      <c r="B240" s="30"/>
      <c r="C240" s="82"/>
      <c r="D240" s="30"/>
      <c r="E240" s="30"/>
      <c r="F240" s="30"/>
      <c r="G240" s="30"/>
      <c r="H240" s="30"/>
      <c r="I240" s="30"/>
      <c r="J240" s="30"/>
      <c r="K240" s="30"/>
      <c r="L240" s="30"/>
      <c r="M240" s="30"/>
    </row>
    <row r="241" ht="15.75" customHeight="1">
      <c r="A241" s="30"/>
      <c r="B241" s="30"/>
      <c r="C241" s="82"/>
      <c r="D241" s="30"/>
      <c r="E241" s="30"/>
      <c r="F241" s="30"/>
      <c r="G241" s="30"/>
      <c r="H241" s="30"/>
      <c r="I241" s="30"/>
      <c r="J241" s="30"/>
      <c r="K241" s="30"/>
      <c r="L241" s="30"/>
      <c r="M241" s="30"/>
    </row>
    <row r="242" ht="15.75" customHeight="1">
      <c r="A242" s="30"/>
      <c r="B242" s="30"/>
      <c r="C242" s="82"/>
      <c r="D242" s="30"/>
      <c r="E242" s="30"/>
      <c r="F242" s="30"/>
      <c r="G242" s="30"/>
      <c r="H242" s="30"/>
      <c r="I242" s="30"/>
      <c r="J242" s="30"/>
      <c r="K242" s="30"/>
      <c r="L242" s="30"/>
      <c r="M242" s="30"/>
    </row>
    <row r="243" ht="15.75" customHeight="1">
      <c r="A243" s="30"/>
      <c r="B243" s="30"/>
      <c r="C243" s="82"/>
      <c r="D243" s="30"/>
      <c r="E243" s="30"/>
      <c r="F243" s="30"/>
      <c r="G243" s="30"/>
      <c r="H243" s="30"/>
      <c r="I243" s="30"/>
      <c r="J243" s="30"/>
      <c r="K243" s="30"/>
      <c r="L243" s="30"/>
      <c r="M243" s="30"/>
    </row>
    <row r="244" ht="15.75" customHeight="1">
      <c r="A244" s="30"/>
      <c r="B244" s="30"/>
      <c r="C244" s="82"/>
      <c r="D244" s="30"/>
      <c r="E244" s="30"/>
      <c r="F244" s="30"/>
      <c r="G244" s="30"/>
      <c r="H244" s="30"/>
      <c r="I244" s="30"/>
      <c r="J244" s="30"/>
      <c r="K244" s="30"/>
      <c r="L244" s="30"/>
      <c r="M244" s="30"/>
    </row>
    <row r="245" ht="15.75" customHeight="1">
      <c r="A245" s="30"/>
      <c r="B245" s="30"/>
      <c r="C245" s="82"/>
      <c r="D245" s="30"/>
      <c r="E245" s="30"/>
      <c r="F245" s="30"/>
      <c r="G245" s="30"/>
      <c r="H245" s="30"/>
      <c r="I245" s="30"/>
      <c r="J245" s="30"/>
      <c r="K245" s="30"/>
      <c r="L245" s="30"/>
      <c r="M245" s="30"/>
    </row>
    <row r="246" ht="15.75" customHeight="1">
      <c r="A246" s="30"/>
      <c r="B246" s="30"/>
      <c r="C246" s="82"/>
      <c r="D246" s="30"/>
      <c r="E246" s="30"/>
      <c r="F246" s="30"/>
      <c r="G246" s="30"/>
      <c r="H246" s="30"/>
      <c r="I246" s="30"/>
      <c r="J246" s="30"/>
      <c r="K246" s="30"/>
      <c r="L246" s="30"/>
      <c r="M246" s="30"/>
    </row>
    <row r="247" ht="15.75" customHeight="1">
      <c r="A247" s="30"/>
      <c r="B247" s="30"/>
      <c r="C247" s="82"/>
      <c r="D247" s="30"/>
      <c r="E247" s="30"/>
      <c r="F247" s="30"/>
      <c r="G247" s="30"/>
      <c r="H247" s="30"/>
      <c r="I247" s="30"/>
      <c r="J247" s="30"/>
      <c r="K247" s="30"/>
      <c r="L247" s="30"/>
      <c r="M247" s="30"/>
    </row>
    <row r="248" ht="15.75" customHeight="1">
      <c r="A248" s="30"/>
      <c r="B248" s="30"/>
      <c r="C248" s="82"/>
      <c r="D248" s="30"/>
      <c r="E248" s="30"/>
      <c r="F248" s="30"/>
      <c r="G248" s="30"/>
      <c r="H248" s="30"/>
      <c r="I248" s="30"/>
      <c r="J248" s="30"/>
      <c r="K248" s="30"/>
      <c r="L248" s="30"/>
      <c r="M248" s="30"/>
    </row>
    <row r="249" ht="15.75" customHeight="1">
      <c r="A249" s="30"/>
      <c r="B249" s="30"/>
      <c r="C249" s="82"/>
      <c r="D249" s="30"/>
      <c r="E249" s="30"/>
      <c r="F249" s="30"/>
      <c r="G249" s="30"/>
      <c r="H249" s="30"/>
      <c r="I249" s="30"/>
      <c r="J249" s="30"/>
      <c r="K249" s="30"/>
      <c r="L249" s="30"/>
      <c r="M249" s="30"/>
    </row>
    <row r="250" ht="15.75" customHeight="1">
      <c r="A250" s="30"/>
      <c r="B250" s="30"/>
      <c r="C250" s="82"/>
      <c r="D250" s="30"/>
      <c r="E250" s="30"/>
      <c r="F250" s="30"/>
      <c r="G250" s="30"/>
      <c r="H250" s="30"/>
      <c r="I250" s="30"/>
      <c r="J250" s="30"/>
      <c r="K250" s="30"/>
      <c r="L250" s="30"/>
      <c r="M250" s="30"/>
    </row>
    <row r="251" ht="15.75" customHeight="1">
      <c r="A251" s="30"/>
      <c r="B251" s="30"/>
      <c r="C251" s="82"/>
      <c r="D251" s="30"/>
      <c r="E251" s="30"/>
      <c r="F251" s="30"/>
      <c r="G251" s="30"/>
      <c r="H251" s="30"/>
      <c r="I251" s="30"/>
      <c r="J251" s="30"/>
      <c r="K251" s="30"/>
      <c r="L251" s="30"/>
      <c r="M251" s="30"/>
    </row>
    <row r="252" ht="15.75" customHeight="1">
      <c r="A252" s="30"/>
      <c r="B252" s="30"/>
      <c r="C252" s="82"/>
      <c r="D252" s="30"/>
      <c r="E252" s="30"/>
      <c r="F252" s="30"/>
      <c r="G252" s="30"/>
      <c r="H252" s="30"/>
      <c r="I252" s="30"/>
      <c r="J252" s="30"/>
      <c r="K252" s="30"/>
      <c r="L252" s="30"/>
      <c r="M252" s="30"/>
    </row>
    <row r="253" ht="15.75" customHeight="1">
      <c r="A253" s="30"/>
      <c r="B253" s="30"/>
      <c r="C253" s="82"/>
      <c r="D253" s="30"/>
      <c r="E253" s="30"/>
      <c r="F253" s="30"/>
      <c r="G253" s="30"/>
      <c r="H253" s="30"/>
      <c r="I253" s="30"/>
      <c r="J253" s="30"/>
      <c r="K253" s="30"/>
      <c r="L253" s="30"/>
      <c r="M253" s="30"/>
    </row>
    <row r="254" ht="15.75" customHeight="1">
      <c r="A254" s="30"/>
      <c r="B254" s="30"/>
      <c r="C254" s="82"/>
      <c r="D254" s="30"/>
      <c r="E254" s="30"/>
      <c r="F254" s="30"/>
      <c r="G254" s="30"/>
      <c r="H254" s="30"/>
      <c r="I254" s="30"/>
      <c r="J254" s="30"/>
      <c r="K254" s="30"/>
      <c r="L254" s="30"/>
      <c r="M254" s="30"/>
    </row>
    <row r="255" ht="15.75" customHeight="1">
      <c r="A255" s="30"/>
      <c r="B255" s="30"/>
      <c r="C255" s="82"/>
      <c r="D255" s="30"/>
      <c r="E255" s="30"/>
      <c r="F255" s="30"/>
      <c r="G255" s="30"/>
      <c r="H255" s="30"/>
      <c r="I255" s="30"/>
      <c r="J255" s="30"/>
      <c r="K255" s="30"/>
      <c r="L255" s="30"/>
      <c r="M255" s="30"/>
    </row>
    <row r="256" ht="15.75" customHeight="1">
      <c r="A256" s="30"/>
      <c r="B256" s="30"/>
      <c r="C256" s="82"/>
      <c r="D256" s="30"/>
      <c r="E256" s="30"/>
      <c r="F256" s="30"/>
      <c r="G256" s="30"/>
      <c r="H256" s="30"/>
      <c r="I256" s="30"/>
      <c r="J256" s="30"/>
      <c r="K256" s="30"/>
      <c r="L256" s="30"/>
      <c r="M256" s="30"/>
    </row>
    <row r="257" ht="15.75" customHeight="1">
      <c r="A257" s="30"/>
      <c r="B257" s="30"/>
      <c r="C257" s="82"/>
      <c r="D257" s="30"/>
      <c r="E257" s="30"/>
      <c r="F257" s="30"/>
      <c r="G257" s="30"/>
      <c r="H257" s="30"/>
      <c r="I257" s="30"/>
      <c r="J257" s="30"/>
      <c r="K257" s="30"/>
      <c r="L257" s="30"/>
      <c r="M257" s="30"/>
    </row>
    <row r="258" ht="15.75" customHeight="1">
      <c r="A258" s="30"/>
      <c r="B258" s="30"/>
      <c r="C258" s="82"/>
      <c r="D258" s="30"/>
      <c r="E258" s="30"/>
      <c r="F258" s="30"/>
      <c r="G258" s="30"/>
      <c r="H258" s="30"/>
      <c r="I258" s="30"/>
      <c r="J258" s="30"/>
      <c r="K258" s="30"/>
      <c r="L258" s="30"/>
      <c r="M258" s="30"/>
    </row>
    <row r="259" ht="15.75" customHeight="1">
      <c r="A259" s="30"/>
      <c r="B259" s="30"/>
      <c r="C259" s="82"/>
      <c r="D259" s="30"/>
      <c r="E259" s="30"/>
      <c r="F259" s="30"/>
      <c r="G259" s="30"/>
      <c r="H259" s="30"/>
      <c r="I259" s="30"/>
      <c r="J259" s="30"/>
      <c r="K259" s="30"/>
      <c r="L259" s="30"/>
      <c r="M259" s="30"/>
    </row>
    <row r="260" ht="15.75" customHeight="1">
      <c r="A260" s="30"/>
      <c r="B260" s="30"/>
      <c r="C260" s="82"/>
      <c r="D260" s="30"/>
      <c r="E260" s="30"/>
      <c r="F260" s="30"/>
      <c r="G260" s="30"/>
      <c r="H260" s="30"/>
      <c r="I260" s="30"/>
      <c r="J260" s="30"/>
      <c r="K260" s="30"/>
      <c r="L260" s="30"/>
      <c r="M260" s="30"/>
    </row>
    <row r="261" ht="15.75" customHeight="1">
      <c r="A261" s="30"/>
      <c r="B261" s="30"/>
      <c r="C261" s="82"/>
      <c r="D261" s="30"/>
      <c r="E261" s="30"/>
      <c r="F261" s="30"/>
      <c r="G261" s="30"/>
      <c r="H261" s="30"/>
      <c r="I261" s="30"/>
      <c r="J261" s="30"/>
      <c r="K261" s="30"/>
      <c r="L261" s="30"/>
      <c r="M261" s="30"/>
    </row>
    <row r="262" ht="15.75" customHeight="1">
      <c r="A262" s="30"/>
      <c r="B262" s="30"/>
      <c r="C262" s="82"/>
      <c r="D262" s="30"/>
      <c r="E262" s="30"/>
      <c r="F262" s="30"/>
      <c r="G262" s="30"/>
      <c r="H262" s="30"/>
      <c r="I262" s="30"/>
      <c r="J262" s="30"/>
      <c r="K262" s="30"/>
      <c r="L262" s="30"/>
      <c r="M262" s="30"/>
    </row>
    <row r="263" ht="15.75" customHeight="1">
      <c r="A263" s="30"/>
      <c r="B263" s="30"/>
      <c r="C263" s="82"/>
      <c r="D263" s="30"/>
      <c r="E263" s="30"/>
      <c r="F263" s="30"/>
      <c r="G263" s="30"/>
      <c r="H263" s="30"/>
      <c r="I263" s="30"/>
      <c r="J263" s="30"/>
      <c r="K263" s="30"/>
      <c r="L263" s="30"/>
      <c r="M263" s="30"/>
    </row>
    <row r="264" ht="15.75" customHeight="1">
      <c r="A264" s="30"/>
      <c r="B264" s="30"/>
      <c r="C264" s="82"/>
      <c r="D264" s="30"/>
      <c r="E264" s="30"/>
      <c r="F264" s="30"/>
      <c r="G264" s="30"/>
      <c r="H264" s="30"/>
      <c r="I264" s="30"/>
      <c r="J264" s="30"/>
      <c r="K264" s="30"/>
      <c r="L264" s="30"/>
      <c r="M264" s="30"/>
    </row>
    <row r="265" ht="15.75" customHeight="1">
      <c r="A265" s="30"/>
      <c r="B265" s="30"/>
      <c r="C265" s="82"/>
      <c r="D265" s="30"/>
      <c r="E265" s="30"/>
      <c r="F265" s="30"/>
      <c r="G265" s="30"/>
      <c r="H265" s="30"/>
      <c r="I265" s="30"/>
      <c r="J265" s="30"/>
      <c r="K265" s="30"/>
      <c r="L265" s="30"/>
      <c r="M265" s="30"/>
    </row>
    <row r="266" ht="15.75" customHeight="1">
      <c r="A266" s="30"/>
      <c r="B266" s="30"/>
      <c r="C266" s="82"/>
      <c r="D266" s="30"/>
      <c r="E266" s="30"/>
      <c r="F266" s="30"/>
      <c r="G266" s="30"/>
      <c r="H266" s="30"/>
      <c r="I266" s="30"/>
      <c r="J266" s="30"/>
      <c r="K266" s="30"/>
      <c r="L266" s="30"/>
      <c r="M266" s="30"/>
    </row>
    <row r="267" ht="15.75" customHeight="1">
      <c r="A267" s="30"/>
      <c r="B267" s="30"/>
      <c r="C267" s="82"/>
      <c r="D267" s="30"/>
      <c r="E267" s="30"/>
      <c r="F267" s="30"/>
      <c r="G267" s="30"/>
      <c r="H267" s="30"/>
      <c r="I267" s="30"/>
      <c r="J267" s="30"/>
      <c r="K267" s="30"/>
      <c r="L267" s="30"/>
      <c r="M267" s="30"/>
    </row>
    <row r="268" ht="15.75" customHeight="1">
      <c r="A268" s="30"/>
      <c r="B268" s="30"/>
      <c r="C268" s="82"/>
      <c r="D268" s="30"/>
      <c r="E268" s="30"/>
      <c r="F268" s="30"/>
      <c r="G268" s="30"/>
      <c r="H268" s="30"/>
      <c r="I268" s="30"/>
      <c r="J268" s="30"/>
      <c r="K268" s="30"/>
      <c r="L268" s="30"/>
      <c r="M268" s="30"/>
    </row>
    <row r="269" ht="15.75" customHeight="1">
      <c r="A269" s="30"/>
      <c r="B269" s="30"/>
      <c r="C269" s="82"/>
      <c r="D269" s="30"/>
      <c r="E269" s="30"/>
      <c r="F269" s="30"/>
      <c r="G269" s="30"/>
      <c r="H269" s="30"/>
      <c r="I269" s="30"/>
      <c r="J269" s="30"/>
      <c r="K269" s="30"/>
      <c r="L269" s="30"/>
      <c r="M269" s="30"/>
    </row>
    <row r="270" ht="15.75" customHeight="1">
      <c r="A270" s="30"/>
      <c r="B270" s="30"/>
      <c r="C270" s="82"/>
      <c r="D270" s="30"/>
      <c r="E270" s="30"/>
      <c r="F270" s="30"/>
      <c r="G270" s="30"/>
      <c r="H270" s="30"/>
      <c r="I270" s="30"/>
      <c r="J270" s="30"/>
      <c r="K270" s="30"/>
      <c r="L270" s="30"/>
      <c r="M270" s="30"/>
    </row>
    <row r="271" ht="15.75" customHeight="1">
      <c r="A271" s="30"/>
      <c r="B271" s="30"/>
      <c r="C271" s="82"/>
      <c r="D271" s="30"/>
      <c r="E271" s="30"/>
      <c r="F271" s="30"/>
      <c r="G271" s="30"/>
      <c r="H271" s="30"/>
      <c r="I271" s="30"/>
      <c r="J271" s="30"/>
      <c r="K271" s="30"/>
      <c r="L271" s="30"/>
      <c r="M271" s="30"/>
    </row>
    <row r="272" ht="15.75" customHeight="1">
      <c r="A272" s="30"/>
      <c r="B272" s="30"/>
      <c r="C272" s="82"/>
      <c r="D272" s="30"/>
      <c r="E272" s="30"/>
      <c r="F272" s="30"/>
      <c r="G272" s="30"/>
      <c r="H272" s="30"/>
      <c r="I272" s="30"/>
      <c r="J272" s="30"/>
      <c r="K272" s="30"/>
      <c r="L272" s="30"/>
      <c r="M272" s="30"/>
    </row>
    <row r="273" ht="15.75" customHeight="1">
      <c r="A273" s="30"/>
      <c r="B273" s="30"/>
      <c r="C273" s="82"/>
      <c r="D273" s="30"/>
      <c r="E273" s="30"/>
      <c r="F273" s="30"/>
      <c r="G273" s="30"/>
      <c r="H273" s="30"/>
      <c r="I273" s="30"/>
      <c r="J273" s="30"/>
      <c r="K273" s="30"/>
      <c r="L273" s="30"/>
      <c r="M273" s="30"/>
    </row>
    <row r="274" ht="15.75" customHeight="1">
      <c r="A274" s="30"/>
      <c r="B274" s="30"/>
      <c r="C274" s="82"/>
      <c r="D274" s="30"/>
      <c r="E274" s="30"/>
      <c r="F274" s="30"/>
      <c r="G274" s="30"/>
      <c r="H274" s="30"/>
      <c r="I274" s="30"/>
      <c r="J274" s="30"/>
      <c r="K274" s="30"/>
      <c r="L274" s="30"/>
      <c r="M274" s="30"/>
    </row>
    <row r="275" ht="15.75" customHeight="1">
      <c r="A275" s="30"/>
      <c r="B275" s="30"/>
      <c r="C275" s="82"/>
      <c r="D275" s="30"/>
      <c r="E275" s="30"/>
      <c r="F275" s="30"/>
      <c r="G275" s="30"/>
      <c r="H275" s="30"/>
      <c r="I275" s="30"/>
      <c r="J275" s="30"/>
      <c r="K275" s="30"/>
      <c r="L275" s="30"/>
      <c r="M275" s="30"/>
    </row>
    <row r="276" ht="15.75" customHeight="1">
      <c r="A276" s="30"/>
      <c r="B276" s="30"/>
      <c r="C276" s="82"/>
      <c r="D276" s="30"/>
      <c r="E276" s="30"/>
      <c r="F276" s="30"/>
      <c r="G276" s="30"/>
      <c r="H276" s="30"/>
      <c r="I276" s="30"/>
      <c r="J276" s="30"/>
      <c r="K276" s="30"/>
      <c r="L276" s="30"/>
      <c r="M276" s="30"/>
    </row>
    <row r="277" ht="15.75" customHeight="1">
      <c r="A277" s="30"/>
      <c r="B277" s="30"/>
      <c r="C277" s="82"/>
      <c r="D277" s="30"/>
      <c r="E277" s="30"/>
      <c r="F277" s="30"/>
      <c r="G277" s="30"/>
      <c r="H277" s="30"/>
      <c r="I277" s="30"/>
      <c r="J277" s="30"/>
      <c r="K277" s="30"/>
      <c r="L277" s="30"/>
      <c r="M277" s="30"/>
    </row>
    <row r="278" ht="15.75" customHeight="1">
      <c r="A278" s="30"/>
      <c r="B278" s="30"/>
      <c r="C278" s="82"/>
      <c r="D278" s="30"/>
      <c r="E278" s="30"/>
      <c r="F278" s="30"/>
      <c r="G278" s="30"/>
      <c r="H278" s="30"/>
      <c r="I278" s="30"/>
      <c r="J278" s="30"/>
      <c r="K278" s="30"/>
      <c r="L278" s="30"/>
      <c r="M278" s="30"/>
    </row>
    <row r="279" ht="15.75" customHeight="1">
      <c r="A279" s="30"/>
      <c r="B279" s="30"/>
      <c r="C279" s="82"/>
      <c r="D279" s="30"/>
      <c r="E279" s="30"/>
      <c r="F279" s="30"/>
      <c r="G279" s="30"/>
      <c r="H279" s="30"/>
      <c r="I279" s="30"/>
      <c r="J279" s="30"/>
      <c r="K279" s="30"/>
      <c r="L279" s="30"/>
      <c r="M279" s="30"/>
    </row>
    <row r="280" ht="15.75" customHeight="1">
      <c r="A280" s="30"/>
      <c r="B280" s="30"/>
      <c r="C280" s="82"/>
      <c r="D280" s="30"/>
      <c r="E280" s="30"/>
      <c r="F280" s="30"/>
      <c r="G280" s="30"/>
      <c r="H280" s="30"/>
      <c r="I280" s="30"/>
      <c r="J280" s="30"/>
      <c r="K280" s="30"/>
      <c r="L280" s="30"/>
      <c r="M280" s="30"/>
    </row>
    <row r="281" ht="15.75" customHeight="1">
      <c r="A281" s="30"/>
      <c r="B281" s="30"/>
      <c r="C281" s="82"/>
      <c r="D281" s="30"/>
      <c r="E281" s="30"/>
      <c r="F281" s="30"/>
      <c r="G281" s="30"/>
      <c r="H281" s="30"/>
      <c r="I281" s="30"/>
      <c r="J281" s="30"/>
      <c r="K281" s="30"/>
      <c r="L281" s="30"/>
      <c r="M281" s="30"/>
    </row>
    <row r="282" ht="15.75" customHeight="1">
      <c r="A282" s="30"/>
      <c r="B282" s="30"/>
      <c r="C282" s="82"/>
      <c r="D282" s="30"/>
      <c r="E282" s="30"/>
      <c r="F282" s="30"/>
      <c r="G282" s="30"/>
      <c r="H282" s="30"/>
      <c r="I282" s="30"/>
      <c r="J282" s="30"/>
      <c r="K282" s="30"/>
      <c r="L282" s="30"/>
      <c r="M282" s="30"/>
    </row>
    <row r="283" ht="15.75" customHeight="1">
      <c r="A283" s="30"/>
      <c r="B283" s="30"/>
      <c r="C283" s="82"/>
      <c r="D283" s="30"/>
      <c r="E283" s="30"/>
      <c r="F283" s="30"/>
      <c r="G283" s="30"/>
      <c r="H283" s="30"/>
      <c r="I283" s="30"/>
      <c r="J283" s="30"/>
      <c r="K283" s="30"/>
      <c r="L283" s="30"/>
      <c r="M283" s="30"/>
    </row>
    <row r="284" ht="15.75" customHeight="1">
      <c r="A284" s="30"/>
      <c r="B284" s="30"/>
      <c r="C284" s="82"/>
      <c r="D284" s="30"/>
      <c r="E284" s="30"/>
      <c r="F284" s="30"/>
      <c r="G284" s="30"/>
      <c r="H284" s="30"/>
      <c r="I284" s="30"/>
      <c r="J284" s="30"/>
      <c r="K284" s="30"/>
      <c r="L284" s="30"/>
      <c r="M284" s="30"/>
    </row>
    <row r="285" ht="15.75" customHeight="1">
      <c r="A285" s="30"/>
      <c r="B285" s="30"/>
      <c r="C285" s="82"/>
      <c r="D285" s="30"/>
      <c r="E285" s="30"/>
      <c r="F285" s="30"/>
      <c r="G285" s="30"/>
      <c r="H285" s="30"/>
      <c r="I285" s="30"/>
      <c r="J285" s="30"/>
      <c r="K285" s="30"/>
      <c r="L285" s="30"/>
      <c r="M285" s="30"/>
    </row>
    <row r="286" ht="15.75" customHeight="1">
      <c r="A286" s="30"/>
      <c r="B286" s="30"/>
      <c r="C286" s="82"/>
      <c r="D286" s="30"/>
      <c r="E286" s="30"/>
      <c r="F286" s="30"/>
      <c r="G286" s="30"/>
      <c r="H286" s="30"/>
      <c r="I286" s="30"/>
      <c r="J286" s="30"/>
      <c r="K286" s="30"/>
      <c r="L286" s="30"/>
      <c r="M286" s="30"/>
    </row>
    <row r="287" ht="15.75" customHeight="1">
      <c r="A287" s="30"/>
      <c r="B287" s="30"/>
      <c r="C287" s="82"/>
      <c r="D287" s="30"/>
      <c r="E287" s="30"/>
      <c r="F287" s="30"/>
      <c r="G287" s="30"/>
      <c r="H287" s="30"/>
      <c r="I287" s="30"/>
      <c r="J287" s="30"/>
      <c r="K287" s="30"/>
      <c r="L287" s="30"/>
      <c r="M287" s="30"/>
    </row>
    <row r="288" ht="15.75" customHeight="1">
      <c r="A288" s="30"/>
      <c r="B288" s="30"/>
      <c r="C288" s="82"/>
      <c r="D288" s="30"/>
      <c r="E288" s="30"/>
      <c r="F288" s="30"/>
      <c r="G288" s="30"/>
      <c r="H288" s="30"/>
      <c r="I288" s="30"/>
      <c r="J288" s="30"/>
      <c r="K288" s="30"/>
      <c r="L288" s="30"/>
      <c r="M288" s="30"/>
    </row>
    <row r="289" ht="15.75" customHeight="1">
      <c r="A289" s="30"/>
      <c r="B289" s="30"/>
      <c r="C289" s="82"/>
      <c r="D289" s="30"/>
      <c r="E289" s="30"/>
      <c r="F289" s="30"/>
      <c r="G289" s="30"/>
      <c r="H289" s="30"/>
      <c r="I289" s="30"/>
      <c r="J289" s="30"/>
      <c r="K289" s="30"/>
      <c r="L289" s="30"/>
      <c r="M289" s="30"/>
    </row>
    <row r="290" ht="15.75" customHeight="1">
      <c r="A290" s="30"/>
      <c r="B290" s="30"/>
      <c r="C290" s="82"/>
      <c r="D290" s="30"/>
      <c r="E290" s="30"/>
      <c r="F290" s="30"/>
      <c r="G290" s="30"/>
      <c r="H290" s="30"/>
      <c r="I290" s="30"/>
      <c r="J290" s="30"/>
      <c r="K290" s="30"/>
      <c r="L290" s="30"/>
      <c r="M290" s="30"/>
    </row>
    <row r="291" ht="15.75" customHeight="1">
      <c r="A291" s="30"/>
      <c r="B291" s="30"/>
      <c r="C291" s="82"/>
      <c r="D291" s="30"/>
      <c r="E291" s="30"/>
      <c r="F291" s="30"/>
      <c r="G291" s="30"/>
      <c r="H291" s="30"/>
      <c r="I291" s="30"/>
      <c r="J291" s="30"/>
      <c r="K291" s="30"/>
      <c r="L291" s="30"/>
      <c r="M291" s="30"/>
    </row>
    <row r="292" ht="15.75" customHeight="1">
      <c r="A292" s="30"/>
      <c r="B292" s="30"/>
      <c r="C292" s="82"/>
      <c r="D292" s="30"/>
      <c r="E292" s="30"/>
      <c r="F292" s="30"/>
      <c r="G292" s="30"/>
      <c r="H292" s="30"/>
      <c r="I292" s="30"/>
      <c r="J292" s="30"/>
      <c r="K292" s="30"/>
      <c r="L292" s="30"/>
      <c r="M292" s="30"/>
    </row>
    <row r="293" ht="15.75" customHeight="1">
      <c r="A293" s="30"/>
      <c r="B293" s="30"/>
      <c r="C293" s="82"/>
      <c r="D293" s="30"/>
      <c r="E293" s="30"/>
      <c r="F293" s="30"/>
      <c r="G293" s="30"/>
      <c r="H293" s="30"/>
      <c r="I293" s="30"/>
      <c r="J293" s="30"/>
      <c r="K293" s="30"/>
      <c r="L293" s="30"/>
      <c r="M293" s="30"/>
    </row>
    <row r="294" ht="15.75" customHeight="1">
      <c r="A294" s="30"/>
      <c r="B294" s="30"/>
      <c r="C294" s="82"/>
      <c r="D294" s="30"/>
      <c r="E294" s="30"/>
      <c r="F294" s="30"/>
      <c r="G294" s="30"/>
      <c r="H294" s="30"/>
      <c r="I294" s="30"/>
      <c r="J294" s="30"/>
      <c r="K294" s="30"/>
      <c r="L294" s="30"/>
      <c r="M294" s="30"/>
    </row>
    <row r="295" ht="15.75" customHeight="1">
      <c r="A295" s="30"/>
      <c r="B295" s="30"/>
      <c r="C295" s="82"/>
      <c r="D295" s="30"/>
      <c r="E295" s="30"/>
      <c r="F295" s="30"/>
      <c r="G295" s="30"/>
      <c r="H295" s="30"/>
      <c r="I295" s="30"/>
      <c r="J295" s="30"/>
      <c r="K295" s="30"/>
      <c r="L295" s="30"/>
      <c r="M295" s="30"/>
    </row>
    <row r="296" ht="15.75" customHeight="1">
      <c r="A296" s="30"/>
      <c r="B296" s="30"/>
      <c r="C296" s="82"/>
      <c r="D296" s="30"/>
      <c r="E296" s="30"/>
      <c r="F296" s="30"/>
      <c r="G296" s="30"/>
      <c r="H296" s="30"/>
      <c r="I296" s="30"/>
      <c r="J296" s="30"/>
      <c r="K296" s="30"/>
      <c r="L296" s="30"/>
      <c r="M296" s="30"/>
    </row>
    <row r="297" ht="15.75" customHeight="1">
      <c r="A297" s="30"/>
      <c r="B297" s="30"/>
      <c r="C297" s="82"/>
      <c r="D297" s="30"/>
      <c r="E297" s="30"/>
      <c r="F297" s="30"/>
      <c r="G297" s="30"/>
      <c r="H297" s="30"/>
      <c r="I297" s="30"/>
      <c r="J297" s="30"/>
      <c r="K297" s="30"/>
      <c r="L297" s="30"/>
      <c r="M297" s="30"/>
    </row>
    <row r="298" ht="15.75" customHeight="1">
      <c r="A298" s="30"/>
      <c r="B298" s="30"/>
      <c r="C298" s="82"/>
      <c r="D298" s="30"/>
      <c r="E298" s="30"/>
      <c r="F298" s="30"/>
      <c r="G298" s="30"/>
      <c r="H298" s="30"/>
      <c r="I298" s="30"/>
      <c r="J298" s="30"/>
      <c r="K298" s="30"/>
      <c r="L298" s="30"/>
      <c r="M298" s="30"/>
    </row>
    <row r="299" ht="15.75" customHeight="1">
      <c r="A299" s="30"/>
      <c r="B299" s="30"/>
      <c r="C299" s="82"/>
      <c r="D299" s="30"/>
      <c r="E299" s="30"/>
      <c r="F299" s="30"/>
      <c r="G299" s="30"/>
      <c r="H299" s="30"/>
      <c r="I299" s="30"/>
      <c r="J299" s="30"/>
      <c r="K299" s="30"/>
      <c r="L299" s="30"/>
      <c r="M299" s="30"/>
    </row>
    <row r="300" ht="15.75" customHeight="1">
      <c r="A300" s="30"/>
      <c r="B300" s="30"/>
      <c r="C300" s="82"/>
      <c r="D300" s="30"/>
      <c r="E300" s="30"/>
      <c r="F300" s="30"/>
      <c r="G300" s="30"/>
      <c r="H300" s="30"/>
      <c r="I300" s="30"/>
      <c r="J300" s="30"/>
      <c r="K300" s="30"/>
      <c r="L300" s="30"/>
      <c r="M300" s="30"/>
    </row>
    <row r="301" ht="15.75" customHeight="1">
      <c r="A301" s="30"/>
      <c r="B301" s="30"/>
      <c r="C301" s="82"/>
      <c r="D301" s="30"/>
      <c r="E301" s="30"/>
      <c r="F301" s="30"/>
      <c r="G301" s="30"/>
      <c r="H301" s="30"/>
      <c r="I301" s="30"/>
      <c r="J301" s="30"/>
      <c r="K301" s="30"/>
      <c r="L301" s="30"/>
      <c r="M301" s="30"/>
    </row>
    <row r="302" ht="15.75" customHeight="1">
      <c r="A302" s="30"/>
      <c r="B302" s="30"/>
      <c r="C302" s="82"/>
      <c r="D302" s="30"/>
      <c r="E302" s="30"/>
      <c r="F302" s="30"/>
      <c r="G302" s="30"/>
      <c r="H302" s="30"/>
      <c r="I302" s="30"/>
      <c r="J302" s="30"/>
      <c r="K302" s="30"/>
      <c r="L302" s="30"/>
      <c r="M302" s="30"/>
    </row>
    <row r="303" ht="15.75" customHeight="1">
      <c r="A303" s="30"/>
      <c r="B303" s="30"/>
      <c r="C303" s="82"/>
      <c r="D303" s="30"/>
      <c r="E303" s="30"/>
      <c r="F303" s="30"/>
      <c r="G303" s="30"/>
      <c r="H303" s="30"/>
      <c r="I303" s="30"/>
      <c r="J303" s="30"/>
      <c r="K303" s="30"/>
      <c r="L303" s="30"/>
      <c r="M303" s="30"/>
    </row>
    <row r="304" ht="15.75" customHeight="1">
      <c r="A304" s="30"/>
      <c r="B304" s="30"/>
      <c r="C304" s="82"/>
      <c r="D304" s="30"/>
      <c r="E304" s="30"/>
      <c r="F304" s="30"/>
      <c r="G304" s="30"/>
      <c r="H304" s="30"/>
      <c r="I304" s="30"/>
      <c r="J304" s="30"/>
      <c r="K304" s="30"/>
      <c r="L304" s="30"/>
      <c r="M304" s="30"/>
    </row>
    <row r="305" ht="15.75" customHeight="1">
      <c r="A305" s="30"/>
      <c r="B305" s="30"/>
      <c r="C305" s="82"/>
      <c r="D305" s="30"/>
      <c r="E305" s="30"/>
      <c r="F305" s="30"/>
      <c r="G305" s="30"/>
      <c r="H305" s="30"/>
      <c r="I305" s="30"/>
      <c r="J305" s="30"/>
      <c r="K305" s="30"/>
      <c r="L305" s="30"/>
      <c r="M305" s="30"/>
    </row>
    <row r="306" ht="15.75" customHeight="1">
      <c r="A306" s="30"/>
      <c r="B306" s="30"/>
      <c r="C306" s="82"/>
      <c r="D306" s="30"/>
      <c r="E306" s="30"/>
      <c r="F306" s="30"/>
      <c r="G306" s="30"/>
      <c r="H306" s="30"/>
      <c r="I306" s="30"/>
      <c r="J306" s="30"/>
      <c r="K306" s="30"/>
      <c r="L306" s="30"/>
      <c r="M306" s="30"/>
    </row>
    <row r="307" ht="15.75" customHeight="1">
      <c r="A307" s="30"/>
      <c r="B307" s="30"/>
      <c r="C307" s="82"/>
      <c r="D307" s="30"/>
      <c r="E307" s="30"/>
      <c r="F307" s="30"/>
      <c r="G307" s="30"/>
      <c r="H307" s="30"/>
      <c r="I307" s="30"/>
      <c r="J307" s="30"/>
      <c r="K307" s="30"/>
      <c r="L307" s="30"/>
      <c r="M307" s="30"/>
    </row>
    <row r="308" ht="15.75" customHeight="1">
      <c r="A308" s="30"/>
      <c r="B308" s="30"/>
      <c r="C308" s="82"/>
      <c r="D308" s="30"/>
      <c r="E308" s="30"/>
      <c r="F308" s="30"/>
      <c r="G308" s="30"/>
      <c r="H308" s="30"/>
      <c r="I308" s="30"/>
      <c r="J308" s="30"/>
      <c r="K308" s="30"/>
      <c r="L308" s="30"/>
      <c r="M308" s="30"/>
    </row>
    <row r="309" ht="15.75" customHeight="1">
      <c r="A309" s="30"/>
      <c r="B309" s="30"/>
      <c r="C309" s="82"/>
      <c r="D309" s="30"/>
      <c r="E309" s="30"/>
      <c r="F309" s="30"/>
      <c r="G309" s="30"/>
      <c r="H309" s="30"/>
      <c r="I309" s="30"/>
      <c r="J309" s="30"/>
      <c r="K309" s="30"/>
      <c r="L309" s="30"/>
      <c r="M309" s="30"/>
    </row>
    <row r="310" ht="15.75" customHeight="1">
      <c r="A310" s="30"/>
      <c r="B310" s="30"/>
      <c r="C310" s="82"/>
      <c r="D310" s="30"/>
      <c r="E310" s="30"/>
      <c r="F310" s="30"/>
      <c r="G310" s="30"/>
      <c r="H310" s="30"/>
      <c r="I310" s="30"/>
      <c r="J310" s="30"/>
      <c r="K310" s="30"/>
      <c r="L310" s="30"/>
      <c r="M310" s="30"/>
    </row>
    <row r="311" ht="15.75" customHeight="1">
      <c r="A311" s="30"/>
      <c r="B311" s="30"/>
      <c r="C311" s="82"/>
      <c r="D311" s="30"/>
      <c r="E311" s="30"/>
      <c r="F311" s="30"/>
      <c r="G311" s="30"/>
      <c r="H311" s="30"/>
      <c r="I311" s="30"/>
      <c r="J311" s="30"/>
      <c r="K311" s="30"/>
      <c r="L311" s="30"/>
      <c r="M311" s="30"/>
    </row>
    <row r="312" ht="15.75" customHeight="1">
      <c r="A312" s="30"/>
      <c r="B312" s="30"/>
      <c r="C312" s="82"/>
      <c r="D312" s="30"/>
      <c r="E312" s="30"/>
      <c r="F312" s="30"/>
      <c r="G312" s="30"/>
      <c r="H312" s="30"/>
      <c r="I312" s="30"/>
      <c r="J312" s="30"/>
      <c r="K312" s="30"/>
      <c r="L312" s="30"/>
      <c r="M312" s="30"/>
    </row>
    <row r="313" ht="15.75" customHeight="1">
      <c r="A313" s="30"/>
      <c r="B313" s="30"/>
      <c r="C313" s="82"/>
      <c r="D313" s="30"/>
      <c r="E313" s="30"/>
      <c r="F313" s="30"/>
      <c r="G313" s="30"/>
      <c r="H313" s="30"/>
      <c r="I313" s="30"/>
      <c r="J313" s="30"/>
      <c r="K313" s="30"/>
      <c r="L313" s="30"/>
      <c r="M313" s="30"/>
    </row>
    <row r="314" ht="15.75" customHeight="1">
      <c r="A314" s="30"/>
      <c r="B314" s="30"/>
      <c r="C314" s="82"/>
      <c r="D314" s="30"/>
      <c r="E314" s="30"/>
      <c r="F314" s="30"/>
      <c r="G314" s="30"/>
      <c r="H314" s="30"/>
      <c r="I314" s="30"/>
      <c r="J314" s="30"/>
      <c r="K314" s="30"/>
      <c r="L314" s="30"/>
      <c r="M314" s="30"/>
    </row>
    <row r="315" ht="15.75" customHeight="1">
      <c r="A315" s="30"/>
      <c r="B315" s="30"/>
      <c r="C315" s="82"/>
      <c r="D315" s="30"/>
      <c r="E315" s="30"/>
      <c r="F315" s="30"/>
      <c r="G315" s="30"/>
      <c r="H315" s="30"/>
      <c r="I315" s="30"/>
      <c r="J315" s="30"/>
      <c r="K315" s="30"/>
      <c r="L315" s="30"/>
      <c r="M315" s="30"/>
    </row>
    <row r="316" ht="15.75" customHeight="1">
      <c r="A316" s="30"/>
      <c r="B316" s="30"/>
      <c r="C316" s="82"/>
      <c r="D316" s="30"/>
      <c r="E316" s="30"/>
      <c r="F316" s="30"/>
      <c r="G316" s="30"/>
      <c r="H316" s="30"/>
      <c r="I316" s="30"/>
      <c r="J316" s="30"/>
      <c r="K316" s="30"/>
      <c r="L316" s="30"/>
      <c r="M316" s="30"/>
    </row>
    <row r="317" ht="15.75" customHeight="1">
      <c r="A317" s="30"/>
      <c r="B317" s="30"/>
      <c r="C317" s="82"/>
      <c r="D317" s="30"/>
      <c r="E317" s="30"/>
      <c r="F317" s="30"/>
      <c r="G317" s="30"/>
      <c r="H317" s="30"/>
      <c r="I317" s="30"/>
      <c r="J317" s="30"/>
      <c r="K317" s="30"/>
      <c r="L317" s="30"/>
      <c r="M317" s="30"/>
    </row>
    <row r="318" ht="15.75" customHeight="1">
      <c r="A318" s="30"/>
      <c r="B318" s="30"/>
      <c r="C318" s="82"/>
      <c r="D318" s="30"/>
      <c r="E318" s="30"/>
      <c r="F318" s="30"/>
      <c r="G318" s="30"/>
      <c r="H318" s="30"/>
      <c r="I318" s="30"/>
      <c r="J318" s="30"/>
      <c r="K318" s="30"/>
      <c r="L318" s="30"/>
      <c r="M318" s="30"/>
    </row>
    <row r="319" ht="15.75" customHeight="1">
      <c r="A319" s="30"/>
      <c r="B319" s="30"/>
      <c r="C319" s="82"/>
      <c r="D319" s="30"/>
      <c r="E319" s="30"/>
      <c r="F319" s="30"/>
      <c r="G319" s="30"/>
      <c r="H319" s="30"/>
      <c r="I319" s="30"/>
      <c r="J319" s="30"/>
      <c r="K319" s="30"/>
      <c r="L319" s="30"/>
      <c r="M319" s="30"/>
    </row>
    <row r="320" ht="15.75" customHeight="1">
      <c r="A320" s="30"/>
      <c r="B320" s="30"/>
      <c r="C320" s="82"/>
      <c r="D320" s="30"/>
      <c r="E320" s="30"/>
      <c r="F320" s="30"/>
      <c r="G320" s="30"/>
      <c r="H320" s="30"/>
      <c r="I320" s="30"/>
      <c r="J320" s="30"/>
      <c r="K320" s="30"/>
      <c r="L320" s="30"/>
      <c r="M320" s="30"/>
    </row>
    <row r="321" ht="15.75" customHeight="1">
      <c r="A321" s="30"/>
      <c r="B321" s="30"/>
      <c r="C321" s="82"/>
      <c r="D321" s="30"/>
      <c r="E321" s="30"/>
      <c r="F321" s="30"/>
      <c r="G321" s="30"/>
      <c r="H321" s="30"/>
      <c r="I321" s="30"/>
      <c r="J321" s="30"/>
      <c r="K321" s="30"/>
      <c r="L321" s="30"/>
      <c r="M321" s="30"/>
    </row>
    <row r="322" ht="15.75" customHeight="1">
      <c r="A322" s="30"/>
      <c r="B322" s="30"/>
      <c r="C322" s="82"/>
      <c r="D322" s="30"/>
      <c r="E322" s="30"/>
      <c r="F322" s="30"/>
      <c r="G322" s="30"/>
      <c r="H322" s="30"/>
      <c r="I322" s="30"/>
      <c r="J322" s="30"/>
      <c r="K322" s="30"/>
      <c r="L322" s="30"/>
      <c r="M322" s="30"/>
    </row>
    <row r="323" ht="15.75" customHeight="1">
      <c r="A323" s="30"/>
      <c r="B323" s="30"/>
      <c r="C323" s="82"/>
      <c r="D323" s="30"/>
      <c r="E323" s="30"/>
      <c r="F323" s="30"/>
      <c r="G323" s="30"/>
      <c r="H323" s="30"/>
      <c r="I323" s="30"/>
      <c r="J323" s="30"/>
      <c r="K323" s="30"/>
      <c r="L323" s="30"/>
      <c r="M323" s="30"/>
    </row>
    <row r="324" ht="15.75" customHeight="1">
      <c r="A324" s="30"/>
      <c r="B324" s="30"/>
      <c r="C324" s="82"/>
      <c r="D324" s="30"/>
      <c r="E324" s="30"/>
      <c r="F324" s="30"/>
      <c r="G324" s="30"/>
      <c r="H324" s="30"/>
      <c r="I324" s="30"/>
      <c r="J324" s="30"/>
      <c r="K324" s="30"/>
      <c r="L324" s="30"/>
      <c r="M324" s="30"/>
    </row>
    <row r="325" ht="15.75" customHeight="1">
      <c r="A325" s="30"/>
      <c r="B325" s="30"/>
      <c r="C325" s="82"/>
      <c r="D325" s="30"/>
      <c r="E325" s="30"/>
      <c r="F325" s="30"/>
      <c r="G325" s="30"/>
      <c r="H325" s="30"/>
      <c r="I325" s="30"/>
      <c r="J325" s="30"/>
      <c r="K325" s="30"/>
      <c r="L325" s="30"/>
      <c r="M325" s="30"/>
    </row>
    <row r="326" ht="15.75" customHeight="1">
      <c r="A326" s="30"/>
      <c r="B326" s="30"/>
      <c r="C326" s="82"/>
      <c r="D326" s="30"/>
      <c r="E326" s="30"/>
      <c r="F326" s="30"/>
      <c r="G326" s="30"/>
      <c r="H326" s="30"/>
      <c r="I326" s="30"/>
      <c r="J326" s="30"/>
      <c r="K326" s="30"/>
      <c r="L326" s="30"/>
      <c r="M326" s="30"/>
    </row>
    <row r="327" ht="15.75" customHeight="1">
      <c r="A327" s="30"/>
      <c r="B327" s="30"/>
      <c r="C327" s="82"/>
      <c r="D327" s="30"/>
      <c r="E327" s="30"/>
      <c r="F327" s="30"/>
      <c r="G327" s="30"/>
      <c r="H327" s="30"/>
      <c r="I327" s="30"/>
      <c r="J327" s="30"/>
      <c r="K327" s="30"/>
      <c r="L327" s="30"/>
      <c r="M327" s="30"/>
    </row>
    <row r="328" ht="15.75" customHeight="1">
      <c r="A328" s="30"/>
      <c r="B328" s="30"/>
      <c r="C328" s="82"/>
      <c r="D328" s="30"/>
      <c r="E328" s="30"/>
      <c r="F328" s="30"/>
      <c r="G328" s="30"/>
      <c r="H328" s="30"/>
      <c r="I328" s="30"/>
      <c r="J328" s="30"/>
      <c r="K328" s="30"/>
      <c r="L328" s="30"/>
      <c r="M328" s="30"/>
    </row>
    <row r="329" ht="15.75" customHeight="1">
      <c r="A329" s="30"/>
      <c r="B329" s="30"/>
      <c r="C329" s="82"/>
      <c r="D329" s="30"/>
      <c r="E329" s="30"/>
      <c r="F329" s="30"/>
      <c r="G329" s="30"/>
      <c r="H329" s="30"/>
      <c r="I329" s="30"/>
      <c r="J329" s="30"/>
      <c r="K329" s="30"/>
      <c r="L329" s="30"/>
      <c r="M329" s="30"/>
    </row>
    <row r="330" ht="15.75" customHeight="1">
      <c r="A330" s="30"/>
      <c r="B330" s="30"/>
      <c r="C330" s="82"/>
      <c r="D330" s="30"/>
      <c r="E330" s="30"/>
      <c r="F330" s="30"/>
      <c r="G330" s="30"/>
      <c r="H330" s="30"/>
      <c r="I330" s="30"/>
      <c r="J330" s="30"/>
      <c r="K330" s="30"/>
      <c r="L330" s="30"/>
      <c r="M330" s="30"/>
    </row>
    <row r="331" ht="15.75" customHeight="1">
      <c r="A331" s="30"/>
      <c r="B331" s="30"/>
      <c r="C331" s="82"/>
      <c r="D331" s="30"/>
      <c r="E331" s="30"/>
      <c r="F331" s="30"/>
      <c r="G331" s="30"/>
      <c r="H331" s="30"/>
      <c r="I331" s="30"/>
      <c r="J331" s="30"/>
      <c r="K331" s="30"/>
      <c r="L331" s="30"/>
      <c r="M331" s="30"/>
    </row>
    <row r="332" ht="15.75" customHeight="1">
      <c r="A332" s="30"/>
      <c r="B332" s="30"/>
      <c r="C332" s="82"/>
      <c r="D332" s="30"/>
      <c r="E332" s="30"/>
      <c r="F332" s="30"/>
      <c r="G332" s="30"/>
      <c r="H332" s="30"/>
      <c r="I332" s="30"/>
      <c r="J332" s="30"/>
      <c r="K332" s="30"/>
      <c r="L332" s="30"/>
      <c r="M332" s="30"/>
    </row>
    <row r="333" ht="15.75" customHeight="1">
      <c r="A333" s="30"/>
      <c r="B333" s="30"/>
      <c r="C333" s="82"/>
      <c r="D333" s="30"/>
      <c r="E333" s="30"/>
      <c r="F333" s="30"/>
      <c r="G333" s="30"/>
      <c r="H333" s="30"/>
      <c r="I333" s="30"/>
      <c r="J333" s="30"/>
      <c r="K333" s="30"/>
      <c r="L333" s="30"/>
      <c r="M333" s="30"/>
    </row>
    <row r="334" ht="15.75" customHeight="1">
      <c r="A334" s="30"/>
      <c r="B334" s="30"/>
      <c r="C334" s="82"/>
      <c r="D334" s="30"/>
      <c r="E334" s="30"/>
      <c r="F334" s="30"/>
      <c r="G334" s="30"/>
      <c r="H334" s="30"/>
      <c r="I334" s="30"/>
      <c r="J334" s="30"/>
      <c r="K334" s="30"/>
      <c r="L334" s="30"/>
      <c r="M334" s="30"/>
    </row>
    <row r="335" ht="15.75" customHeight="1">
      <c r="A335" s="30"/>
      <c r="B335" s="30"/>
      <c r="C335" s="82"/>
      <c r="D335" s="30"/>
      <c r="E335" s="30"/>
      <c r="F335" s="30"/>
      <c r="G335" s="30"/>
      <c r="H335" s="30"/>
      <c r="I335" s="30"/>
      <c r="J335" s="30"/>
      <c r="K335" s="30"/>
      <c r="L335" s="30"/>
      <c r="M335" s="30"/>
    </row>
    <row r="336" ht="15.75" customHeight="1">
      <c r="A336" s="30"/>
      <c r="B336" s="30"/>
      <c r="C336" s="82"/>
      <c r="D336" s="30"/>
      <c r="E336" s="30"/>
      <c r="F336" s="30"/>
      <c r="G336" s="30"/>
      <c r="H336" s="30"/>
      <c r="I336" s="30"/>
      <c r="J336" s="30"/>
      <c r="K336" s="30"/>
      <c r="L336" s="30"/>
      <c r="M336" s="30"/>
    </row>
    <row r="337" ht="15.75" customHeight="1">
      <c r="A337" s="30"/>
      <c r="B337" s="30"/>
      <c r="C337" s="82"/>
      <c r="D337" s="30"/>
      <c r="E337" s="30"/>
      <c r="F337" s="30"/>
      <c r="G337" s="30"/>
      <c r="H337" s="30"/>
      <c r="I337" s="30"/>
      <c r="J337" s="30"/>
      <c r="K337" s="30"/>
      <c r="L337" s="30"/>
      <c r="M337" s="30"/>
    </row>
    <row r="338" ht="15.75" customHeight="1">
      <c r="A338" s="30"/>
      <c r="B338" s="30"/>
      <c r="C338" s="82"/>
      <c r="D338" s="30"/>
      <c r="E338" s="30"/>
      <c r="F338" s="30"/>
      <c r="G338" s="30"/>
      <c r="H338" s="30"/>
      <c r="I338" s="30"/>
      <c r="J338" s="30"/>
      <c r="K338" s="30"/>
      <c r="L338" s="30"/>
      <c r="M338" s="30"/>
    </row>
    <row r="339" ht="15.75" customHeight="1">
      <c r="A339" s="30"/>
      <c r="B339" s="30"/>
      <c r="C339" s="82"/>
      <c r="D339" s="30"/>
      <c r="E339" s="30"/>
      <c r="F339" s="30"/>
      <c r="G339" s="30"/>
      <c r="H339" s="30"/>
      <c r="I339" s="30"/>
      <c r="J339" s="30"/>
      <c r="K339" s="30"/>
      <c r="L339" s="30"/>
      <c r="M339" s="30"/>
    </row>
    <row r="340" ht="15.75" customHeight="1">
      <c r="A340" s="30"/>
      <c r="B340" s="30"/>
      <c r="C340" s="82"/>
      <c r="D340" s="30"/>
      <c r="E340" s="30"/>
      <c r="F340" s="30"/>
      <c r="G340" s="30"/>
      <c r="H340" s="30"/>
      <c r="I340" s="30"/>
      <c r="J340" s="30"/>
      <c r="K340" s="30"/>
      <c r="L340" s="30"/>
      <c r="M340" s="30"/>
    </row>
    <row r="341" ht="15.75" customHeight="1">
      <c r="A341" s="30"/>
      <c r="B341" s="30"/>
      <c r="C341" s="82"/>
      <c r="D341" s="30"/>
      <c r="E341" s="30"/>
      <c r="F341" s="30"/>
      <c r="G341" s="30"/>
      <c r="H341" s="30"/>
      <c r="I341" s="30"/>
      <c r="J341" s="30"/>
      <c r="K341" s="30"/>
      <c r="L341" s="30"/>
      <c r="M341" s="30"/>
    </row>
    <row r="342" ht="15.75" customHeight="1">
      <c r="A342" s="30"/>
      <c r="B342" s="30"/>
      <c r="C342" s="82"/>
      <c r="D342" s="30"/>
      <c r="E342" s="30"/>
      <c r="F342" s="30"/>
      <c r="G342" s="30"/>
      <c r="H342" s="30"/>
      <c r="I342" s="30"/>
      <c r="J342" s="30"/>
      <c r="K342" s="30"/>
      <c r="L342" s="30"/>
      <c r="M342" s="30"/>
    </row>
    <row r="343" ht="15.75" customHeight="1">
      <c r="A343" s="30"/>
      <c r="B343" s="30"/>
      <c r="C343" s="82"/>
      <c r="D343" s="30"/>
      <c r="E343" s="30"/>
      <c r="F343" s="30"/>
      <c r="G343" s="30"/>
      <c r="H343" s="30"/>
      <c r="I343" s="30"/>
      <c r="J343" s="30"/>
      <c r="K343" s="30"/>
      <c r="L343" s="30"/>
      <c r="M343" s="30"/>
    </row>
    <row r="344" ht="15.75" customHeight="1">
      <c r="A344" s="30"/>
      <c r="B344" s="30"/>
      <c r="C344" s="82"/>
      <c r="D344" s="30"/>
      <c r="E344" s="30"/>
      <c r="F344" s="30"/>
      <c r="G344" s="30"/>
      <c r="H344" s="30"/>
      <c r="I344" s="30"/>
      <c r="J344" s="30"/>
      <c r="K344" s="30"/>
      <c r="L344" s="30"/>
      <c r="M344" s="30"/>
    </row>
    <row r="345" ht="15.75" customHeight="1">
      <c r="A345" s="30"/>
      <c r="B345" s="30"/>
      <c r="C345" s="82"/>
      <c r="D345" s="30"/>
      <c r="E345" s="30"/>
      <c r="F345" s="30"/>
      <c r="G345" s="30"/>
      <c r="H345" s="30"/>
      <c r="I345" s="30"/>
      <c r="J345" s="30"/>
      <c r="K345" s="30"/>
      <c r="L345" s="30"/>
      <c r="M345" s="30"/>
    </row>
    <row r="346" ht="15.75" customHeight="1">
      <c r="A346" s="30"/>
      <c r="B346" s="30"/>
      <c r="C346" s="82"/>
      <c r="D346" s="30"/>
      <c r="E346" s="30"/>
      <c r="F346" s="30"/>
      <c r="G346" s="30"/>
      <c r="H346" s="30"/>
      <c r="I346" s="30"/>
      <c r="J346" s="30"/>
      <c r="K346" s="30"/>
      <c r="L346" s="30"/>
      <c r="M346" s="30"/>
    </row>
    <row r="347" ht="15.75" customHeight="1">
      <c r="A347" s="30"/>
      <c r="B347" s="30"/>
      <c r="C347" s="82"/>
      <c r="D347" s="30"/>
      <c r="E347" s="30"/>
      <c r="F347" s="30"/>
      <c r="G347" s="30"/>
      <c r="H347" s="30"/>
      <c r="I347" s="30"/>
      <c r="J347" s="30"/>
      <c r="K347" s="30"/>
      <c r="L347" s="30"/>
      <c r="M347" s="30"/>
    </row>
    <row r="348" ht="15.75" customHeight="1">
      <c r="A348" s="30"/>
      <c r="B348" s="30"/>
      <c r="C348" s="82"/>
      <c r="D348" s="30"/>
      <c r="E348" s="30"/>
      <c r="F348" s="30"/>
      <c r="G348" s="30"/>
      <c r="H348" s="30"/>
      <c r="I348" s="30"/>
      <c r="J348" s="30"/>
      <c r="K348" s="30"/>
      <c r="L348" s="30"/>
      <c r="M348" s="30"/>
    </row>
    <row r="349" ht="15.75" customHeight="1">
      <c r="A349" s="30"/>
      <c r="B349" s="30"/>
      <c r="C349" s="82"/>
      <c r="D349" s="30"/>
      <c r="E349" s="30"/>
      <c r="F349" s="30"/>
      <c r="G349" s="30"/>
      <c r="H349" s="30"/>
      <c r="I349" s="30"/>
      <c r="J349" s="30"/>
      <c r="K349" s="30"/>
      <c r="L349" s="30"/>
      <c r="M349" s="30"/>
    </row>
    <row r="350" ht="15.75" customHeight="1">
      <c r="A350" s="30"/>
      <c r="B350" s="30"/>
      <c r="C350" s="82"/>
      <c r="D350" s="30"/>
      <c r="E350" s="30"/>
      <c r="F350" s="30"/>
      <c r="G350" s="30"/>
      <c r="H350" s="30"/>
      <c r="I350" s="30"/>
      <c r="J350" s="30"/>
      <c r="K350" s="30"/>
      <c r="L350" s="30"/>
      <c r="M350" s="30"/>
    </row>
    <row r="351" ht="15.75" customHeight="1">
      <c r="A351" s="30"/>
      <c r="B351" s="30"/>
      <c r="C351" s="82"/>
      <c r="D351" s="30"/>
      <c r="E351" s="30"/>
      <c r="F351" s="30"/>
      <c r="G351" s="30"/>
      <c r="H351" s="30"/>
      <c r="I351" s="30"/>
      <c r="J351" s="30"/>
      <c r="K351" s="30"/>
      <c r="L351" s="30"/>
      <c r="M351" s="30"/>
    </row>
    <row r="352" ht="15.75" customHeight="1">
      <c r="A352" s="30"/>
      <c r="B352" s="30"/>
      <c r="C352" s="82"/>
      <c r="D352" s="30"/>
      <c r="E352" s="30"/>
      <c r="F352" s="30"/>
      <c r="G352" s="30"/>
      <c r="H352" s="30"/>
      <c r="I352" s="30"/>
      <c r="J352" s="30"/>
      <c r="K352" s="30"/>
      <c r="L352" s="30"/>
      <c r="M352" s="30"/>
    </row>
    <row r="353" ht="15.75" customHeight="1">
      <c r="A353" s="30"/>
      <c r="B353" s="30"/>
      <c r="C353" s="82"/>
      <c r="D353" s="30"/>
      <c r="E353" s="30"/>
      <c r="F353" s="30"/>
      <c r="G353" s="30"/>
      <c r="H353" s="30"/>
      <c r="I353" s="30"/>
      <c r="J353" s="30"/>
      <c r="K353" s="30"/>
      <c r="L353" s="30"/>
      <c r="M353" s="30"/>
    </row>
    <row r="354" ht="15.75" customHeight="1">
      <c r="A354" s="30"/>
      <c r="B354" s="30"/>
      <c r="C354" s="82"/>
      <c r="D354" s="30"/>
      <c r="E354" s="30"/>
      <c r="F354" s="30"/>
      <c r="G354" s="30"/>
      <c r="H354" s="30"/>
      <c r="I354" s="30"/>
      <c r="J354" s="30"/>
      <c r="K354" s="30"/>
      <c r="L354" s="30"/>
      <c r="M354" s="30"/>
    </row>
    <row r="355" ht="15.75" customHeight="1">
      <c r="A355" s="30"/>
      <c r="B355" s="30"/>
      <c r="C355" s="82"/>
      <c r="D355" s="30"/>
      <c r="E355" s="30"/>
      <c r="F355" s="30"/>
      <c r="G355" s="30"/>
      <c r="H355" s="30"/>
      <c r="I355" s="30"/>
      <c r="J355" s="30"/>
      <c r="K355" s="30"/>
      <c r="L355" s="30"/>
      <c r="M355" s="30"/>
    </row>
    <row r="356" ht="15.75" customHeight="1">
      <c r="A356" s="30"/>
      <c r="B356" s="30"/>
      <c r="C356" s="82"/>
      <c r="D356" s="30"/>
      <c r="E356" s="30"/>
      <c r="F356" s="30"/>
      <c r="G356" s="30"/>
      <c r="H356" s="30"/>
      <c r="I356" s="30"/>
      <c r="J356" s="30"/>
      <c r="K356" s="30"/>
      <c r="L356" s="30"/>
      <c r="M356" s="30"/>
    </row>
    <row r="357" ht="15.75" customHeight="1">
      <c r="A357" s="30"/>
      <c r="B357" s="30"/>
      <c r="C357" s="82"/>
      <c r="D357" s="30"/>
      <c r="E357" s="30"/>
      <c r="F357" s="30"/>
      <c r="G357" s="30"/>
      <c r="H357" s="30"/>
      <c r="I357" s="30"/>
      <c r="J357" s="30"/>
      <c r="K357" s="30"/>
      <c r="L357" s="30"/>
      <c r="M357" s="30"/>
    </row>
    <row r="358" ht="15.75" customHeight="1">
      <c r="A358" s="30"/>
      <c r="B358" s="30"/>
      <c r="C358" s="82"/>
      <c r="D358" s="30"/>
      <c r="E358" s="30"/>
      <c r="F358" s="30"/>
      <c r="G358" s="30"/>
      <c r="H358" s="30"/>
      <c r="I358" s="30"/>
      <c r="J358" s="30"/>
      <c r="K358" s="30"/>
      <c r="L358" s="30"/>
      <c r="M358" s="30"/>
    </row>
    <row r="359" ht="15.75" customHeight="1">
      <c r="A359" s="30"/>
      <c r="B359" s="30"/>
      <c r="C359" s="82"/>
      <c r="D359" s="30"/>
      <c r="E359" s="30"/>
      <c r="F359" s="30"/>
      <c r="G359" s="30"/>
      <c r="H359" s="30"/>
      <c r="I359" s="30"/>
      <c r="J359" s="30"/>
      <c r="K359" s="30"/>
      <c r="L359" s="30"/>
      <c r="M359" s="30"/>
    </row>
    <row r="360" ht="15.75" customHeight="1">
      <c r="A360" s="30"/>
      <c r="B360" s="30"/>
      <c r="C360" s="82"/>
      <c r="D360" s="30"/>
      <c r="E360" s="30"/>
      <c r="F360" s="30"/>
      <c r="G360" s="30"/>
      <c r="H360" s="30"/>
      <c r="I360" s="30"/>
      <c r="J360" s="30"/>
      <c r="K360" s="30"/>
      <c r="L360" s="30"/>
      <c r="M360" s="30"/>
    </row>
    <row r="361" ht="15.75" customHeight="1">
      <c r="A361" s="30"/>
      <c r="B361" s="30"/>
      <c r="C361" s="82"/>
      <c r="D361" s="30"/>
      <c r="E361" s="30"/>
      <c r="F361" s="30"/>
      <c r="G361" s="30"/>
      <c r="H361" s="30"/>
      <c r="I361" s="30"/>
      <c r="J361" s="30"/>
      <c r="K361" s="30"/>
      <c r="L361" s="30"/>
      <c r="M361" s="30"/>
    </row>
    <row r="362" ht="15.75" customHeight="1">
      <c r="A362" s="30"/>
      <c r="B362" s="30"/>
      <c r="C362" s="82"/>
      <c r="D362" s="30"/>
      <c r="E362" s="30"/>
      <c r="F362" s="30"/>
      <c r="G362" s="30"/>
      <c r="H362" s="30"/>
      <c r="I362" s="30"/>
      <c r="J362" s="30"/>
      <c r="K362" s="30"/>
      <c r="L362" s="30"/>
      <c r="M362" s="30"/>
    </row>
    <row r="363" ht="15.75" customHeight="1">
      <c r="A363" s="30"/>
      <c r="B363" s="30"/>
      <c r="C363" s="82"/>
      <c r="D363" s="30"/>
      <c r="E363" s="30"/>
      <c r="F363" s="30"/>
      <c r="G363" s="30"/>
      <c r="H363" s="30"/>
      <c r="I363" s="30"/>
      <c r="J363" s="30"/>
      <c r="K363" s="30"/>
      <c r="L363" s="30"/>
      <c r="M363" s="30"/>
    </row>
    <row r="364" ht="15.75" customHeight="1">
      <c r="A364" s="30"/>
      <c r="B364" s="30"/>
      <c r="C364" s="82"/>
      <c r="D364" s="30"/>
      <c r="E364" s="30"/>
      <c r="F364" s="30"/>
      <c r="G364" s="30"/>
      <c r="H364" s="30"/>
      <c r="I364" s="30"/>
      <c r="J364" s="30"/>
      <c r="K364" s="30"/>
      <c r="L364" s="30"/>
      <c r="M364" s="30"/>
    </row>
    <row r="365" ht="15.75" customHeight="1">
      <c r="A365" s="30"/>
      <c r="B365" s="30"/>
      <c r="C365" s="82"/>
      <c r="D365" s="30"/>
      <c r="E365" s="30"/>
      <c r="F365" s="30"/>
      <c r="G365" s="30"/>
      <c r="H365" s="30"/>
      <c r="I365" s="30"/>
      <c r="J365" s="30"/>
      <c r="K365" s="30"/>
      <c r="L365" s="30"/>
      <c r="M365" s="30"/>
    </row>
    <row r="366" ht="15.75" customHeight="1">
      <c r="A366" s="30"/>
      <c r="B366" s="30"/>
      <c r="C366" s="82"/>
      <c r="D366" s="30"/>
      <c r="E366" s="30"/>
      <c r="F366" s="30"/>
      <c r="G366" s="30"/>
      <c r="H366" s="30"/>
      <c r="I366" s="30"/>
      <c r="J366" s="30"/>
      <c r="K366" s="30"/>
      <c r="L366" s="30"/>
      <c r="M366" s="30"/>
    </row>
    <row r="367" ht="15.75" customHeight="1">
      <c r="A367" s="30"/>
      <c r="B367" s="30"/>
      <c r="C367" s="82"/>
      <c r="D367" s="30"/>
      <c r="E367" s="30"/>
      <c r="F367" s="30"/>
      <c r="G367" s="30"/>
      <c r="H367" s="30"/>
      <c r="I367" s="30"/>
      <c r="J367" s="30"/>
      <c r="K367" s="30"/>
      <c r="L367" s="30"/>
      <c r="M367" s="30"/>
    </row>
    <row r="368" ht="15.75" customHeight="1">
      <c r="A368" s="30"/>
      <c r="B368" s="30"/>
      <c r="C368" s="82"/>
      <c r="D368" s="30"/>
      <c r="E368" s="30"/>
      <c r="F368" s="30"/>
      <c r="G368" s="30"/>
      <c r="H368" s="30"/>
      <c r="I368" s="30"/>
      <c r="J368" s="30"/>
      <c r="K368" s="30"/>
      <c r="L368" s="30"/>
      <c r="M368" s="30"/>
    </row>
    <row r="369" ht="15.75" customHeight="1">
      <c r="A369" s="30"/>
      <c r="B369" s="30"/>
      <c r="C369" s="82"/>
      <c r="D369" s="30"/>
      <c r="E369" s="30"/>
      <c r="F369" s="30"/>
      <c r="G369" s="30"/>
      <c r="H369" s="30"/>
      <c r="I369" s="30"/>
      <c r="J369" s="30"/>
      <c r="K369" s="30"/>
      <c r="L369" s="30"/>
      <c r="M369" s="30"/>
    </row>
    <row r="370" ht="15.75" customHeight="1">
      <c r="A370" s="30"/>
      <c r="B370" s="30"/>
      <c r="C370" s="82"/>
      <c r="D370" s="30"/>
      <c r="E370" s="30"/>
      <c r="F370" s="30"/>
      <c r="G370" s="30"/>
      <c r="H370" s="30"/>
      <c r="I370" s="30"/>
      <c r="J370" s="30"/>
      <c r="K370" s="30"/>
      <c r="L370" s="30"/>
      <c r="M370" s="30"/>
    </row>
    <row r="371" ht="15.75" customHeight="1">
      <c r="A371" s="30"/>
      <c r="B371" s="30"/>
      <c r="C371" s="82"/>
      <c r="D371" s="30"/>
      <c r="E371" s="30"/>
      <c r="F371" s="30"/>
      <c r="G371" s="30"/>
      <c r="H371" s="30"/>
      <c r="I371" s="30"/>
      <c r="J371" s="30"/>
      <c r="K371" s="30"/>
      <c r="L371" s="30"/>
      <c r="M371" s="30"/>
    </row>
    <row r="372" ht="15.75" customHeight="1">
      <c r="A372" s="30"/>
      <c r="B372" s="30"/>
      <c r="C372" s="82"/>
      <c r="D372" s="30"/>
      <c r="E372" s="30"/>
      <c r="F372" s="30"/>
      <c r="G372" s="30"/>
      <c r="H372" s="30"/>
      <c r="I372" s="30"/>
      <c r="J372" s="30"/>
      <c r="K372" s="30"/>
      <c r="L372" s="30"/>
      <c r="M372" s="30"/>
    </row>
    <row r="373" ht="15.75" customHeight="1">
      <c r="A373" s="30"/>
      <c r="B373" s="30"/>
      <c r="C373" s="82"/>
      <c r="D373" s="30"/>
      <c r="E373" s="30"/>
      <c r="F373" s="30"/>
      <c r="G373" s="30"/>
      <c r="H373" s="30"/>
      <c r="I373" s="30"/>
      <c r="J373" s="30"/>
      <c r="K373" s="30"/>
      <c r="L373" s="30"/>
      <c r="M373" s="30"/>
    </row>
    <row r="374" ht="15.75" customHeight="1">
      <c r="A374" s="30"/>
      <c r="B374" s="30"/>
      <c r="C374" s="82"/>
      <c r="D374" s="30"/>
      <c r="E374" s="30"/>
      <c r="F374" s="30"/>
      <c r="G374" s="30"/>
      <c r="H374" s="30"/>
      <c r="I374" s="30"/>
      <c r="J374" s="30"/>
      <c r="K374" s="30"/>
      <c r="L374" s="30"/>
      <c r="M374" s="30"/>
    </row>
    <row r="375" ht="15.75" customHeight="1">
      <c r="A375" s="30"/>
      <c r="B375" s="30"/>
      <c r="C375" s="82"/>
      <c r="D375" s="30"/>
      <c r="E375" s="30"/>
      <c r="F375" s="30"/>
      <c r="G375" s="30"/>
      <c r="H375" s="30"/>
      <c r="I375" s="30"/>
      <c r="J375" s="30"/>
      <c r="K375" s="30"/>
      <c r="L375" s="30"/>
      <c r="M375" s="30"/>
    </row>
    <row r="376" ht="15.75" customHeight="1">
      <c r="A376" s="30"/>
      <c r="B376" s="30"/>
      <c r="C376" s="82"/>
      <c r="D376" s="30"/>
      <c r="E376" s="30"/>
      <c r="F376" s="30"/>
      <c r="G376" s="30"/>
      <c r="H376" s="30"/>
      <c r="I376" s="30"/>
      <c r="J376" s="30"/>
      <c r="K376" s="30"/>
      <c r="L376" s="30"/>
      <c r="M376" s="30"/>
    </row>
    <row r="377" ht="15.75" customHeight="1">
      <c r="A377" s="30"/>
      <c r="B377" s="30"/>
      <c r="C377" s="82"/>
      <c r="D377" s="30"/>
      <c r="E377" s="30"/>
      <c r="F377" s="30"/>
      <c r="G377" s="30"/>
      <c r="H377" s="30"/>
      <c r="I377" s="30"/>
      <c r="J377" s="30"/>
      <c r="K377" s="30"/>
      <c r="L377" s="30"/>
      <c r="M377" s="30"/>
    </row>
    <row r="378" ht="15.75" customHeight="1">
      <c r="A378" s="30"/>
      <c r="B378" s="30"/>
      <c r="C378" s="82"/>
      <c r="D378" s="30"/>
      <c r="E378" s="30"/>
      <c r="F378" s="30"/>
      <c r="G378" s="30"/>
      <c r="H378" s="30"/>
      <c r="I378" s="30"/>
      <c r="J378" s="30"/>
      <c r="K378" s="30"/>
      <c r="L378" s="30"/>
      <c r="M378" s="30"/>
    </row>
    <row r="379" ht="15.75" customHeight="1">
      <c r="A379" s="30"/>
      <c r="B379" s="30"/>
      <c r="C379" s="82"/>
      <c r="D379" s="30"/>
      <c r="E379" s="30"/>
      <c r="F379" s="30"/>
      <c r="G379" s="30"/>
      <c r="H379" s="30"/>
      <c r="I379" s="30"/>
      <c r="J379" s="30"/>
      <c r="K379" s="30"/>
      <c r="L379" s="30"/>
      <c r="M379" s="30"/>
    </row>
    <row r="380" ht="15.75" customHeight="1">
      <c r="A380" s="30"/>
      <c r="B380" s="30"/>
      <c r="C380" s="82"/>
      <c r="D380" s="30"/>
      <c r="E380" s="30"/>
      <c r="F380" s="30"/>
      <c r="G380" s="30"/>
      <c r="H380" s="30"/>
      <c r="I380" s="30"/>
      <c r="J380" s="30"/>
      <c r="K380" s="30"/>
      <c r="L380" s="30"/>
      <c r="M380" s="30"/>
    </row>
    <row r="381" ht="15.75" customHeight="1">
      <c r="A381" s="30"/>
      <c r="B381" s="30"/>
      <c r="C381" s="82"/>
      <c r="D381" s="30"/>
      <c r="E381" s="30"/>
      <c r="F381" s="30"/>
      <c r="G381" s="30"/>
      <c r="H381" s="30"/>
      <c r="I381" s="30"/>
      <c r="J381" s="30"/>
      <c r="K381" s="30"/>
      <c r="L381" s="30"/>
      <c r="M381" s="30"/>
    </row>
    <row r="382" ht="15.75" customHeight="1">
      <c r="A382" s="30"/>
      <c r="B382" s="30"/>
      <c r="C382" s="82"/>
      <c r="D382" s="30"/>
      <c r="E382" s="30"/>
      <c r="F382" s="30"/>
      <c r="G382" s="30"/>
      <c r="H382" s="30"/>
      <c r="I382" s="30"/>
      <c r="J382" s="30"/>
      <c r="K382" s="30"/>
      <c r="L382" s="30"/>
      <c r="M382" s="30"/>
    </row>
    <row r="383" ht="15.75" customHeight="1">
      <c r="A383" s="30"/>
      <c r="B383" s="30"/>
      <c r="C383" s="82"/>
      <c r="D383" s="30"/>
      <c r="E383" s="30"/>
      <c r="F383" s="30"/>
      <c r="G383" s="30"/>
      <c r="H383" s="30"/>
      <c r="I383" s="30"/>
      <c r="J383" s="30"/>
      <c r="K383" s="30"/>
      <c r="L383" s="30"/>
      <c r="M383" s="30"/>
    </row>
    <row r="384" ht="15.75" customHeight="1">
      <c r="A384" s="30"/>
      <c r="B384" s="30"/>
      <c r="C384" s="82"/>
      <c r="D384" s="30"/>
      <c r="E384" s="30"/>
      <c r="F384" s="30"/>
      <c r="G384" s="30"/>
      <c r="H384" s="30"/>
      <c r="I384" s="30"/>
      <c r="J384" s="30"/>
      <c r="K384" s="30"/>
      <c r="L384" s="30"/>
      <c r="M384" s="30"/>
    </row>
    <row r="385" ht="15.75" customHeight="1">
      <c r="A385" s="30"/>
      <c r="B385" s="30"/>
      <c r="C385" s="82"/>
      <c r="D385" s="30"/>
      <c r="E385" s="30"/>
      <c r="F385" s="30"/>
      <c r="G385" s="30"/>
      <c r="H385" s="30"/>
      <c r="I385" s="30"/>
      <c r="J385" s="30"/>
      <c r="K385" s="30"/>
      <c r="L385" s="30"/>
      <c r="M385" s="30"/>
    </row>
    <row r="386" ht="15.75" customHeight="1">
      <c r="A386" s="30"/>
      <c r="B386" s="30"/>
      <c r="C386" s="82"/>
      <c r="D386" s="30"/>
      <c r="E386" s="30"/>
      <c r="F386" s="30"/>
      <c r="G386" s="30"/>
      <c r="H386" s="30"/>
      <c r="I386" s="30"/>
      <c r="J386" s="30"/>
      <c r="K386" s="30"/>
      <c r="L386" s="30"/>
      <c r="M386" s="30"/>
    </row>
    <row r="387" ht="15.75" customHeight="1">
      <c r="A387" s="30"/>
      <c r="B387" s="30"/>
      <c r="C387" s="82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 ht="15.75" customHeight="1">
      <c r="A388" s="30"/>
      <c r="B388" s="30"/>
      <c r="C388" s="82"/>
      <c r="D388" s="30"/>
      <c r="E388" s="30"/>
      <c r="F388" s="30"/>
      <c r="G388" s="30"/>
      <c r="H388" s="30"/>
      <c r="I388" s="30"/>
      <c r="J388" s="30"/>
      <c r="K388" s="30"/>
      <c r="L388" s="30"/>
      <c r="M388" s="30"/>
    </row>
    <row r="389" ht="15.75" customHeight="1">
      <c r="A389" s="30"/>
      <c r="B389" s="30"/>
      <c r="C389" s="82"/>
      <c r="D389" s="30"/>
      <c r="E389" s="30"/>
      <c r="F389" s="30"/>
      <c r="G389" s="30"/>
      <c r="H389" s="30"/>
      <c r="I389" s="30"/>
      <c r="J389" s="30"/>
      <c r="K389" s="30"/>
      <c r="L389" s="30"/>
      <c r="M389" s="30"/>
    </row>
    <row r="390" ht="15.75" customHeight="1">
      <c r="A390" s="30"/>
      <c r="B390" s="30"/>
      <c r="C390" s="82"/>
      <c r="D390" s="30"/>
      <c r="E390" s="30"/>
      <c r="F390" s="30"/>
      <c r="G390" s="30"/>
      <c r="H390" s="30"/>
      <c r="I390" s="30"/>
      <c r="J390" s="30"/>
      <c r="K390" s="30"/>
      <c r="L390" s="30"/>
      <c r="M390" s="30"/>
    </row>
    <row r="391" ht="15.75" customHeight="1">
      <c r="A391" s="30"/>
      <c r="B391" s="30"/>
      <c r="C391" s="82"/>
      <c r="D391" s="30"/>
      <c r="E391" s="30"/>
      <c r="F391" s="30"/>
      <c r="G391" s="30"/>
      <c r="H391" s="30"/>
      <c r="I391" s="30"/>
      <c r="J391" s="30"/>
      <c r="K391" s="30"/>
      <c r="L391" s="30"/>
      <c r="M391" s="30"/>
    </row>
    <row r="392" ht="15.75" customHeight="1">
      <c r="A392" s="30"/>
      <c r="B392" s="30"/>
      <c r="C392" s="82"/>
      <c r="D392" s="30"/>
      <c r="E392" s="30"/>
      <c r="F392" s="30"/>
      <c r="G392" s="30"/>
      <c r="H392" s="30"/>
      <c r="I392" s="30"/>
      <c r="J392" s="30"/>
      <c r="K392" s="30"/>
      <c r="L392" s="30"/>
      <c r="M392" s="30"/>
    </row>
    <row r="393" ht="15.75" customHeight="1">
      <c r="A393" s="30"/>
      <c r="B393" s="30"/>
      <c r="C393" s="82"/>
      <c r="D393" s="30"/>
      <c r="E393" s="30"/>
      <c r="F393" s="30"/>
      <c r="G393" s="30"/>
      <c r="H393" s="30"/>
      <c r="I393" s="30"/>
      <c r="J393" s="30"/>
      <c r="K393" s="30"/>
      <c r="L393" s="30"/>
      <c r="M393" s="30"/>
    </row>
    <row r="394" ht="15.75" customHeight="1">
      <c r="A394" s="30"/>
      <c r="B394" s="30"/>
      <c r="C394" s="82"/>
      <c r="D394" s="30"/>
      <c r="E394" s="30"/>
      <c r="F394" s="30"/>
      <c r="G394" s="30"/>
      <c r="H394" s="30"/>
      <c r="I394" s="30"/>
      <c r="J394" s="30"/>
      <c r="K394" s="30"/>
      <c r="L394" s="30"/>
      <c r="M394" s="30"/>
    </row>
    <row r="395" ht="15.75" customHeight="1">
      <c r="A395" s="30"/>
      <c r="B395" s="30"/>
      <c r="C395" s="82"/>
      <c r="D395" s="30"/>
      <c r="E395" s="30"/>
      <c r="F395" s="30"/>
      <c r="G395" s="30"/>
      <c r="H395" s="30"/>
      <c r="I395" s="30"/>
      <c r="J395" s="30"/>
      <c r="K395" s="30"/>
      <c r="L395" s="30"/>
      <c r="M395" s="30"/>
    </row>
    <row r="396" ht="15.75" customHeight="1">
      <c r="A396" s="30"/>
      <c r="B396" s="30"/>
      <c r="C396" s="82"/>
      <c r="D396" s="30"/>
      <c r="E396" s="30"/>
      <c r="F396" s="30"/>
      <c r="G396" s="30"/>
      <c r="H396" s="30"/>
      <c r="I396" s="30"/>
      <c r="J396" s="30"/>
      <c r="K396" s="30"/>
      <c r="L396" s="30"/>
      <c r="M396" s="30"/>
    </row>
    <row r="397" ht="15.75" customHeight="1">
      <c r="A397" s="30"/>
      <c r="B397" s="30"/>
      <c r="C397" s="82"/>
      <c r="D397" s="30"/>
      <c r="E397" s="30"/>
      <c r="F397" s="30"/>
      <c r="G397" s="30"/>
      <c r="H397" s="30"/>
      <c r="I397" s="30"/>
      <c r="J397" s="30"/>
      <c r="K397" s="30"/>
      <c r="L397" s="30"/>
      <c r="M397" s="30"/>
    </row>
    <row r="398" ht="15.75" customHeight="1">
      <c r="A398" s="30"/>
      <c r="B398" s="30"/>
      <c r="C398" s="82"/>
      <c r="D398" s="30"/>
      <c r="E398" s="30"/>
      <c r="F398" s="30"/>
      <c r="G398" s="30"/>
      <c r="H398" s="30"/>
      <c r="I398" s="30"/>
      <c r="J398" s="30"/>
      <c r="K398" s="30"/>
      <c r="L398" s="30"/>
      <c r="M398" s="30"/>
    </row>
    <row r="399" ht="15.75" customHeight="1">
      <c r="A399" s="30"/>
      <c r="B399" s="30"/>
      <c r="C399" s="82"/>
      <c r="D399" s="30"/>
      <c r="E399" s="30"/>
      <c r="F399" s="30"/>
      <c r="G399" s="30"/>
      <c r="H399" s="30"/>
      <c r="I399" s="30"/>
      <c r="J399" s="30"/>
      <c r="K399" s="30"/>
      <c r="L399" s="30"/>
      <c r="M399" s="30"/>
    </row>
    <row r="400" ht="15.75" customHeight="1">
      <c r="A400" s="30"/>
      <c r="B400" s="30"/>
      <c r="C400" s="82"/>
      <c r="D400" s="30"/>
      <c r="E400" s="30"/>
      <c r="F400" s="30"/>
      <c r="G400" s="30"/>
      <c r="H400" s="30"/>
      <c r="I400" s="30"/>
      <c r="J400" s="30"/>
      <c r="K400" s="30"/>
      <c r="L400" s="30"/>
      <c r="M400" s="30"/>
    </row>
    <row r="401" ht="15.75" customHeight="1">
      <c r="A401" s="30"/>
      <c r="B401" s="30"/>
      <c r="C401" s="82"/>
      <c r="D401" s="30"/>
      <c r="E401" s="30"/>
      <c r="F401" s="30"/>
      <c r="G401" s="30"/>
      <c r="H401" s="30"/>
      <c r="I401" s="30"/>
      <c r="J401" s="30"/>
      <c r="K401" s="30"/>
      <c r="L401" s="30"/>
      <c r="M401" s="30"/>
    </row>
    <row r="402" ht="15.75" customHeight="1">
      <c r="A402" s="30"/>
      <c r="B402" s="30"/>
      <c r="C402" s="82"/>
      <c r="D402" s="30"/>
      <c r="E402" s="30"/>
      <c r="F402" s="30"/>
      <c r="G402" s="30"/>
      <c r="H402" s="30"/>
      <c r="I402" s="30"/>
      <c r="J402" s="30"/>
      <c r="K402" s="30"/>
      <c r="L402" s="30"/>
      <c r="M402" s="30"/>
    </row>
    <row r="403" ht="15.75" customHeight="1">
      <c r="A403" s="30"/>
      <c r="B403" s="30"/>
      <c r="C403" s="82"/>
      <c r="D403" s="30"/>
      <c r="E403" s="30"/>
      <c r="F403" s="30"/>
      <c r="G403" s="30"/>
      <c r="H403" s="30"/>
      <c r="I403" s="30"/>
      <c r="J403" s="30"/>
      <c r="K403" s="30"/>
      <c r="L403" s="30"/>
      <c r="M403" s="30"/>
    </row>
    <row r="404" ht="15.75" customHeight="1">
      <c r="A404" s="30"/>
      <c r="B404" s="30"/>
      <c r="C404" s="82"/>
      <c r="D404" s="30"/>
      <c r="E404" s="30"/>
      <c r="F404" s="30"/>
      <c r="G404" s="30"/>
      <c r="H404" s="30"/>
      <c r="I404" s="30"/>
      <c r="J404" s="30"/>
      <c r="K404" s="30"/>
      <c r="L404" s="30"/>
      <c r="M404" s="30"/>
    </row>
    <row r="405" ht="15.75" customHeight="1">
      <c r="A405" s="30"/>
      <c r="B405" s="30"/>
      <c r="C405" s="82"/>
      <c r="D405" s="30"/>
      <c r="E405" s="30"/>
      <c r="F405" s="30"/>
      <c r="G405" s="30"/>
      <c r="H405" s="30"/>
      <c r="I405" s="30"/>
      <c r="J405" s="30"/>
      <c r="K405" s="30"/>
      <c r="L405" s="30"/>
      <c r="M405" s="30"/>
    </row>
    <row r="406" ht="15.75" customHeight="1">
      <c r="A406" s="30"/>
      <c r="B406" s="30"/>
      <c r="C406" s="82"/>
      <c r="D406" s="30"/>
      <c r="E406" s="30"/>
      <c r="F406" s="30"/>
      <c r="G406" s="30"/>
      <c r="H406" s="30"/>
      <c r="I406" s="30"/>
      <c r="J406" s="30"/>
      <c r="K406" s="30"/>
      <c r="L406" s="30"/>
      <c r="M406" s="30"/>
    </row>
    <row r="407" ht="15.75" customHeight="1">
      <c r="A407" s="30"/>
      <c r="B407" s="30"/>
      <c r="C407" s="82"/>
      <c r="D407" s="30"/>
      <c r="E407" s="30"/>
      <c r="F407" s="30"/>
      <c r="G407" s="30"/>
      <c r="H407" s="30"/>
      <c r="I407" s="30"/>
      <c r="J407" s="30"/>
      <c r="K407" s="30"/>
      <c r="L407" s="30"/>
      <c r="M407" s="30"/>
    </row>
    <row r="408" ht="15.75" customHeight="1">
      <c r="A408" s="30"/>
      <c r="B408" s="30"/>
      <c r="C408" s="82"/>
      <c r="D408" s="30"/>
      <c r="E408" s="30"/>
      <c r="F408" s="30"/>
      <c r="G408" s="30"/>
      <c r="H408" s="30"/>
      <c r="I408" s="30"/>
      <c r="J408" s="30"/>
      <c r="K408" s="30"/>
      <c r="L408" s="30"/>
      <c r="M408" s="30"/>
    </row>
    <row r="409" ht="15.75" customHeight="1">
      <c r="A409" s="30"/>
      <c r="B409" s="30"/>
      <c r="C409" s="82"/>
      <c r="D409" s="30"/>
      <c r="E409" s="30"/>
      <c r="F409" s="30"/>
      <c r="G409" s="30"/>
      <c r="H409" s="30"/>
      <c r="I409" s="30"/>
      <c r="J409" s="30"/>
      <c r="K409" s="30"/>
      <c r="L409" s="30"/>
      <c r="M409" s="30"/>
    </row>
    <row r="410" ht="15.75" customHeight="1">
      <c r="A410" s="30"/>
      <c r="B410" s="30"/>
      <c r="C410" s="82"/>
      <c r="D410" s="30"/>
      <c r="E410" s="30"/>
      <c r="F410" s="30"/>
      <c r="G410" s="30"/>
      <c r="H410" s="30"/>
      <c r="I410" s="30"/>
      <c r="J410" s="30"/>
      <c r="K410" s="30"/>
      <c r="L410" s="30"/>
      <c r="M410" s="30"/>
    </row>
    <row r="411" ht="15.75" customHeight="1">
      <c r="A411" s="30"/>
      <c r="B411" s="30"/>
      <c r="C411" s="82"/>
      <c r="D411" s="30"/>
      <c r="E411" s="30"/>
      <c r="F411" s="30"/>
      <c r="G411" s="30"/>
      <c r="H411" s="30"/>
      <c r="I411" s="30"/>
      <c r="J411" s="30"/>
      <c r="K411" s="30"/>
      <c r="L411" s="30"/>
      <c r="M411" s="30"/>
    </row>
    <row r="412" ht="15.75" customHeight="1">
      <c r="A412" s="30"/>
      <c r="B412" s="30"/>
      <c r="C412" s="82"/>
      <c r="D412" s="30"/>
      <c r="E412" s="30"/>
      <c r="F412" s="30"/>
      <c r="G412" s="30"/>
      <c r="H412" s="30"/>
      <c r="I412" s="30"/>
      <c r="J412" s="30"/>
      <c r="K412" s="30"/>
      <c r="L412" s="30"/>
      <c r="M412" s="30"/>
    </row>
    <row r="413" ht="15.75" customHeight="1">
      <c r="A413" s="30"/>
      <c r="B413" s="30"/>
      <c r="C413" s="82"/>
      <c r="D413" s="30"/>
      <c r="E413" s="30"/>
      <c r="F413" s="30"/>
      <c r="G413" s="30"/>
      <c r="H413" s="30"/>
      <c r="I413" s="30"/>
      <c r="J413" s="30"/>
      <c r="K413" s="30"/>
      <c r="L413" s="30"/>
      <c r="M413" s="30"/>
    </row>
    <row r="414" ht="15.75" customHeight="1">
      <c r="A414" s="30"/>
      <c r="B414" s="30"/>
      <c r="C414" s="82"/>
      <c r="D414" s="30"/>
      <c r="E414" s="30"/>
      <c r="F414" s="30"/>
      <c r="G414" s="30"/>
      <c r="H414" s="30"/>
      <c r="I414" s="30"/>
      <c r="J414" s="30"/>
      <c r="K414" s="30"/>
      <c r="L414" s="30"/>
      <c r="M414" s="30"/>
    </row>
    <row r="415" ht="15.75" customHeight="1">
      <c r="A415" s="30"/>
      <c r="B415" s="30"/>
      <c r="C415" s="82"/>
      <c r="D415" s="30"/>
      <c r="E415" s="30"/>
      <c r="F415" s="30"/>
      <c r="G415" s="30"/>
      <c r="H415" s="30"/>
      <c r="I415" s="30"/>
      <c r="J415" s="30"/>
      <c r="K415" s="30"/>
      <c r="L415" s="30"/>
      <c r="M415" s="30"/>
    </row>
    <row r="416" ht="15.75" customHeight="1">
      <c r="A416" s="30"/>
      <c r="B416" s="30"/>
      <c r="C416" s="82"/>
      <c r="D416" s="30"/>
      <c r="E416" s="30"/>
      <c r="F416" s="30"/>
      <c r="G416" s="30"/>
      <c r="H416" s="30"/>
      <c r="I416" s="30"/>
      <c r="J416" s="30"/>
      <c r="K416" s="30"/>
      <c r="L416" s="30"/>
      <c r="M416" s="30"/>
    </row>
    <row r="417" ht="15.75" customHeight="1">
      <c r="A417" s="30"/>
      <c r="B417" s="30"/>
      <c r="C417" s="82"/>
      <c r="D417" s="30"/>
      <c r="E417" s="30"/>
      <c r="F417" s="30"/>
      <c r="G417" s="30"/>
      <c r="H417" s="30"/>
      <c r="I417" s="30"/>
      <c r="J417" s="30"/>
      <c r="K417" s="30"/>
      <c r="L417" s="30"/>
      <c r="M417" s="30"/>
    </row>
    <row r="418" ht="15.75" customHeight="1">
      <c r="A418" s="30"/>
      <c r="B418" s="30"/>
      <c r="C418" s="82"/>
      <c r="D418" s="30"/>
      <c r="E418" s="30"/>
      <c r="F418" s="30"/>
      <c r="G418" s="30"/>
      <c r="H418" s="30"/>
      <c r="I418" s="30"/>
      <c r="J418" s="30"/>
      <c r="K418" s="30"/>
      <c r="L418" s="30"/>
      <c r="M418" s="30"/>
    </row>
    <row r="419" ht="15.75" customHeight="1">
      <c r="A419" s="30"/>
      <c r="B419" s="30"/>
      <c r="C419" s="82"/>
      <c r="D419" s="30"/>
      <c r="E419" s="30"/>
      <c r="F419" s="30"/>
      <c r="G419" s="30"/>
      <c r="H419" s="30"/>
      <c r="I419" s="30"/>
      <c r="J419" s="30"/>
      <c r="K419" s="30"/>
      <c r="L419" s="30"/>
      <c r="M419" s="30"/>
    </row>
    <row r="420" ht="15.75" customHeight="1">
      <c r="A420" s="30"/>
      <c r="B420" s="30"/>
      <c r="C420" s="82"/>
      <c r="D420" s="30"/>
      <c r="E420" s="30"/>
      <c r="F420" s="30"/>
      <c r="G420" s="30"/>
      <c r="H420" s="30"/>
      <c r="I420" s="30"/>
      <c r="J420" s="30"/>
      <c r="K420" s="30"/>
      <c r="L420" s="30"/>
      <c r="M420" s="30"/>
    </row>
    <row r="421" ht="15.75" customHeight="1">
      <c r="A421" s="30"/>
      <c r="B421" s="30"/>
      <c r="C421" s="82"/>
      <c r="D421" s="30"/>
      <c r="E421" s="30"/>
      <c r="F421" s="30"/>
      <c r="G421" s="30"/>
      <c r="H421" s="30"/>
      <c r="I421" s="30"/>
      <c r="J421" s="30"/>
      <c r="K421" s="30"/>
      <c r="L421" s="30"/>
      <c r="M421" s="30"/>
    </row>
    <row r="422" ht="15.75" customHeight="1">
      <c r="A422" s="30"/>
      <c r="B422" s="30"/>
      <c r="C422" s="82"/>
      <c r="D422" s="30"/>
      <c r="E422" s="30"/>
      <c r="F422" s="30"/>
      <c r="G422" s="30"/>
      <c r="H422" s="30"/>
      <c r="I422" s="30"/>
      <c r="J422" s="30"/>
      <c r="K422" s="30"/>
      <c r="L422" s="30"/>
      <c r="M422" s="30"/>
    </row>
    <row r="423" ht="15.75" customHeight="1">
      <c r="A423" s="30"/>
      <c r="B423" s="30"/>
      <c r="C423" s="82"/>
      <c r="D423" s="30"/>
      <c r="E423" s="30"/>
      <c r="F423" s="30"/>
      <c r="G423" s="30"/>
      <c r="H423" s="30"/>
      <c r="I423" s="30"/>
      <c r="J423" s="30"/>
      <c r="K423" s="30"/>
      <c r="L423" s="30"/>
      <c r="M423" s="30"/>
    </row>
    <row r="424" ht="15.75" customHeight="1">
      <c r="A424" s="30"/>
      <c r="B424" s="30"/>
      <c r="C424" s="82"/>
      <c r="D424" s="30"/>
      <c r="E424" s="30"/>
      <c r="F424" s="30"/>
      <c r="G424" s="30"/>
      <c r="H424" s="30"/>
      <c r="I424" s="30"/>
      <c r="J424" s="30"/>
      <c r="K424" s="30"/>
      <c r="L424" s="30"/>
      <c r="M424" s="30"/>
    </row>
    <row r="425" ht="15.75" customHeight="1">
      <c r="A425" s="30"/>
      <c r="B425" s="30"/>
      <c r="C425" s="82"/>
      <c r="D425" s="30"/>
      <c r="E425" s="30"/>
      <c r="F425" s="30"/>
      <c r="G425" s="30"/>
      <c r="H425" s="30"/>
      <c r="I425" s="30"/>
      <c r="J425" s="30"/>
      <c r="K425" s="30"/>
      <c r="L425" s="30"/>
      <c r="M425" s="30"/>
    </row>
    <row r="426" ht="15.75" customHeight="1">
      <c r="A426" s="30"/>
      <c r="B426" s="30"/>
      <c r="C426" s="82"/>
      <c r="D426" s="30"/>
      <c r="E426" s="30"/>
      <c r="F426" s="30"/>
      <c r="G426" s="30"/>
      <c r="H426" s="30"/>
      <c r="I426" s="30"/>
      <c r="J426" s="30"/>
      <c r="K426" s="30"/>
      <c r="L426" s="30"/>
      <c r="M426" s="30"/>
    </row>
    <row r="427" ht="15.75" customHeight="1">
      <c r="A427" s="30"/>
      <c r="B427" s="30"/>
      <c r="C427" s="82"/>
      <c r="D427" s="30"/>
      <c r="E427" s="30"/>
      <c r="F427" s="30"/>
      <c r="G427" s="30"/>
      <c r="H427" s="30"/>
      <c r="I427" s="30"/>
      <c r="J427" s="30"/>
      <c r="K427" s="30"/>
      <c r="L427" s="30"/>
      <c r="M427" s="30"/>
    </row>
    <row r="428" ht="15.75" customHeight="1">
      <c r="A428" s="30"/>
      <c r="B428" s="30"/>
      <c r="C428" s="82"/>
      <c r="D428" s="30"/>
      <c r="E428" s="30"/>
      <c r="F428" s="30"/>
      <c r="G428" s="30"/>
      <c r="H428" s="30"/>
      <c r="I428" s="30"/>
      <c r="J428" s="30"/>
      <c r="K428" s="30"/>
      <c r="L428" s="30"/>
      <c r="M428" s="30"/>
    </row>
    <row r="429" ht="15.75" customHeight="1">
      <c r="A429" s="30"/>
      <c r="B429" s="30"/>
      <c r="C429" s="82"/>
      <c r="D429" s="30"/>
      <c r="E429" s="30"/>
      <c r="F429" s="30"/>
      <c r="G429" s="30"/>
      <c r="H429" s="30"/>
      <c r="I429" s="30"/>
      <c r="J429" s="30"/>
      <c r="K429" s="30"/>
      <c r="L429" s="30"/>
      <c r="M429" s="30"/>
    </row>
    <row r="430" ht="15.75" customHeight="1">
      <c r="A430" s="30"/>
      <c r="B430" s="30"/>
      <c r="C430" s="82"/>
      <c r="D430" s="30"/>
      <c r="E430" s="30"/>
      <c r="F430" s="30"/>
      <c r="G430" s="30"/>
      <c r="H430" s="30"/>
      <c r="I430" s="30"/>
      <c r="J430" s="30"/>
      <c r="K430" s="30"/>
      <c r="L430" s="30"/>
      <c r="M430" s="30"/>
    </row>
    <row r="431" ht="15.75" customHeight="1">
      <c r="A431" s="30"/>
      <c r="B431" s="30"/>
      <c r="C431" s="82"/>
      <c r="D431" s="30"/>
      <c r="E431" s="30"/>
      <c r="F431" s="30"/>
      <c r="G431" s="30"/>
      <c r="H431" s="30"/>
      <c r="I431" s="30"/>
      <c r="J431" s="30"/>
      <c r="K431" s="30"/>
      <c r="L431" s="30"/>
      <c r="M431" s="30"/>
    </row>
    <row r="432" ht="15.75" customHeight="1">
      <c r="A432" s="30"/>
      <c r="B432" s="30"/>
      <c r="C432" s="82"/>
      <c r="D432" s="30"/>
      <c r="E432" s="30"/>
      <c r="F432" s="30"/>
      <c r="G432" s="30"/>
      <c r="H432" s="30"/>
      <c r="I432" s="30"/>
      <c r="J432" s="30"/>
      <c r="K432" s="30"/>
      <c r="L432" s="30"/>
      <c r="M432" s="30"/>
    </row>
    <row r="433" ht="15.75" customHeight="1">
      <c r="A433" s="30"/>
      <c r="B433" s="30"/>
      <c r="C433" s="82"/>
      <c r="D433" s="30"/>
      <c r="E433" s="30"/>
      <c r="F433" s="30"/>
      <c r="G433" s="30"/>
      <c r="H433" s="30"/>
      <c r="I433" s="30"/>
      <c r="J433" s="30"/>
      <c r="K433" s="30"/>
      <c r="L433" s="30"/>
      <c r="M433" s="30"/>
    </row>
    <row r="434" ht="15.75" customHeight="1">
      <c r="A434" s="30"/>
      <c r="B434" s="30"/>
      <c r="C434" s="82"/>
      <c r="D434" s="30"/>
      <c r="E434" s="30"/>
      <c r="F434" s="30"/>
      <c r="G434" s="30"/>
      <c r="H434" s="30"/>
      <c r="I434" s="30"/>
      <c r="J434" s="30"/>
      <c r="K434" s="30"/>
      <c r="L434" s="30"/>
      <c r="M434" s="30"/>
    </row>
    <row r="435" ht="15.75" customHeight="1">
      <c r="A435" s="30"/>
      <c r="B435" s="30"/>
      <c r="C435" s="82"/>
      <c r="D435" s="30"/>
      <c r="E435" s="30"/>
      <c r="F435" s="30"/>
      <c r="G435" s="30"/>
      <c r="H435" s="30"/>
      <c r="I435" s="30"/>
      <c r="J435" s="30"/>
      <c r="K435" s="30"/>
      <c r="L435" s="30"/>
      <c r="M435" s="30"/>
    </row>
    <row r="436" ht="15.75" customHeight="1">
      <c r="A436" s="30"/>
      <c r="B436" s="30"/>
      <c r="C436" s="82"/>
      <c r="D436" s="30"/>
      <c r="E436" s="30"/>
      <c r="F436" s="30"/>
      <c r="G436" s="30"/>
      <c r="H436" s="30"/>
      <c r="I436" s="30"/>
      <c r="J436" s="30"/>
      <c r="K436" s="30"/>
      <c r="L436" s="30"/>
      <c r="M436" s="30"/>
    </row>
    <row r="437" ht="15.75" customHeight="1">
      <c r="A437" s="30"/>
      <c r="B437" s="30"/>
      <c r="C437" s="82"/>
      <c r="D437" s="30"/>
      <c r="E437" s="30"/>
      <c r="F437" s="30"/>
      <c r="G437" s="30"/>
      <c r="H437" s="30"/>
      <c r="I437" s="30"/>
      <c r="J437" s="30"/>
      <c r="K437" s="30"/>
      <c r="L437" s="30"/>
      <c r="M437" s="30"/>
    </row>
    <row r="438" ht="15.75" customHeight="1">
      <c r="A438" s="30"/>
      <c r="B438" s="30"/>
      <c r="C438" s="82"/>
      <c r="D438" s="30"/>
      <c r="E438" s="30"/>
      <c r="F438" s="30"/>
      <c r="G438" s="30"/>
      <c r="H438" s="30"/>
      <c r="I438" s="30"/>
      <c r="J438" s="30"/>
      <c r="K438" s="30"/>
      <c r="L438" s="30"/>
      <c r="M438" s="30"/>
    </row>
    <row r="439" ht="15.75" customHeight="1">
      <c r="A439" s="30"/>
      <c r="B439" s="30"/>
      <c r="C439" s="82"/>
      <c r="D439" s="30"/>
      <c r="E439" s="30"/>
      <c r="F439" s="30"/>
      <c r="G439" s="30"/>
      <c r="H439" s="30"/>
      <c r="I439" s="30"/>
      <c r="J439" s="30"/>
      <c r="K439" s="30"/>
      <c r="L439" s="30"/>
      <c r="M439" s="30"/>
    </row>
    <row r="440" ht="15.75" customHeight="1">
      <c r="A440" s="30"/>
      <c r="B440" s="30"/>
      <c r="C440" s="82"/>
      <c r="D440" s="30"/>
      <c r="E440" s="30"/>
      <c r="F440" s="30"/>
      <c r="G440" s="30"/>
      <c r="H440" s="30"/>
      <c r="I440" s="30"/>
      <c r="J440" s="30"/>
      <c r="K440" s="30"/>
      <c r="L440" s="30"/>
      <c r="M440" s="30"/>
    </row>
    <row r="441" ht="15.75" customHeight="1">
      <c r="A441" s="30"/>
      <c r="B441" s="30"/>
      <c r="C441" s="82"/>
      <c r="D441" s="30"/>
      <c r="E441" s="30"/>
      <c r="F441" s="30"/>
      <c r="G441" s="30"/>
      <c r="H441" s="30"/>
      <c r="I441" s="30"/>
      <c r="J441" s="30"/>
      <c r="K441" s="30"/>
      <c r="L441" s="30"/>
      <c r="M441" s="30"/>
    </row>
    <row r="442" ht="15.75" customHeight="1">
      <c r="A442" s="30"/>
      <c r="B442" s="30"/>
      <c r="C442" s="82"/>
      <c r="D442" s="30"/>
      <c r="E442" s="30"/>
      <c r="F442" s="30"/>
      <c r="G442" s="30"/>
      <c r="H442" s="30"/>
      <c r="I442" s="30"/>
      <c r="J442" s="30"/>
      <c r="K442" s="30"/>
      <c r="L442" s="30"/>
      <c r="M442" s="30"/>
    </row>
    <row r="443" ht="15.75" customHeight="1">
      <c r="A443" s="30"/>
      <c r="B443" s="30"/>
      <c r="C443" s="82"/>
      <c r="D443" s="30"/>
      <c r="E443" s="30"/>
      <c r="F443" s="30"/>
      <c r="G443" s="30"/>
      <c r="H443" s="30"/>
      <c r="I443" s="30"/>
      <c r="J443" s="30"/>
      <c r="K443" s="30"/>
      <c r="L443" s="30"/>
      <c r="M443" s="30"/>
    </row>
    <row r="444" ht="15.75" customHeight="1">
      <c r="A444" s="30"/>
      <c r="B444" s="30"/>
      <c r="C444" s="82"/>
      <c r="D444" s="30"/>
      <c r="E444" s="30"/>
      <c r="F444" s="30"/>
      <c r="G444" s="30"/>
      <c r="H444" s="30"/>
      <c r="I444" s="30"/>
      <c r="J444" s="30"/>
      <c r="K444" s="30"/>
      <c r="L444" s="30"/>
      <c r="M444" s="30"/>
    </row>
    <row r="445" ht="15.75" customHeight="1">
      <c r="A445" s="30"/>
      <c r="B445" s="30"/>
      <c r="C445" s="82"/>
      <c r="D445" s="30"/>
      <c r="E445" s="30"/>
      <c r="F445" s="30"/>
      <c r="G445" s="30"/>
      <c r="H445" s="30"/>
      <c r="I445" s="30"/>
      <c r="J445" s="30"/>
      <c r="K445" s="30"/>
      <c r="L445" s="30"/>
      <c r="M445" s="30"/>
    </row>
    <row r="446" ht="15.75" customHeight="1">
      <c r="A446" s="30"/>
      <c r="B446" s="30"/>
      <c r="C446" s="82"/>
      <c r="D446" s="30"/>
      <c r="E446" s="30"/>
      <c r="F446" s="30"/>
      <c r="G446" s="30"/>
      <c r="H446" s="30"/>
      <c r="I446" s="30"/>
      <c r="J446" s="30"/>
      <c r="K446" s="30"/>
      <c r="L446" s="30"/>
      <c r="M446" s="30"/>
    </row>
    <row r="447" ht="15.75" customHeight="1">
      <c r="A447" s="30"/>
      <c r="B447" s="30"/>
      <c r="C447" s="82"/>
      <c r="D447" s="30"/>
      <c r="E447" s="30"/>
      <c r="F447" s="30"/>
      <c r="G447" s="30"/>
      <c r="H447" s="30"/>
      <c r="I447" s="30"/>
      <c r="J447" s="30"/>
      <c r="K447" s="30"/>
      <c r="L447" s="30"/>
      <c r="M447" s="30"/>
    </row>
    <row r="448" ht="15.75" customHeight="1">
      <c r="A448" s="30"/>
      <c r="B448" s="30"/>
      <c r="C448" s="82"/>
      <c r="D448" s="30"/>
      <c r="E448" s="30"/>
      <c r="F448" s="30"/>
      <c r="G448" s="30"/>
      <c r="H448" s="30"/>
      <c r="I448" s="30"/>
      <c r="J448" s="30"/>
      <c r="K448" s="30"/>
      <c r="L448" s="30"/>
      <c r="M448" s="30"/>
    </row>
    <row r="449" ht="15.75" customHeight="1">
      <c r="A449" s="30"/>
      <c r="B449" s="30"/>
      <c r="C449" s="82"/>
      <c r="D449" s="30"/>
      <c r="E449" s="30"/>
      <c r="F449" s="30"/>
      <c r="G449" s="30"/>
      <c r="H449" s="30"/>
      <c r="I449" s="30"/>
      <c r="J449" s="30"/>
      <c r="K449" s="30"/>
      <c r="L449" s="30"/>
      <c r="M449" s="30"/>
    </row>
    <row r="450" ht="15.75" customHeight="1">
      <c r="A450" s="30"/>
      <c r="B450" s="30"/>
      <c r="C450" s="82"/>
      <c r="D450" s="30"/>
      <c r="E450" s="30"/>
      <c r="F450" s="30"/>
      <c r="G450" s="30"/>
      <c r="H450" s="30"/>
      <c r="I450" s="30"/>
      <c r="J450" s="30"/>
      <c r="K450" s="30"/>
      <c r="L450" s="30"/>
      <c r="M450" s="30"/>
    </row>
    <row r="451" ht="15.75" customHeight="1">
      <c r="A451" s="30"/>
      <c r="B451" s="30"/>
      <c r="C451" s="82"/>
      <c r="D451" s="30"/>
      <c r="E451" s="30"/>
      <c r="F451" s="30"/>
      <c r="G451" s="30"/>
      <c r="H451" s="30"/>
      <c r="I451" s="30"/>
      <c r="J451" s="30"/>
      <c r="K451" s="30"/>
      <c r="L451" s="30"/>
      <c r="M451" s="30"/>
    </row>
    <row r="452" ht="15.75" customHeight="1">
      <c r="A452" s="30"/>
      <c r="B452" s="30"/>
      <c r="C452" s="82"/>
      <c r="D452" s="30"/>
      <c r="E452" s="30"/>
      <c r="F452" s="30"/>
      <c r="G452" s="30"/>
      <c r="H452" s="30"/>
      <c r="I452" s="30"/>
      <c r="J452" s="30"/>
      <c r="K452" s="30"/>
      <c r="L452" s="30"/>
      <c r="M452" s="30"/>
    </row>
    <row r="453" ht="15.75" customHeight="1">
      <c r="A453" s="30"/>
      <c r="B453" s="30"/>
      <c r="C453" s="82"/>
      <c r="D453" s="30"/>
      <c r="E453" s="30"/>
      <c r="F453" s="30"/>
      <c r="G453" s="30"/>
      <c r="H453" s="30"/>
      <c r="I453" s="30"/>
      <c r="J453" s="30"/>
      <c r="K453" s="30"/>
      <c r="L453" s="30"/>
      <c r="M453" s="30"/>
    </row>
    <row r="454" ht="15.75" customHeight="1">
      <c r="A454" s="30"/>
      <c r="B454" s="30"/>
      <c r="C454" s="82"/>
      <c r="D454" s="30"/>
      <c r="E454" s="30"/>
      <c r="F454" s="30"/>
      <c r="G454" s="30"/>
      <c r="H454" s="30"/>
      <c r="I454" s="30"/>
      <c r="J454" s="30"/>
      <c r="K454" s="30"/>
      <c r="L454" s="30"/>
      <c r="M454" s="30"/>
    </row>
    <row r="455" ht="15.75" customHeight="1">
      <c r="A455" s="30"/>
      <c r="B455" s="30"/>
      <c r="C455" s="82"/>
      <c r="D455" s="30"/>
      <c r="E455" s="30"/>
      <c r="F455" s="30"/>
      <c r="G455" s="30"/>
      <c r="H455" s="30"/>
      <c r="I455" s="30"/>
      <c r="J455" s="30"/>
      <c r="K455" s="30"/>
      <c r="L455" s="30"/>
      <c r="M455" s="30"/>
    </row>
    <row r="456" ht="15.75" customHeight="1">
      <c r="A456" s="30"/>
      <c r="B456" s="30"/>
      <c r="C456" s="82"/>
      <c r="D456" s="30"/>
      <c r="E456" s="30"/>
      <c r="F456" s="30"/>
      <c r="G456" s="30"/>
      <c r="H456" s="30"/>
      <c r="I456" s="30"/>
      <c r="J456" s="30"/>
      <c r="K456" s="30"/>
      <c r="L456" s="30"/>
      <c r="M456" s="30"/>
    </row>
    <row r="457" ht="15.75" customHeight="1">
      <c r="A457" s="30"/>
      <c r="B457" s="30"/>
      <c r="C457" s="82"/>
      <c r="D457" s="30"/>
      <c r="E457" s="30"/>
      <c r="F457" s="30"/>
      <c r="G457" s="30"/>
      <c r="H457" s="30"/>
      <c r="I457" s="30"/>
      <c r="J457" s="30"/>
      <c r="K457" s="30"/>
      <c r="L457" s="30"/>
      <c r="M457" s="30"/>
    </row>
    <row r="458" ht="15.75" customHeight="1">
      <c r="A458" s="30"/>
      <c r="B458" s="30"/>
      <c r="C458" s="82"/>
      <c r="D458" s="30"/>
      <c r="E458" s="30"/>
      <c r="F458" s="30"/>
      <c r="G458" s="30"/>
      <c r="H458" s="30"/>
      <c r="I458" s="30"/>
      <c r="J458" s="30"/>
      <c r="K458" s="30"/>
      <c r="L458" s="30"/>
      <c r="M458" s="30"/>
    </row>
    <row r="459" ht="15.75" customHeight="1">
      <c r="A459" s="30"/>
      <c r="B459" s="30"/>
      <c r="C459" s="82"/>
      <c r="D459" s="30"/>
      <c r="E459" s="30"/>
      <c r="F459" s="30"/>
      <c r="G459" s="30"/>
      <c r="H459" s="30"/>
      <c r="I459" s="30"/>
      <c r="J459" s="30"/>
      <c r="K459" s="30"/>
      <c r="L459" s="30"/>
      <c r="M459" s="30"/>
    </row>
    <row r="460" ht="15.75" customHeight="1">
      <c r="A460" s="30"/>
      <c r="B460" s="30"/>
      <c r="C460" s="82"/>
      <c r="D460" s="30"/>
      <c r="E460" s="30"/>
      <c r="F460" s="30"/>
      <c r="G460" s="30"/>
      <c r="H460" s="30"/>
      <c r="I460" s="30"/>
      <c r="J460" s="30"/>
      <c r="K460" s="30"/>
      <c r="L460" s="30"/>
      <c r="M460" s="30"/>
    </row>
    <row r="461" ht="15.75" customHeight="1">
      <c r="A461" s="30"/>
      <c r="B461" s="30"/>
      <c r="C461" s="82"/>
      <c r="D461" s="30"/>
      <c r="E461" s="30"/>
      <c r="F461" s="30"/>
      <c r="G461" s="30"/>
      <c r="H461" s="30"/>
      <c r="I461" s="30"/>
      <c r="J461" s="30"/>
      <c r="K461" s="30"/>
      <c r="L461" s="30"/>
      <c r="M461" s="30"/>
    </row>
    <row r="462" ht="15.75" customHeight="1">
      <c r="A462" s="30"/>
      <c r="B462" s="30"/>
      <c r="C462" s="82"/>
      <c r="D462" s="30"/>
      <c r="E462" s="30"/>
      <c r="F462" s="30"/>
      <c r="G462" s="30"/>
      <c r="H462" s="30"/>
      <c r="I462" s="30"/>
      <c r="J462" s="30"/>
      <c r="K462" s="30"/>
      <c r="L462" s="30"/>
      <c r="M462" s="30"/>
    </row>
    <row r="463" ht="15.75" customHeight="1">
      <c r="A463" s="30"/>
      <c r="B463" s="30"/>
      <c r="C463" s="82"/>
      <c r="D463" s="30"/>
      <c r="E463" s="30"/>
      <c r="F463" s="30"/>
      <c r="G463" s="30"/>
      <c r="H463" s="30"/>
      <c r="I463" s="30"/>
      <c r="J463" s="30"/>
      <c r="K463" s="30"/>
      <c r="L463" s="30"/>
      <c r="M463" s="30"/>
    </row>
    <row r="464" ht="15.75" customHeight="1">
      <c r="A464" s="30"/>
      <c r="B464" s="30"/>
      <c r="C464" s="82"/>
      <c r="D464" s="30"/>
      <c r="E464" s="30"/>
      <c r="F464" s="30"/>
      <c r="G464" s="30"/>
      <c r="H464" s="30"/>
      <c r="I464" s="30"/>
      <c r="J464" s="30"/>
      <c r="K464" s="30"/>
      <c r="L464" s="30"/>
      <c r="M464" s="30"/>
    </row>
    <row r="465" ht="15.75" customHeight="1">
      <c r="A465" s="30"/>
      <c r="B465" s="30"/>
      <c r="C465" s="82"/>
      <c r="D465" s="30"/>
      <c r="E465" s="30"/>
      <c r="F465" s="30"/>
      <c r="G465" s="30"/>
      <c r="H465" s="30"/>
      <c r="I465" s="30"/>
      <c r="J465" s="30"/>
      <c r="K465" s="30"/>
      <c r="L465" s="30"/>
      <c r="M465" s="30"/>
    </row>
    <row r="466" ht="15.75" customHeight="1">
      <c r="A466" s="30"/>
      <c r="B466" s="30"/>
      <c r="C466" s="82"/>
      <c r="D466" s="30"/>
      <c r="E466" s="30"/>
      <c r="F466" s="30"/>
      <c r="G466" s="30"/>
      <c r="H466" s="30"/>
      <c r="I466" s="30"/>
      <c r="J466" s="30"/>
      <c r="K466" s="30"/>
      <c r="L466" s="30"/>
      <c r="M466" s="30"/>
    </row>
    <row r="467" ht="15.75" customHeight="1">
      <c r="A467" s="30"/>
      <c r="B467" s="30"/>
      <c r="C467" s="82"/>
      <c r="D467" s="30"/>
      <c r="E467" s="30"/>
      <c r="F467" s="30"/>
      <c r="G467" s="30"/>
      <c r="H467" s="30"/>
      <c r="I467" s="30"/>
      <c r="J467" s="30"/>
      <c r="K467" s="30"/>
      <c r="L467" s="30"/>
      <c r="M467" s="30"/>
    </row>
    <row r="468" ht="15.75" customHeight="1">
      <c r="A468" s="30"/>
      <c r="B468" s="30"/>
      <c r="C468" s="82"/>
      <c r="D468" s="30"/>
      <c r="E468" s="30"/>
      <c r="F468" s="30"/>
      <c r="G468" s="30"/>
      <c r="H468" s="30"/>
      <c r="I468" s="30"/>
      <c r="J468" s="30"/>
      <c r="K468" s="30"/>
      <c r="L468" s="30"/>
      <c r="M468" s="30"/>
    </row>
    <row r="469" ht="15.75" customHeight="1">
      <c r="A469" s="30"/>
      <c r="B469" s="30"/>
      <c r="C469" s="82"/>
      <c r="D469" s="30"/>
      <c r="E469" s="30"/>
      <c r="F469" s="30"/>
      <c r="G469" s="30"/>
      <c r="H469" s="30"/>
      <c r="I469" s="30"/>
      <c r="J469" s="30"/>
      <c r="K469" s="30"/>
      <c r="L469" s="30"/>
      <c r="M469" s="30"/>
    </row>
    <row r="470" ht="15.75" customHeight="1">
      <c r="A470" s="30"/>
      <c r="B470" s="30"/>
      <c r="C470" s="82"/>
      <c r="D470" s="30"/>
      <c r="E470" s="30"/>
      <c r="F470" s="30"/>
      <c r="G470" s="30"/>
      <c r="H470" s="30"/>
      <c r="I470" s="30"/>
      <c r="J470" s="30"/>
      <c r="K470" s="30"/>
      <c r="L470" s="30"/>
      <c r="M470" s="30"/>
    </row>
    <row r="471" ht="15.75" customHeight="1">
      <c r="A471" s="30"/>
      <c r="B471" s="30"/>
      <c r="C471" s="82"/>
      <c r="D471" s="30"/>
      <c r="E471" s="30"/>
      <c r="F471" s="30"/>
      <c r="G471" s="30"/>
      <c r="H471" s="30"/>
      <c r="I471" s="30"/>
      <c r="J471" s="30"/>
      <c r="K471" s="30"/>
      <c r="L471" s="30"/>
      <c r="M471" s="30"/>
    </row>
    <row r="472" ht="15.75" customHeight="1">
      <c r="A472" s="30"/>
      <c r="B472" s="30"/>
      <c r="C472" s="82"/>
      <c r="D472" s="30"/>
      <c r="E472" s="30"/>
      <c r="F472" s="30"/>
      <c r="G472" s="30"/>
      <c r="H472" s="30"/>
      <c r="I472" s="30"/>
      <c r="J472" s="30"/>
      <c r="K472" s="30"/>
      <c r="L472" s="30"/>
      <c r="M472" s="30"/>
    </row>
    <row r="473" ht="15.75" customHeight="1">
      <c r="A473" s="30"/>
      <c r="B473" s="30"/>
      <c r="C473" s="82"/>
      <c r="D473" s="30"/>
      <c r="E473" s="30"/>
      <c r="F473" s="30"/>
      <c r="G473" s="30"/>
      <c r="H473" s="30"/>
      <c r="I473" s="30"/>
      <c r="J473" s="30"/>
      <c r="K473" s="30"/>
      <c r="L473" s="30"/>
      <c r="M473" s="30"/>
    </row>
    <row r="474" ht="15.75" customHeight="1">
      <c r="A474" s="30"/>
      <c r="B474" s="30"/>
      <c r="C474" s="82"/>
      <c r="D474" s="30"/>
      <c r="E474" s="30"/>
      <c r="F474" s="30"/>
      <c r="G474" s="30"/>
      <c r="H474" s="30"/>
      <c r="I474" s="30"/>
      <c r="J474" s="30"/>
      <c r="K474" s="30"/>
      <c r="L474" s="30"/>
      <c r="M474" s="30"/>
    </row>
    <row r="475" ht="15.75" customHeight="1">
      <c r="A475" s="30"/>
      <c r="B475" s="30"/>
      <c r="C475" s="82"/>
      <c r="D475" s="30"/>
      <c r="E475" s="30"/>
      <c r="F475" s="30"/>
      <c r="G475" s="30"/>
      <c r="H475" s="30"/>
      <c r="I475" s="30"/>
      <c r="J475" s="30"/>
      <c r="K475" s="30"/>
      <c r="L475" s="30"/>
      <c r="M475" s="30"/>
    </row>
    <row r="476" ht="15.75" customHeight="1">
      <c r="A476" s="30"/>
      <c r="B476" s="30"/>
      <c r="C476" s="82"/>
      <c r="D476" s="30"/>
      <c r="E476" s="30"/>
      <c r="F476" s="30"/>
      <c r="G476" s="30"/>
      <c r="H476" s="30"/>
      <c r="I476" s="30"/>
      <c r="J476" s="30"/>
      <c r="K476" s="30"/>
      <c r="L476" s="30"/>
      <c r="M476" s="30"/>
    </row>
    <row r="477" ht="15.75" customHeight="1">
      <c r="A477" s="30"/>
      <c r="B477" s="30"/>
      <c r="C477" s="82"/>
      <c r="D477" s="30"/>
      <c r="E477" s="30"/>
      <c r="F477" s="30"/>
      <c r="G477" s="30"/>
      <c r="H477" s="30"/>
      <c r="I477" s="30"/>
      <c r="J477" s="30"/>
      <c r="K477" s="30"/>
      <c r="L477" s="30"/>
      <c r="M477" s="30"/>
    </row>
    <row r="478" ht="15.75" customHeight="1">
      <c r="A478" s="30"/>
      <c r="B478" s="30"/>
      <c r="C478" s="82"/>
      <c r="D478" s="30"/>
      <c r="E478" s="30"/>
      <c r="F478" s="30"/>
      <c r="G478" s="30"/>
      <c r="H478" s="30"/>
      <c r="I478" s="30"/>
      <c r="J478" s="30"/>
      <c r="K478" s="30"/>
      <c r="L478" s="30"/>
      <c r="M478" s="30"/>
    </row>
    <row r="479" ht="15.75" customHeight="1">
      <c r="A479" s="30"/>
      <c r="B479" s="30"/>
      <c r="C479" s="82"/>
      <c r="D479" s="30"/>
      <c r="E479" s="30"/>
      <c r="F479" s="30"/>
      <c r="G479" s="30"/>
      <c r="H479" s="30"/>
      <c r="I479" s="30"/>
      <c r="J479" s="30"/>
      <c r="K479" s="30"/>
      <c r="L479" s="30"/>
      <c r="M479" s="30"/>
    </row>
    <row r="480" ht="15.75" customHeight="1">
      <c r="A480" s="30"/>
      <c r="B480" s="30"/>
      <c r="C480" s="82"/>
      <c r="D480" s="30"/>
      <c r="E480" s="30"/>
      <c r="F480" s="30"/>
      <c r="G480" s="30"/>
      <c r="H480" s="30"/>
      <c r="I480" s="30"/>
      <c r="J480" s="30"/>
      <c r="K480" s="30"/>
      <c r="L480" s="30"/>
      <c r="M480" s="30"/>
    </row>
    <row r="481" ht="15.75" customHeight="1">
      <c r="A481" s="30"/>
      <c r="B481" s="30"/>
      <c r="C481" s="82"/>
      <c r="D481" s="30"/>
      <c r="E481" s="30"/>
      <c r="F481" s="30"/>
      <c r="G481" s="30"/>
      <c r="H481" s="30"/>
      <c r="I481" s="30"/>
      <c r="J481" s="30"/>
      <c r="K481" s="30"/>
      <c r="L481" s="30"/>
      <c r="M481" s="30"/>
    </row>
    <row r="482" ht="15.75" customHeight="1">
      <c r="A482" s="30"/>
      <c r="B482" s="30"/>
      <c r="C482" s="82"/>
      <c r="D482" s="30"/>
      <c r="E482" s="30"/>
      <c r="F482" s="30"/>
      <c r="G482" s="30"/>
      <c r="H482" s="30"/>
      <c r="I482" s="30"/>
      <c r="J482" s="30"/>
      <c r="K482" s="30"/>
      <c r="L482" s="30"/>
      <c r="M482" s="30"/>
    </row>
    <row r="483" ht="15.75" customHeight="1">
      <c r="A483" s="30"/>
      <c r="B483" s="30"/>
      <c r="C483" s="82"/>
      <c r="D483" s="30"/>
      <c r="E483" s="30"/>
      <c r="F483" s="30"/>
      <c r="G483" s="30"/>
      <c r="H483" s="30"/>
      <c r="I483" s="30"/>
      <c r="J483" s="30"/>
      <c r="K483" s="30"/>
      <c r="L483" s="30"/>
      <c r="M483" s="30"/>
    </row>
    <row r="484" ht="15.75" customHeight="1">
      <c r="A484" s="30"/>
      <c r="B484" s="30"/>
      <c r="C484" s="82"/>
      <c r="D484" s="30"/>
      <c r="E484" s="30"/>
      <c r="F484" s="30"/>
      <c r="G484" s="30"/>
      <c r="H484" s="30"/>
      <c r="I484" s="30"/>
      <c r="J484" s="30"/>
      <c r="K484" s="30"/>
      <c r="L484" s="30"/>
      <c r="M484" s="30"/>
    </row>
    <row r="485" ht="15.75" customHeight="1">
      <c r="A485" s="30"/>
      <c r="B485" s="30"/>
      <c r="C485" s="82"/>
      <c r="D485" s="30"/>
      <c r="E485" s="30"/>
      <c r="F485" s="30"/>
      <c r="G485" s="30"/>
      <c r="H485" s="30"/>
      <c r="I485" s="30"/>
      <c r="J485" s="30"/>
      <c r="K485" s="30"/>
      <c r="L485" s="30"/>
      <c r="M485" s="30"/>
    </row>
    <row r="486" ht="15.75" customHeight="1">
      <c r="A486" s="30"/>
      <c r="B486" s="30"/>
      <c r="C486" s="82"/>
      <c r="D486" s="30"/>
      <c r="E486" s="30"/>
      <c r="F486" s="30"/>
      <c r="G486" s="30"/>
      <c r="H486" s="30"/>
      <c r="I486" s="30"/>
      <c r="J486" s="30"/>
      <c r="K486" s="30"/>
      <c r="L486" s="30"/>
      <c r="M486" s="30"/>
    </row>
    <row r="487" ht="15.75" customHeight="1">
      <c r="A487" s="30"/>
      <c r="B487" s="30"/>
      <c r="C487" s="82"/>
      <c r="D487" s="30"/>
      <c r="E487" s="30"/>
      <c r="F487" s="30"/>
      <c r="G487" s="30"/>
      <c r="H487" s="30"/>
      <c r="I487" s="30"/>
      <c r="J487" s="30"/>
      <c r="K487" s="30"/>
      <c r="L487" s="30"/>
      <c r="M487" s="30"/>
    </row>
    <row r="488" ht="15.75" customHeight="1">
      <c r="A488" s="30"/>
      <c r="B488" s="30"/>
      <c r="C488" s="82"/>
      <c r="D488" s="30"/>
      <c r="E488" s="30"/>
      <c r="F488" s="30"/>
      <c r="G488" s="30"/>
      <c r="H488" s="30"/>
      <c r="I488" s="30"/>
      <c r="J488" s="30"/>
      <c r="K488" s="30"/>
      <c r="L488" s="30"/>
      <c r="M488" s="30"/>
    </row>
    <row r="489" ht="15.75" customHeight="1">
      <c r="A489" s="30"/>
      <c r="B489" s="30"/>
      <c r="C489" s="82"/>
      <c r="D489" s="30"/>
      <c r="E489" s="30"/>
      <c r="F489" s="30"/>
      <c r="G489" s="30"/>
      <c r="H489" s="30"/>
      <c r="I489" s="30"/>
      <c r="J489" s="30"/>
      <c r="K489" s="30"/>
      <c r="L489" s="30"/>
      <c r="M489" s="30"/>
    </row>
    <row r="490" ht="15.75" customHeight="1">
      <c r="A490" s="30"/>
      <c r="B490" s="30"/>
      <c r="C490" s="82"/>
      <c r="D490" s="30"/>
      <c r="E490" s="30"/>
      <c r="F490" s="30"/>
      <c r="G490" s="30"/>
      <c r="H490" s="30"/>
      <c r="I490" s="30"/>
      <c r="J490" s="30"/>
      <c r="K490" s="30"/>
      <c r="L490" s="30"/>
      <c r="M490" s="30"/>
    </row>
    <row r="491" ht="15.75" customHeight="1">
      <c r="A491" s="30"/>
      <c r="B491" s="30"/>
      <c r="C491" s="82"/>
      <c r="D491" s="30"/>
      <c r="E491" s="30"/>
      <c r="F491" s="30"/>
      <c r="G491" s="30"/>
      <c r="H491" s="30"/>
      <c r="I491" s="30"/>
      <c r="J491" s="30"/>
      <c r="K491" s="30"/>
      <c r="L491" s="30"/>
      <c r="M491" s="30"/>
    </row>
    <row r="492" ht="15.75" customHeight="1">
      <c r="A492" s="30"/>
      <c r="B492" s="30"/>
      <c r="C492" s="82"/>
      <c r="D492" s="30"/>
      <c r="E492" s="30"/>
      <c r="F492" s="30"/>
      <c r="G492" s="30"/>
      <c r="H492" s="30"/>
      <c r="I492" s="30"/>
      <c r="J492" s="30"/>
      <c r="K492" s="30"/>
      <c r="L492" s="30"/>
      <c r="M492" s="30"/>
    </row>
    <row r="493" ht="15.75" customHeight="1">
      <c r="A493" s="30"/>
      <c r="B493" s="30"/>
      <c r="C493" s="82"/>
      <c r="D493" s="30"/>
      <c r="E493" s="30"/>
      <c r="F493" s="30"/>
      <c r="G493" s="30"/>
      <c r="H493" s="30"/>
      <c r="I493" s="30"/>
      <c r="J493" s="30"/>
      <c r="K493" s="30"/>
      <c r="L493" s="30"/>
      <c r="M493" s="30"/>
    </row>
    <row r="494" ht="15.75" customHeight="1">
      <c r="A494" s="30"/>
      <c r="B494" s="30"/>
      <c r="C494" s="82"/>
      <c r="D494" s="30"/>
      <c r="E494" s="30"/>
      <c r="F494" s="30"/>
      <c r="G494" s="30"/>
      <c r="H494" s="30"/>
      <c r="I494" s="30"/>
      <c r="J494" s="30"/>
      <c r="K494" s="30"/>
      <c r="L494" s="30"/>
      <c r="M494" s="30"/>
    </row>
    <row r="495" ht="15.75" customHeight="1">
      <c r="A495" s="30"/>
      <c r="B495" s="30"/>
      <c r="C495" s="82"/>
      <c r="D495" s="30"/>
      <c r="E495" s="30"/>
      <c r="F495" s="30"/>
      <c r="G495" s="30"/>
      <c r="H495" s="30"/>
      <c r="I495" s="30"/>
      <c r="J495" s="30"/>
      <c r="K495" s="30"/>
      <c r="L495" s="30"/>
      <c r="M495" s="30"/>
    </row>
    <row r="496" ht="15.75" customHeight="1">
      <c r="A496" s="30"/>
      <c r="B496" s="30"/>
      <c r="C496" s="82"/>
      <c r="D496" s="30"/>
      <c r="E496" s="30"/>
      <c r="F496" s="30"/>
      <c r="G496" s="30"/>
      <c r="H496" s="30"/>
      <c r="I496" s="30"/>
      <c r="J496" s="30"/>
      <c r="K496" s="30"/>
      <c r="L496" s="30"/>
      <c r="M496" s="30"/>
    </row>
    <row r="497" ht="15.75" customHeight="1">
      <c r="A497" s="30"/>
      <c r="B497" s="30"/>
      <c r="C497" s="82"/>
      <c r="D497" s="30"/>
      <c r="E497" s="30"/>
      <c r="F497" s="30"/>
      <c r="G497" s="30"/>
      <c r="H497" s="30"/>
      <c r="I497" s="30"/>
      <c r="J497" s="30"/>
      <c r="K497" s="30"/>
      <c r="L497" s="30"/>
      <c r="M497" s="30"/>
    </row>
    <row r="498" ht="15.75" customHeight="1">
      <c r="A498" s="30"/>
      <c r="B498" s="30"/>
      <c r="C498" s="82"/>
      <c r="D498" s="30"/>
      <c r="E498" s="30"/>
      <c r="F498" s="30"/>
      <c r="G498" s="30"/>
      <c r="H498" s="30"/>
      <c r="I498" s="30"/>
      <c r="J498" s="30"/>
      <c r="K498" s="30"/>
      <c r="L498" s="30"/>
      <c r="M498" s="30"/>
    </row>
    <row r="499" ht="15.75" customHeight="1">
      <c r="A499" s="30"/>
      <c r="B499" s="30"/>
      <c r="C499" s="82"/>
      <c r="D499" s="30"/>
      <c r="E499" s="30"/>
      <c r="F499" s="30"/>
      <c r="G499" s="30"/>
      <c r="H499" s="30"/>
      <c r="I499" s="30"/>
      <c r="J499" s="30"/>
      <c r="K499" s="30"/>
      <c r="L499" s="30"/>
      <c r="M499" s="30"/>
    </row>
    <row r="500" ht="15.75" customHeight="1">
      <c r="A500" s="30"/>
      <c r="B500" s="30"/>
      <c r="C500" s="82"/>
      <c r="D500" s="30"/>
      <c r="E500" s="30"/>
      <c r="F500" s="30"/>
      <c r="G500" s="30"/>
      <c r="H500" s="30"/>
      <c r="I500" s="30"/>
      <c r="J500" s="30"/>
      <c r="K500" s="30"/>
      <c r="L500" s="30"/>
      <c r="M500" s="30"/>
    </row>
    <row r="501" ht="15.75" customHeight="1">
      <c r="A501" s="30"/>
      <c r="B501" s="30"/>
      <c r="C501" s="82"/>
      <c r="D501" s="30"/>
      <c r="E501" s="30"/>
      <c r="F501" s="30"/>
      <c r="G501" s="30"/>
      <c r="H501" s="30"/>
      <c r="I501" s="30"/>
      <c r="J501" s="30"/>
      <c r="K501" s="30"/>
      <c r="L501" s="30"/>
      <c r="M501" s="30"/>
    </row>
    <row r="502" ht="15.75" customHeight="1">
      <c r="A502" s="30"/>
      <c r="B502" s="30"/>
      <c r="C502" s="82"/>
      <c r="D502" s="30"/>
      <c r="E502" s="30"/>
      <c r="F502" s="30"/>
      <c r="G502" s="30"/>
      <c r="H502" s="30"/>
      <c r="I502" s="30"/>
      <c r="J502" s="30"/>
      <c r="K502" s="30"/>
      <c r="L502" s="30"/>
      <c r="M502" s="30"/>
    </row>
    <row r="503" ht="15.75" customHeight="1">
      <c r="A503" s="30"/>
      <c r="B503" s="30"/>
      <c r="C503" s="82"/>
      <c r="D503" s="30"/>
      <c r="E503" s="30"/>
      <c r="F503" s="30"/>
      <c r="G503" s="30"/>
      <c r="H503" s="30"/>
      <c r="I503" s="30"/>
      <c r="J503" s="30"/>
      <c r="K503" s="30"/>
      <c r="L503" s="30"/>
      <c r="M503" s="30"/>
    </row>
    <row r="504" ht="15.75" customHeight="1">
      <c r="A504" s="30"/>
      <c r="B504" s="30"/>
      <c r="C504" s="82"/>
      <c r="D504" s="30"/>
      <c r="E504" s="30"/>
      <c r="F504" s="30"/>
      <c r="G504" s="30"/>
      <c r="H504" s="30"/>
      <c r="I504" s="30"/>
      <c r="J504" s="30"/>
      <c r="K504" s="30"/>
      <c r="L504" s="30"/>
      <c r="M504" s="30"/>
    </row>
    <row r="505" ht="15.75" customHeight="1">
      <c r="A505" s="30"/>
      <c r="B505" s="30"/>
      <c r="C505" s="82"/>
      <c r="D505" s="30"/>
      <c r="E505" s="30"/>
      <c r="F505" s="30"/>
      <c r="G505" s="30"/>
      <c r="H505" s="30"/>
      <c r="I505" s="30"/>
      <c r="J505" s="30"/>
      <c r="K505" s="30"/>
      <c r="L505" s="30"/>
      <c r="M505" s="30"/>
    </row>
    <row r="506" ht="15.75" customHeight="1">
      <c r="A506" s="30"/>
      <c r="B506" s="30"/>
      <c r="C506" s="82"/>
      <c r="D506" s="30"/>
      <c r="E506" s="30"/>
      <c r="F506" s="30"/>
      <c r="G506" s="30"/>
      <c r="H506" s="30"/>
      <c r="I506" s="30"/>
      <c r="J506" s="30"/>
      <c r="K506" s="30"/>
      <c r="L506" s="30"/>
      <c r="M506" s="30"/>
    </row>
    <row r="507" ht="15.75" customHeight="1">
      <c r="A507" s="30"/>
      <c r="B507" s="30"/>
      <c r="C507" s="82"/>
      <c r="D507" s="30"/>
      <c r="E507" s="30"/>
      <c r="F507" s="30"/>
      <c r="G507" s="30"/>
      <c r="H507" s="30"/>
      <c r="I507" s="30"/>
      <c r="J507" s="30"/>
      <c r="K507" s="30"/>
      <c r="L507" s="30"/>
      <c r="M507" s="30"/>
    </row>
    <row r="508" ht="15.75" customHeight="1">
      <c r="A508" s="30"/>
      <c r="B508" s="30"/>
      <c r="C508" s="82"/>
      <c r="D508" s="30"/>
      <c r="E508" s="30"/>
      <c r="F508" s="30"/>
      <c r="G508" s="30"/>
      <c r="H508" s="30"/>
      <c r="I508" s="30"/>
      <c r="J508" s="30"/>
      <c r="K508" s="30"/>
      <c r="L508" s="30"/>
      <c r="M508" s="30"/>
    </row>
    <row r="509" ht="15.75" customHeight="1">
      <c r="A509" s="30"/>
      <c r="B509" s="30"/>
      <c r="C509" s="82"/>
      <c r="D509" s="30"/>
      <c r="E509" s="30"/>
      <c r="F509" s="30"/>
      <c r="G509" s="30"/>
      <c r="H509" s="30"/>
      <c r="I509" s="30"/>
      <c r="J509" s="30"/>
      <c r="K509" s="30"/>
      <c r="L509" s="30"/>
      <c r="M509" s="30"/>
    </row>
    <row r="510" ht="15.75" customHeight="1">
      <c r="A510" s="30"/>
      <c r="B510" s="30"/>
      <c r="C510" s="82"/>
      <c r="D510" s="30"/>
      <c r="E510" s="30"/>
      <c r="F510" s="30"/>
      <c r="G510" s="30"/>
      <c r="H510" s="30"/>
      <c r="I510" s="30"/>
      <c r="J510" s="30"/>
      <c r="K510" s="30"/>
      <c r="L510" s="30"/>
      <c r="M510" s="30"/>
    </row>
    <row r="511" ht="15.75" customHeight="1">
      <c r="A511" s="30"/>
      <c r="B511" s="30"/>
      <c r="C511" s="82"/>
      <c r="D511" s="30"/>
      <c r="E511" s="30"/>
      <c r="F511" s="30"/>
      <c r="G511" s="30"/>
      <c r="H511" s="30"/>
      <c r="I511" s="30"/>
      <c r="J511" s="30"/>
      <c r="K511" s="30"/>
      <c r="L511" s="30"/>
      <c r="M511" s="30"/>
    </row>
    <row r="512" ht="15.75" customHeight="1">
      <c r="A512" s="30"/>
      <c r="B512" s="30"/>
      <c r="C512" s="82"/>
      <c r="D512" s="30"/>
      <c r="E512" s="30"/>
      <c r="F512" s="30"/>
      <c r="G512" s="30"/>
      <c r="H512" s="30"/>
      <c r="I512" s="30"/>
      <c r="J512" s="30"/>
      <c r="K512" s="30"/>
      <c r="L512" s="30"/>
      <c r="M512" s="30"/>
    </row>
    <row r="513" ht="15.75" customHeight="1">
      <c r="A513" s="30"/>
      <c r="B513" s="30"/>
      <c r="C513" s="82"/>
      <c r="D513" s="30"/>
      <c r="E513" s="30"/>
      <c r="F513" s="30"/>
      <c r="G513" s="30"/>
      <c r="H513" s="30"/>
      <c r="I513" s="30"/>
      <c r="J513" s="30"/>
      <c r="K513" s="30"/>
      <c r="L513" s="30"/>
      <c r="M513" s="30"/>
    </row>
    <row r="514" ht="15.75" customHeight="1">
      <c r="A514" s="30"/>
      <c r="B514" s="30"/>
      <c r="C514" s="82"/>
      <c r="D514" s="30"/>
      <c r="E514" s="30"/>
      <c r="F514" s="30"/>
      <c r="G514" s="30"/>
      <c r="H514" s="30"/>
      <c r="I514" s="30"/>
      <c r="J514" s="30"/>
      <c r="K514" s="30"/>
      <c r="L514" s="30"/>
      <c r="M514" s="30"/>
    </row>
    <row r="515" ht="15.75" customHeight="1">
      <c r="A515" s="30"/>
      <c r="B515" s="30"/>
      <c r="C515" s="82"/>
      <c r="D515" s="30"/>
      <c r="E515" s="30"/>
      <c r="F515" s="30"/>
      <c r="G515" s="30"/>
      <c r="H515" s="30"/>
      <c r="I515" s="30"/>
      <c r="J515" s="30"/>
      <c r="K515" s="30"/>
      <c r="L515" s="30"/>
      <c r="M515" s="30"/>
    </row>
    <row r="516" ht="15.75" customHeight="1">
      <c r="A516" s="30"/>
      <c r="B516" s="30"/>
      <c r="C516" s="82"/>
      <c r="D516" s="30"/>
      <c r="E516" s="30"/>
      <c r="F516" s="30"/>
      <c r="G516" s="30"/>
      <c r="H516" s="30"/>
      <c r="I516" s="30"/>
      <c r="J516" s="30"/>
      <c r="K516" s="30"/>
      <c r="L516" s="30"/>
      <c r="M516" s="30"/>
    </row>
    <row r="517" ht="15.75" customHeight="1">
      <c r="A517" s="30"/>
      <c r="B517" s="30"/>
      <c r="C517" s="82"/>
      <c r="D517" s="30"/>
      <c r="E517" s="30"/>
      <c r="F517" s="30"/>
      <c r="G517" s="30"/>
      <c r="H517" s="30"/>
      <c r="I517" s="30"/>
      <c r="J517" s="30"/>
      <c r="K517" s="30"/>
      <c r="L517" s="30"/>
      <c r="M517" s="30"/>
    </row>
    <row r="518" ht="15.75" customHeight="1">
      <c r="A518" s="30"/>
      <c r="B518" s="30"/>
      <c r="C518" s="82"/>
      <c r="D518" s="30"/>
      <c r="E518" s="30"/>
      <c r="F518" s="30"/>
      <c r="G518" s="30"/>
      <c r="H518" s="30"/>
      <c r="I518" s="30"/>
      <c r="J518" s="30"/>
      <c r="K518" s="30"/>
      <c r="L518" s="30"/>
      <c r="M518" s="30"/>
    </row>
    <row r="519" ht="15.75" customHeight="1">
      <c r="A519" s="30"/>
      <c r="B519" s="30"/>
      <c r="C519" s="82"/>
      <c r="D519" s="30"/>
      <c r="E519" s="30"/>
      <c r="F519" s="30"/>
      <c r="G519" s="30"/>
      <c r="H519" s="30"/>
      <c r="I519" s="30"/>
      <c r="J519" s="30"/>
      <c r="K519" s="30"/>
      <c r="L519" s="30"/>
      <c r="M519" s="30"/>
    </row>
    <row r="520" ht="15.75" customHeight="1">
      <c r="A520" s="30"/>
      <c r="B520" s="30"/>
      <c r="C520" s="82"/>
      <c r="D520" s="30"/>
      <c r="E520" s="30"/>
      <c r="F520" s="30"/>
      <c r="G520" s="30"/>
      <c r="H520" s="30"/>
      <c r="I520" s="30"/>
      <c r="J520" s="30"/>
      <c r="K520" s="30"/>
      <c r="L520" s="30"/>
      <c r="M520" s="30"/>
    </row>
    <row r="521" ht="15.75" customHeight="1">
      <c r="A521" s="30"/>
      <c r="B521" s="30"/>
      <c r="C521" s="82"/>
      <c r="D521" s="30"/>
      <c r="E521" s="30"/>
      <c r="F521" s="30"/>
      <c r="G521" s="30"/>
      <c r="H521" s="30"/>
      <c r="I521" s="30"/>
      <c r="J521" s="30"/>
      <c r="K521" s="30"/>
      <c r="L521" s="30"/>
      <c r="M521" s="30"/>
    </row>
    <row r="522" ht="15.75" customHeight="1">
      <c r="A522" s="30"/>
      <c r="B522" s="30"/>
      <c r="C522" s="82"/>
      <c r="D522" s="30"/>
      <c r="E522" s="30"/>
      <c r="F522" s="30"/>
      <c r="G522" s="30"/>
      <c r="H522" s="30"/>
      <c r="I522" s="30"/>
      <c r="J522" s="30"/>
      <c r="K522" s="30"/>
      <c r="L522" s="30"/>
      <c r="M522" s="30"/>
    </row>
    <row r="523" ht="15.75" customHeight="1">
      <c r="A523" s="30"/>
      <c r="B523" s="30"/>
      <c r="C523" s="82"/>
      <c r="D523" s="30"/>
      <c r="E523" s="30"/>
      <c r="F523" s="30"/>
      <c r="G523" s="30"/>
      <c r="H523" s="30"/>
      <c r="I523" s="30"/>
      <c r="J523" s="30"/>
      <c r="K523" s="30"/>
      <c r="L523" s="30"/>
      <c r="M523" s="30"/>
    </row>
    <row r="524" ht="15.75" customHeight="1">
      <c r="A524" s="30"/>
      <c r="B524" s="30"/>
      <c r="C524" s="82"/>
      <c r="D524" s="30"/>
      <c r="E524" s="30"/>
      <c r="F524" s="30"/>
      <c r="G524" s="30"/>
      <c r="H524" s="30"/>
      <c r="I524" s="30"/>
      <c r="J524" s="30"/>
      <c r="K524" s="30"/>
      <c r="L524" s="30"/>
      <c r="M524" s="30"/>
    </row>
    <row r="525" ht="15.75" customHeight="1">
      <c r="A525" s="30"/>
      <c r="B525" s="30"/>
      <c r="C525" s="82"/>
      <c r="D525" s="30"/>
      <c r="E525" s="30"/>
      <c r="F525" s="30"/>
      <c r="G525" s="30"/>
      <c r="H525" s="30"/>
      <c r="I525" s="30"/>
      <c r="J525" s="30"/>
      <c r="K525" s="30"/>
      <c r="L525" s="30"/>
      <c r="M525" s="30"/>
    </row>
    <row r="526" ht="15.75" customHeight="1">
      <c r="A526" s="30"/>
      <c r="B526" s="30"/>
      <c r="C526" s="82"/>
      <c r="D526" s="30"/>
      <c r="E526" s="30"/>
      <c r="F526" s="30"/>
      <c r="G526" s="30"/>
      <c r="H526" s="30"/>
      <c r="I526" s="30"/>
      <c r="J526" s="30"/>
      <c r="K526" s="30"/>
      <c r="L526" s="30"/>
      <c r="M526" s="30"/>
    </row>
    <row r="527" ht="15.75" customHeight="1">
      <c r="A527" s="30"/>
      <c r="B527" s="30"/>
      <c r="C527" s="82"/>
      <c r="D527" s="30"/>
      <c r="E527" s="30"/>
      <c r="F527" s="30"/>
      <c r="G527" s="30"/>
      <c r="H527" s="30"/>
      <c r="I527" s="30"/>
      <c r="J527" s="30"/>
      <c r="K527" s="30"/>
      <c r="L527" s="30"/>
      <c r="M527" s="30"/>
    </row>
    <row r="528" ht="15.75" customHeight="1">
      <c r="A528" s="30"/>
      <c r="B528" s="30"/>
      <c r="C528" s="82"/>
      <c r="D528" s="30"/>
      <c r="E528" s="30"/>
      <c r="F528" s="30"/>
      <c r="G528" s="30"/>
      <c r="H528" s="30"/>
      <c r="I528" s="30"/>
      <c r="J528" s="30"/>
      <c r="K528" s="30"/>
      <c r="L528" s="30"/>
      <c r="M528" s="30"/>
    </row>
    <row r="529" ht="15.75" customHeight="1">
      <c r="A529" s="30"/>
      <c r="B529" s="30"/>
      <c r="C529" s="82"/>
      <c r="D529" s="30"/>
      <c r="E529" s="30"/>
      <c r="F529" s="30"/>
      <c r="G529" s="30"/>
      <c r="H529" s="30"/>
      <c r="I529" s="30"/>
      <c r="J529" s="30"/>
      <c r="K529" s="30"/>
      <c r="L529" s="30"/>
      <c r="M529" s="30"/>
    </row>
    <row r="530" ht="15.75" customHeight="1">
      <c r="A530" s="30"/>
      <c r="B530" s="30"/>
      <c r="C530" s="82"/>
      <c r="D530" s="30"/>
      <c r="E530" s="30"/>
      <c r="F530" s="30"/>
      <c r="G530" s="30"/>
      <c r="H530" s="30"/>
      <c r="I530" s="30"/>
      <c r="J530" s="30"/>
      <c r="K530" s="30"/>
      <c r="L530" s="30"/>
      <c r="M530" s="30"/>
    </row>
    <row r="531" ht="15.75" customHeight="1">
      <c r="A531" s="30"/>
      <c r="B531" s="30"/>
      <c r="C531" s="82"/>
      <c r="D531" s="30"/>
      <c r="E531" s="30"/>
      <c r="F531" s="30"/>
      <c r="G531" s="30"/>
      <c r="H531" s="30"/>
      <c r="I531" s="30"/>
      <c r="J531" s="30"/>
      <c r="K531" s="30"/>
      <c r="L531" s="30"/>
      <c r="M531" s="30"/>
    </row>
    <row r="532" ht="15.75" customHeight="1">
      <c r="A532" s="30"/>
      <c r="B532" s="30"/>
      <c r="C532" s="82"/>
      <c r="D532" s="30"/>
      <c r="E532" s="30"/>
      <c r="F532" s="30"/>
      <c r="G532" s="30"/>
      <c r="H532" s="30"/>
      <c r="I532" s="30"/>
      <c r="J532" s="30"/>
      <c r="K532" s="30"/>
      <c r="L532" s="30"/>
      <c r="M532" s="30"/>
    </row>
    <row r="533" ht="15.75" customHeight="1">
      <c r="A533" s="30"/>
      <c r="B533" s="30"/>
      <c r="C533" s="82"/>
      <c r="D533" s="30"/>
      <c r="E533" s="30"/>
      <c r="F533" s="30"/>
      <c r="G533" s="30"/>
      <c r="H533" s="30"/>
      <c r="I533" s="30"/>
      <c r="J533" s="30"/>
      <c r="K533" s="30"/>
      <c r="L533" s="30"/>
      <c r="M533" s="30"/>
    </row>
    <row r="534" ht="15.75" customHeight="1">
      <c r="A534" s="30"/>
      <c r="B534" s="30"/>
      <c r="C534" s="82"/>
      <c r="D534" s="30"/>
      <c r="E534" s="30"/>
      <c r="F534" s="30"/>
      <c r="G534" s="30"/>
      <c r="H534" s="30"/>
      <c r="I534" s="30"/>
      <c r="J534" s="30"/>
      <c r="K534" s="30"/>
      <c r="L534" s="30"/>
      <c r="M534" s="30"/>
    </row>
    <row r="535" ht="15.75" customHeight="1">
      <c r="A535" s="30"/>
      <c r="B535" s="30"/>
      <c r="C535" s="82"/>
      <c r="D535" s="30"/>
      <c r="E535" s="30"/>
      <c r="F535" s="30"/>
      <c r="G535" s="30"/>
      <c r="H535" s="30"/>
      <c r="I535" s="30"/>
      <c r="J535" s="30"/>
      <c r="K535" s="30"/>
      <c r="L535" s="30"/>
      <c r="M535" s="30"/>
    </row>
    <row r="536" ht="15.75" customHeight="1">
      <c r="A536" s="30"/>
      <c r="B536" s="30"/>
      <c r="C536" s="82"/>
      <c r="D536" s="30"/>
      <c r="E536" s="30"/>
      <c r="F536" s="30"/>
      <c r="G536" s="30"/>
      <c r="H536" s="30"/>
      <c r="I536" s="30"/>
      <c r="J536" s="30"/>
      <c r="K536" s="30"/>
      <c r="L536" s="30"/>
      <c r="M536" s="30"/>
    </row>
    <row r="537" ht="15.75" customHeight="1">
      <c r="A537" s="30"/>
      <c r="B537" s="30"/>
      <c r="C537" s="82"/>
      <c r="D537" s="30"/>
      <c r="E537" s="30"/>
      <c r="F537" s="30"/>
      <c r="G537" s="30"/>
      <c r="H537" s="30"/>
      <c r="I537" s="30"/>
      <c r="J537" s="30"/>
      <c r="K537" s="30"/>
      <c r="L537" s="30"/>
      <c r="M537" s="30"/>
    </row>
    <row r="538" ht="15.75" customHeight="1">
      <c r="A538" s="30"/>
      <c r="B538" s="30"/>
      <c r="C538" s="82"/>
      <c r="D538" s="30"/>
      <c r="E538" s="30"/>
      <c r="F538" s="30"/>
      <c r="G538" s="30"/>
      <c r="H538" s="30"/>
      <c r="I538" s="30"/>
      <c r="J538" s="30"/>
      <c r="K538" s="30"/>
      <c r="L538" s="30"/>
      <c r="M538" s="30"/>
    </row>
    <row r="539" ht="15.75" customHeight="1">
      <c r="A539" s="30"/>
      <c r="B539" s="30"/>
      <c r="C539" s="82"/>
      <c r="D539" s="30"/>
      <c r="E539" s="30"/>
      <c r="F539" s="30"/>
      <c r="G539" s="30"/>
      <c r="H539" s="30"/>
      <c r="I539" s="30"/>
      <c r="J539" s="30"/>
      <c r="K539" s="30"/>
      <c r="L539" s="30"/>
      <c r="M539" s="30"/>
    </row>
    <row r="540" ht="15.75" customHeight="1">
      <c r="A540" s="30"/>
      <c r="B540" s="30"/>
      <c r="C540" s="82"/>
      <c r="D540" s="30"/>
      <c r="E540" s="30"/>
      <c r="F540" s="30"/>
      <c r="G540" s="30"/>
      <c r="H540" s="30"/>
      <c r="I540" s="30"/>
      <c r="J540" s="30"/>
      <c r="K540" s="30"/>
      <c r="L540" s="30"/>
      <c r="M540" s="30"/>
    </row>
    <row r="541" ht="15.75" customHeight="1">
      <c r="A541" s="30"/>
      <c r="B541" s="30"/>
      <c r="C541" s="82"/>
      <c r="D541" s="30"/>
      <c r="E541" s="30"/>
      <c r="F541" s="30"/>
      <c r="G541" s="30"/>
      <c r="H541" s="30"/>
      <c r="I541" s="30"/>
      <c r="J541" s="30"/>
      <c r="K541" s="30"/>
      <c r="L541" s="30"/>
      <c r="M541" s="30"/>
    </row>
    <row r="542" ht="15.75" customHeight="1">
      <c r="A542" s="30"/>
      <c r="B542" s="30"/>
      <c r="C542" s="82"/>
      <c r="D542" s="30"/>
      <c r="E542" s="30"/>
      <c r="F542" s="30"/>
      <c r="G542" s="30"/>
      <c r="H542" s="30"/>
      <c r="I542" s="30"/>
      <c r="J542" s="30"/>
      <c r="K542" s="30"/>
      <c r="L542" s="30"/>
      <c r="M542" s="30"/>
    </row>
    <row r="543" ht="15.75" customHeight="1">
      <c r="A543" s="30"/>
      <c r="B543" s="30"/>
      <c r="C543" s="82"/>
      <c r="D543" s="30"/>
      <c r="E543" s="30"/>
      <c r="F543" s="30"/>
      <c r="G543" s="30"/>
      <c r="H543" s="30"/>
      <c r="I543" s="30"/>
      <c r="J543" s="30"/>
      <c r="K543" s="30"/>
      <c r="L543" s="30"/>
      <c r="M543" s="30"/>
    </row>
    <row r="544" ht="15.75" customHeight="1">
      <c r="A544" s="30"/>
      <c r="B544" s="30"/>
      <c r="C544" s="82"/>
      <c r="D544" s="30"/>
      <c r="E544" s="30"/>
      <c r="F544" s="30"/>
      <c r="G544" s="30"/>
      <c r="H544" s="30"/>
      <c r="I544" s="30"/>
      <c r="J544" s="30"/>
      <c r="K544" s="30"/>
      <c r="L544" s="30"/>
      <c r="M544" s="30"/>
    </row>
    <row r="545" ht="15.75" customHeight="1">
      <c r="A545" s="30"/>
      <c r="B545" s="30"/>
      <c r="C545" s="82"/>
      <c r="D545" s="30"/>
      <c r="E545" s="30"/>
      <c r="F545" s="30"/>
      <c r="G545" s="30"/>
      <c r="H545" s="30"/>
      <c r="I545" s="30"/>
      <c r="J545" s="30"/>
      <c r="K545" s="30"/>
      <c r="L545" s="30"/>
      <c r="M545" s="30"/>
    </row>
    <row r="546" ht="15.75" customHeight="1">
      <c r="A546" s="30"/>
      <c r="B546" s="30"/>
      <c r="C546" s="82"/>
      <c r="D546" s="30"/>
      <c r="E546" s="30"/>
      <c r="F546" s="30"/>
      <c r="G546" s="30"/>
      <c r="H546" s="30"/>
      <c r="I546" s="30"/>
      <c r="J546" s="30"/>
      <c r="K546" s="30"/>
      <c r="L546" s="30"/>
      <c r="M546" s="30"/>
    </row>
    <row r="547" ht="15.75" customHeight="1">
      <c r="A547" s="30"/>
      <c r="B547" s="30"/>
      <c r="C547" s="82"/>
      <c r="D547" s="30"/>
      <c r="E547" s="30"/>
      <c r="F547" s="30"/>
      <c r="G547" s="30"/>
      <c r="H547" s="30"/>
      <c r="I547" s="30"/>
      <c r="J547" s="30"/>
      <c r="K547" s="30"/>
      <c r="L547" s="30"/>
      <c r="M547" s="30"/>
    </row>
    <row r="548" ht="15.75" customHeight="1">
      <c r="A548" s="30"/>
      <c r="B548" s="30"/>
      <c r="C548" s="82"/>
      <c r="D548" s="30"/>
      <c r="E548" s="30"/>
      <c r="F548" s="30"/>
      <c r="G548" s="30"/>
      <c r="H548" s="30"/>
      <c r="I548" s="30"/>
      <c r="J548" s="30"/>
      <c r="K548" s="30"/>
      <c r="L548" s="30"/>
      <c r="M548" s="30"/>
    </row>
    <row r="549" ht="15.75" customHeight="1">
      <c r="A549" s="30"/>
      <c r="B549" s="30"/>
      <c r="C549" s="82"/>
      <c r="D549" s="30"/>
      <c r="E549" s="30"/>
      <c r="F549" s="30"/>
      <c r="G549" s="30"/>
      <c r="H549" s="30"/>
      <c r="I549" s="30"/>
      <c r="J549" s="30"/>
      <c r="K549" s="30"/>
      <c r="L549" s="30"/>
      <c r="M549" s="30"/>
    </row>
    <row r="550" ht="15.75" customHeight="1">
      <c r="A550" s="30"/>
      <c r="B550" s="30"/>
      <c r="C550" s="82"/>
      <c r="D550" s="30"/>
      <c r="E550" s="30"/>
      <c r="F550" s="30"/>
      <c r="G550" s="30"/>
      <c r="H550" s="30"/>
      <c r="I550" s="30"/>
      <c r="J550" s="30"/>
      <c r="K550" s="30"/>
      <c r="L550" s="30"/>
      <c r="M550" s="30"/>
    </row>
    <row r="551" ht="15.75" customHeight="1">
      <c r="A551" s="30"/>
      <c r="B551" s="30"/>
      <c r="C551" s="82"/>
      <c r="D551" s="30"/>
      <c r="E551" s="30"/>
      <c r="F551" s="30"/>
      <c r="G551" s="30"/>
      <c r="H551" s="30"/>
      <c r="I551" s="30"/>
      <c r="J551" s="30"/>
      <c r="K551" s="30"/>
      <c r="L551" s="30"/>
      <c r="M551" s="30"/>
    </row>
    <row r="552" ht="15.75" customHeight="1">
      <c r="A552" s="30"/>
      <c r="B552" s="30"/>
      <c r="C552" s="82"/>
      <c r="D552" s="30"/>
      <c r="E552" s="30"/>
      <c r="F552" s="30"/>
      <c r="G552" s="30"/>
      <c r="H552" s="30"/>
      <c r="I552" s="30"/>
      <c r="J552" s="30"/>
      <c r="K552" s="30"/>
      <c r="L552" s="30"/>
      <c r="M552" s="30"/>
    </row>
    <row r="553" ht="15.75" customHeight="1">
      <c r="A553" s="30"/>
      <c r="B553" s="30"/>
      <c r="C553" s="82"/>
      <c r="D553" s="30"/>
      <c r="E553" s="30"/>
      <c r="F553" s="30"/>
      <c r="G553" s="30"/>
      <c r="H553" s="30"/>
      <c r="I553" s="30"/>
      <c r="J553" s="30"/>
      <c r="K553" s="30"/>
      <c r="L553" s="30"/>
      <c r="M553" s="30"/>
    </row>
    <row r="554" ht="15.75" customHeight="1">
      <c r="A554" s="30"/>
      <c r="B554" s="30"/>
      <c r="C554" s="82"/>
      <c r="D554" s="30"/>
      <c r="E554" s="30"/>
      <c r="F554" s="30"/>
      <c r="G554" s="30"/>
      <c r="H554" s="30"/>
      <c r="I554" s="30"/>
      <c r="J554" s="30"/>
      <c r="K554" s="30"/>
      <c r="L554" s="30"/>
      <c r="M554" s="30"/>
    </row>
    <row r="555" ht="15.75" customHeight="1">
      <c r="A555" s="30"/>
      <c r="B555" s="30"/>
      <c r="C555" s="82"/>
      <c r="D555" s="30"/>
      <c r="E555" s="30"/>
      <c r="F555" s="30"/>
      <c r="G555" s="30"/>
      <c r="H555" s="30"/>
      <c r="I555" s="30"/>
      <c r="J555" s="30"/>
      <c r="K555" s="30"/>
      <c r="L555" s="30"/>
      <c r="M555" s="30"/>
    </row>
    <row r="556" ht="15.75" customHeight="1">
      <c r="A556" s="30"/>
      <c r="B556" s="30"/>
      <c r="C556" s="82"/>
      <c r="D556" s="30"/>
      <c r="E556" s="30"/>
      <c r="F556" s="30"/>
      <c r="G556" s="30"/>
      <c r="H556" s="30"/>
      <c r="I556" s="30"/>
      <c r="J556" s="30"/>
      <c r="K556" s="30"/>
      <c r="L556" s="30"/>
      <c r="M556" s="30"/>
    </row>
    <row r="557" ht="15.75" customHeight="1">
      <c r="A557" s="30"/>
      <c r="B557" s="30"/>
      <c r="C557" s="82"/>
      <c r="D557" s="30"/>
      <c r="E557" s="30"/>
      <c r="F557" s="30"/>
      <c r="G557" s="30"/>
      <c r="H557" s="30"/>
      <c r="I557" s="30"/>
      <c r="J557" s="30"/>
      <c r="K557" s="30"/>
      <c r="L557" s="30"/>
      <c r="M557" s="30"/>
    </row>
    <row r="558" ht="15.75" customHeight="1">
      <c r="A558" s="30"/>
      <c r="B558" s="30"/>
      <c r="C558" s="82"/>
      <c r="D558" s="30"/>
      <c r="E558" s="30"/>
      <c r="F558" s="30"/>
      <c r="G558" s="30"/>
      <c r="H558" s="30"/>
      <c r="I558" s="30"/>
      <c r="J558" s="30"/>
      <c r="K558" s="30"/>
      <c r="L558" s="30"/>
      <c r="M558" s="30"/>
    </row>
    <row r="559" ht="15.75" customHeight="1">
      <c r="A559" s="30"/>
      <c r="B559" s="30"/>
      <c r="C559" s="82"/>
      <c r="D559" s="30"/>
      <c r="E559" s="30"/>
      <c r="F559" s="30"/>
      <c r="G559" s="30"/>
      <c r="H559" s="30"/>
      <c r="I559" s="30"/>
      <c r="J559" s="30"/>
      <c r="K559" s="30"/>
      <c r="L559" s="30"/>
      <c r="M559" s="30"/>
    </row>
    <row r="560" ht="15.75" customHeight="1">
      <c r="A560" s="30"/>
      <c r="B560" s="30"/>
      <c r="C560" s="82"/>
      <c r="D560" s="30"/>
      <c r="E560" s="30"/>
      <c r="F560" s="30"/>
      <c r="G560" s="30"/>
      <c r="H560" s="30"/>
      <c r="I560" s="30"/>
      <c r="J560" s="30"/>
      <c r="K560" s="30"/>
      <c r="L560" s="30"/>
      <c r="M560" s="30"/>
    </row>
    <row r="561" ht="15.75" customHeight="1">
      <c r="A561" s="30"/>
      <c r="B561" s="30"/>
      <c r="C561" s="82"/>
      <c r="D561" s="30"/>
      <c r="E561" s="30"/>
      <c r="F561" s="30"/>
      <c r="G561" s="30"/>
      <c r="H561" s="30"/>
      <c r="I561" s="30"/>
      <c r="J561" s="30"/>
      <c r="K561" s="30"/>
      <c r="L561" s="30"/>
      <c r="M561" s="30"/>
    </row>
    <row r="562" ht="15.75" customHeight="1">
      <c r="A562" s="30"/>
      <c r="B562" s="30"/>
      <c r="C562" s="82"/>
      <c r="D562" s="30"/>
      <c r="E562" s="30"/>
      <c r="F562" s="30"/>
      <c r="G562" s="30"/>
      <c r="H562" s="30"/>
      <c r="I562" s="30"/>
      <c r="J562" s="30"/>
      <c r="K562" s="30"/>
      <c r="L562" s="30"/>
      <c r="M562" s="30"/>
    </row>
    <row r="563" ht="15.75" customHeight="1">
      <c r="A563" s="30"/>
      <c r="B563" s="30"/>
      <c r="C563" s="82"/>
      <c r="D563" s="30"/>
      <c r="E563" s="30"/>
      <c r="F563" s="30"/>
      <c r="G563" s="30"/>
      <c r="H563" s="30"/>
      <c r="I563" s="30"/>
      <c r="J563" s="30"/>
      <c r="K563" s="30"/>
      <c r="L563" s="30"/>
      <c r="M563" s="30"/>
    </row>
    <row r="564" ht="15.75" customHeight="1">
      <c r="A564" s="30"/>
      <c r="B564" s="30"/>
      <c r="C564" s="82"/>
      <c r="D564" s="30"/>
      <c r="E564" s="30"/>
      <c r="F564" s="30"/>
      <c r="G564" s="30"/>
      <c r="H564" s="30"/>
      <c r="I564" s="30"/>
      <c r="J564" s="30"/>
      <c r="K564" s="30"/>
      <c r="L564" s="30"/>
      <c r="M564" s="30"/>
    </row>
    <row r="565" ht="15.75" customHeight="1">
      <c r="A565" s="30"/>
      <c r="B565" s="30"/>
      <c r="C565" s="82"/>
      <c r="D565" s="30"/>
      <c r="E565" s="30"/>
      <c r="F565" s="30"/>
      <c r="G565" s="30"/>
      <c r="H565" s="30"/>
      <c r="I565" s="30"/>
      <c r="J565" s="30"/>
      <c r="K565" s="30"/>
      <c r="L565" s="30"/>
      <c r="M565" s="30"/>
    </row>
    <row r="566" ht="15.75" customHeight="1">
      <c r="A566" s="30"/>
      <c r="B566" s="30"/>
      <c r="C566" s="82"/>
      <c r="D566" s="30"/>
      <c r="E566" s="30"/>
      <c r="F566" s="30"/>
      <c r="G566" s="30"/>
      <c r="H566" s="30"/>
      <c r="I566" s="30"/>
      <c r="J566" s="30"/>
      <c r="K566" s="30"/>
      <c r="L566" s="30"/>
      <c r="M566" s="30"/>
    </row>
    <row r="567" ht="15.75" customHeight="1">
      <c r="A567" s="30"/>
      <c r="B567" s="30"/>
      <c r="C567" s="82"/>
      <c r="D567" s="30"/>
      <c r="E567" s="30"/>
      <c r="F567" s="30"/>
      <c r="G567" s="30"/>
      <c r="H567" s="30"/>
      <c r="I567" s="30"/>
      <c r="J567" s="30"/>
      <c r="K567" s="30"/>
      <c r="L567" s="30"/>
      <c r="M567" s="30"/>
    </row>
    <row r="568" ht="15.75" customHeight="1">
      <c r="A568" s="30"/>
      <c r="B568" s="30"/>
      <c r="C568" s="82"/>
      <c r="D568" s="30"/>
      <c r="E568" s="30"/>
      <c r="F568" s="30"/>
      <c r="G568" s="30"/>
      <c r="H568" s="30"/>
      <c r="I568" s="30"/>
      <c r="J568" s="30"/>
      <c r="K568" s="30"/>
      <c r="L568" s="30"/>
      <c r="M568" s="30"/>
    </row>
    <row r="569" ht="15.75" customHeight="1">
      <c r="A569" s="30"/>
      <c r="B569" s="30"/>
      <c r="C569" s="82"/>
      <c r="D569" s="30"/>
      <c r="E569" s="30"/>
      <c r="F569" s="30"/>
      <c r="G569" s="30"/>
      <c r="H569" s="30"/>
      <c r="I569" s="30"/>
      <c r="J569" s="30"/>
      <c r="K569" s="30"/>
      <c r="L569" s="30"/>
      <c r="M569" s="30"/>
    </row>
    <row r="570" ht="15.75" customHeight="1">
      <c r="A570" s="30"/>
      <c r="B570" s="30"/>
      <c r="C570" s="82"/>
      <c r="D570" s="30"/>
      <c r="E570" s="30"/>
      <c r="F570" s="30"/>
      <c r="G570" s="30"/>
      <c r="H570" s="30"/>
      <c r="I570" s="30"/>
      <c r="J570" s="30"/>
      <c r="K570" s="30"/>
      <c r="L570" s="30"/>
      <c r="M570" s="30"/>
    </row>
    <row r="571" ht="15.75" customHeight="1">
      <c r="A571" s="30"/>
      <c r="B571" s="30"/>
      <c r="C571" s="82"/>
      <c r="D571" s="30"/>
      <c r="E571" s="30"/>
      <c r="F571" s="30"/>
      <c r="G571" s="30"/>
      <c r="H571" s="30"/>
      <c r="I571" s="30"/>
      <c r="J571" s="30"/>
      <c r="K571" s="30"/>
      <c r="L571" s="30"/>
      <c r="M571" s="30"/>
    </row>
    <row r="572" ht="15.75" customHeight="1">
      <c r="A572" s="30"/>
      <c r="B572" s="30"/>
      <c r="C572" s="82"/>
      <c r="D572" s="30"/>
      <c r="E572" s="30"/>
      <c r="F572" s="30"/>
      <c r="G572" s="30"/>
      <c r="H572" s="30"/>
      <c r="I572" s="30"/>
      <c r="J572" s="30"/>
      <c r="K572" s="30"/>
      <c r="L572" s="30"/>
      <c r="M572" s="30"/>
    </row>
    <row r="573" ht="15.75" customHeight="1">
      <c r="A573" s="30"/>
      <c r="B573" s="30"/>
      <c r="C573" s="82"/>
      <c r="D573" s="30"/>
      <c r="E573" s="30"/>
      <c r="F573" s="30"/>
      <c r="G573" s="30"/>
      <c r="H573" s="30"/>
      <c r="I573" s="30"/>
      <c r="J573" s="30"/>
      <c r="K573" s="30"/>
      <c r="L573" s="30"/>
      <c r="M573" s="30"/>
    </row>
    <row r="574" ht="15.75" customHeight="1">
      <c r="A574" s="30"/>
      <c r="B574" s="30"/>
      <c r="C574" s="82"/>
      <c r="D574" s="30"/>
      <c r="E574" s="30"/>
      <c r="F574" s="30"/>
      <c r="G574" s="30"/>
      <c r="H574" s="30"/>
      <c r="I574" s="30"/>
      <c r="J574" s="30"/>
      <c r="K574" s="30"/>
      <c r="L574" s="30"/>
      <c r="M574" s="30"/>
    </row>
    <row r="575" ht="15.75" customHeight="1">
      <c r="A575" s="30"/>
      <c r="B575" s="30"/>
      <c r="C575" s="82"/>
      <c r="D575" s="30"/>
      <c r="E575" s="30"/>
      <c r="F575" s="30"/>
      <c r="G575" s="30"/>
      <c r="H575" s="30"/>
      <c r="I575" s="30"/>
      <c r="J575" s="30"/>
      <c r="K575" s="30"/>
      <c r="L575" s="30"/>
      <c r="M575" s="30"/>
    </row>
    <row r="576" ht="15.75" customHeight="1">
      <c r="A576" s="30"/>
      <c r="B576" s="30"/>
      <c r="C576" s="82"/>
      <c r="D576" s="30"/>
      <c r="E576" s="30"/>
      <c r="F576" s="30"/>
      <c r="G576" s="30"/>
      <c r="H576" s="30"/>
      <c r="I576" s="30"/>
      <c r="J576" s="30"/>
      <c r="K576" s="30"/>
      <c r="L576" s="30"/>
      <c r="M576" s="30"/>
    </row>
    <row r="577" ht="15.75" customHeight="1">
      <c r="A577" s="30"/>
      <c r="B577" s="30"/>
      <c r="C577" s="82"/>
      <c r="D577" s="30"/>
      <c r="E577" s="30"/>
      <c r="F577" s="30"/>
      <c r="G577" s="30"/>
      <c r="H577" s="30"/>
      <c r="I577" s="30"/>
      <c r="J577" s="30"/>
      <c r="K577" s="30"/>
      <c r="L577" s="30"/>
      <c r="M577" s="30"/>
    </row>
    <row r="578" ht="15.75" customHeight="1">
      <c r="A578" s="30"/>
      <c r="B578" s="30"/>
      <c r="C578" s="82"/>
      <c r="D578" s="30"/>
      <c r="E578" s="30"/>
      <c r="F578" s="30"/>
      <c r="G578" s="30"/>
      <c r="H578" s="30"/>
      <c r="I578" s="30"/>
      <c r="J578" s="30"/>
      <c r="K578" s="30"/>
      <c r="L578" s="30"/>
      <c r="M578" s="30"/>
    </row>
    <row r="579" ht="15.75" customHeight="1">
      <c r="A579" s="30"/>
      <c r="B579" s="30"/>
      <c r="C579" s="82"/>
      <c r="D579" s="30"/>
      <c r="E579" s="30"/>
      <c r="F579" s="30"/>
      <c r="G579" s="30"/>
      <c r="H579" s="30"/>
      <c r="I579" s="30"/>
      <c r="J579" s="30"/>
      <c r="K579" s="30"/>
      <c r="L579" s="30"/>
      <c r="M579" s="30"/>
    </row>
    <row r="580" ht="15.75" customHeight="1">
      <c r="A580" s="30"/>
      <c r="B580" s="30"/>
      <c r="C580" s="82"/>
      <c r="D580" s="30"/>
      <c r="E580" s="30"/>
      <c r="F580" s="30"/>
      <c r="G580" s="30"/>
      <c r="H580" s="30"/>
      <c r="I580" s="30"/>
      <c r="J580" s="30"/>
      <c r="K580" s="30"/>
      <c r="L580" s="30"/>
      <c r="M580" s="30"/>
    </row>
    <row r="581" ht="15.75" customHeight="1">
      <c r="A581" s="30"/>
      <c r="B581" s="30"/>
      <c r="C581" s="82"/>
      <c r="D581" s="30"/>
      <c r="E581" s="30"/>
      <c r="F581" s="30"/>
      <c r="G581" s="30"/>
      <c r="H581" s="30"/>
      <c r="I581" s="30"/>
      <c r="J581" s="30"/>
      <c r="K581" s="30"/>
      <c r="L581" s="30"/>
      <c r="M581" s="30"/>
    </row>
    <row r="582" ht="15.75" customHeight="1">
      <c r="A582" s="30"/>
      <c r="B582" s="30"/>
      <c r="C582" s="82"/>
      <c r="D582" s="30"/>
      <c r="E582" s="30"/>
      <c r="F582" s="30"/>
      <c r="G582" s="30"/>
      <c r="H582" s="30"/>
      <c r="I582" s="30"/>
      <c r="J582" s="30"/>
      <c r="K582" s="30"/>
      <c r="L582" s="30"/>
      <c r="M582" s="30"/>
    </row>
    <row r="583" ht="15.75" customHeight="1">
      <c r="A583" s="30"/>
      <c r="B583" s="30"/>
      <c r="C583" s="82"/>
      <c r="D583" s="30"/>
      <c r="E583" s="30"/>
      <c r="F583" s="30"/>
      <c r="G583" s="30"/>
      <c r="H583" s="30"/>
      <c r="I583" s="30"/>
      <c r="J583" s="30"/>
      <c r="K583" s="30"/>
      <c r="L583" s="30"/>
      <c r="M583" s="30"/>
    </row>
    <row r="584" ht="15.75" customHeight="1">
      <c r="A584" s="30"/>
      <c r="B584" s="30"/>
      <c r="C584" s="82"/>
      <c r="D584" s="30"/>
      <c r="E584" s="30"/>
      <c r="F584" s="30"/>
      <c r="G584" s="30"/>
      <c r="H584" s="30"/>
      <c r="I584" s="30"/>
      <c r="J584" s="30"/>
      <c r="K584" s="30"/>
      <c r="L584" s="30"/>
      <c r="M584" s="30"/>
    </row>
    <row r="585" ht="15.75" customHeight="1">
      <c r="A585" s="30"/>
      <c r="B585" s="30"/>
      <c r="C585" s="82"/>
      <c r="D585" s="30"/>
      <c r="E585" s="30"/>
      <c r="F585" s="30"/>
      <c r="G585" s="30"/>
      <c r="H585" s="30"/>
      <c r="I585" s="30"/>
      <c r="J585" s="30"/>
      <c r="K585" s="30"/>
      <c r="L585" s="30"/>
      <c r="M585" s="30"/>
    </row>
    <row r="586" ht="15.75" customHeight="1">
      <c r="A586" s="30"/>
      <c r="B586" s="30"/>
      <c r="C586" s="82"/>
      <c r="D586" s="30"/>
      <c r="E586" s="30"/>
      <c r="F586" s="30"/>
      <c r="G586" s="30"/>
      <c r="H586" s="30"/>
      <c r="I586" s="30"/>
      <c r="J586" s="30"/>
      <c r="K586" s="30"/>
      <c r="L586" s="30"/>
      <c r="M586" s="30"/>
    </row>
    <row r="587" ht="15.75" customHeight="1">
      <c r="A587" s="30"/>
      <c r="B587" s="30"/>
      <c r="C587" s="82"/>
      <c r="D587" s="30"/>
      <c r="E587" s="30"/>
      <c r="F587" s="30"/>
      <c r="G587" s="30"/>
      <c r="H587" s="30"/>
      <c r="I587" s="30"/>
      <c r="J587" s="30"/>
      <c r="K587" s="30"/>
      <c r="L587" s="30"/>
      <c r="M587" s="30"/>
    </row>
    <row r="588" ht="15.75" customHeight="1">
      <c r="A588" s="30"/>
      <c r="B588" s="30"/>
      <c r="C588" s="82"/>
      <c r="D588" s="30"/>
      <c r="E588" s="30"/>
      <c r="F588" s="30"/>
      <c r="G588" s="30"/>
      <c r="H588" s="30"/>
      <c r="I588" s="30"/>
      <c r="J588" s="30"/>
      <c r="K588" s="30"/>
      <c r="L588" s="30"/>
      <c r="M588" s="30"/>
    </row>
    <row r="589" ht="15.75" customHeight="1">
      <c r="A589" s="30"/>
      <c r="B589" s="30"/>
      <c r="C589" s="82"/>
      <c r="D589" s="30"/>
      <c r="E589" s="30"/>
      <c r="F589" s="30"/>
      <c r="G589" s="30"/>
      <c r="H589" s="30"/>
      <c r="I589" s="30"/>
      <c r="J589" s="30"/>
      <c r="K589" s="30"/>
      <c r="L589" s="30"/>
      <c r="M589" s="30"/>
    </row>
    <row r="590" ht="15.75" customHeight="1">
      <c r="A590" s="30"/>
      <c r="B590" s="30"/>
      <c r="C590" s="82"/>
      <c r="D590" s="30"/>
      <c r="E590" s="30"/>
      <c r="F590" s="30"/>
      <c r="G590" s="30"/>
      <c r="H590" s="30"/>
      <c r="I590" s="30"/>
      <c r="J590" s="30"/>
      <c r="K590" s="30"/>
      <c r="L590" s="30"/>
      <c r="M590" s="30"/>
    </row>
    <row r="591" ht="15.75" customHeight="1">
      <c r="A591" s="30"/>
      <c r="B591" s="30"/>
      <c r="C591" s="82"/>
      <c r="D591" s="30"/>
      <c r="E591" s="30"/>
      <c r="F591" s="30"/>
      <c r="G591" s="30"/>
      <c r="H591" s="30"/>
      <c r="I591" s="30"/>
      <c r="J591" s="30"/>
      <c r="K591" s="30"/>
      <c r="L591" s="30"/>
      <c r="M591" s="30"/>
    </row>
    <row r="592" ht="15.75" customHeight="1">
      <c r="A592" s="30"/>
      <c r="B592" s="30"/>
      <c r="C592" s="82"/>
      <c r="D592" s="30"/>
      <c r="E592" s="30"/>
      <c r="F592" s="30"/>
      <c r="G592" s="30"/>
      <c r="H592" s="30"/>
      <c r="I592" s="30"/>
      <c r="J592" s="30"/>
      <c r="K592" s="30"/>
      <c r="L592" s="30"/>
      <c r="M592" s="30"/>
    </row>
    <row r="593" ht="15.75" customHeight="1">
      <c r="A593" s="30"/>
      <c r="B593" s="30"/>
      <c r="C593" s="82"/>
      <c r="D593" s="30"/>
      <c r="E593" s="30"/>
      <c r="F593" s="30"/>
      <c r="G593" s="30"/>
      <c r="H593" s="30"/>
      <c r="I593" s="30"/>
      <c r="J593" s="30"/>
      <c r="K593" s="30"/>
      <c r="L593" s="30"/>
      <c r="M593" s="30"/>
    </row>
    <row r="594" ht="15.75" customHeight="1">
      <c r="A594" s="30"/>
      <c r="B594" s="30"/>
      <c r="C594" s="82"/>
      <c r="D594" s="30"/>
      <c r="E594" s="30"/>
      <c r="F594" s="30"/>
      <c r="G594" s="30"/>
      <c r="H594" s="30"/>
      <c r="I594" s="30"/>
      <c r="J594" s="30"/>
      <c r="K594" s="30"/>
      <c r="L594" s="30"/>
      <c r="M594" s="30"/>
    </row>
    <row r="595" ht="15.75" customHeight="1">
      <c r="A595" s="30"/>
      <c r="B595" s="30"/>
      <c r="C595" s="82"/>
      <c r="D595" s="30"/>
      <c r="E595" s="30"/>
      <c r="F595" s="30"/>
      <c r="G595" s="30"/>
      <c r="H595" s="30"/>
      <c r="I595" s="30"/>
      <c r="J595" s="30"/>
      <c r="K595" s="30"/>
      <c r="L595" s="30"/>
      <c r="M595" s="30"/>
    </row>
    <row r="596" ht="15.75" customHeight="1">
      <c r="A596" s="30"/>
      <c r="B596" s="30"/>
      <c r="C596" s="82"/>
      <c r="D596" s="30"/>
      <c r="E596" s="30"/>
      <c r="F596" s="30"/>
      <c r="G596" s="30"/>
      <c r="H596" s="30"/>
      <c r="I596" s="30"/>
      <c r="J596" s="30"/>
      <c r="K596" s="30"/>
      <c r="L596" s="30"/>
      <c r="M596" s="30"/>
    </row>
    <row r="597" ht="15.75" customHeight="1">
      <c r="A597" s="30"/>
      <c r="B597" s="30"/>
      <c r="C597" s="82"/>
      <c r="D597" s="30"/>
      <c r="E597" s="30"/>
      <c r="F597" s="30"/>
      <c r="G597" s="30"/>
      <c r="H597" s="30"/>
      <c r="I597" s="30"/>
      <c r="J597" s="30"/>
      <c r="K597" s="30"/>
      <c r="L597" s="30"/>
      <c r="M597" s="30"/>
    </row>
    <row r="598" ht="15.75" customHeight="1">
      <c r="A598" s="30"/>
      <c r="B598" s="30"/>
      <c r="C598" s="82"/>
      <c r="D598" s="30"/>
      <c r="E598" s="30"/>
      <c r="F598" s="30"/>
      <c r="G598" s="30"/>
      <c r="H598" s="30"/>
      <c r="I598" s="30"/>
      <c r="J598" s="30"/>
      <c r="K598" s="30"/>
      <c r="L598" s="30"/>
      <c r="M598" s="30"/>
    </row>
    <row r="599" ht="15.75" customHeight="1">
      <c r="A599" s="30"/>
      <c r="B599" s="30"/>
      <c r="C599" s="82"/>
      <c r="D599" s="30"/>
      <c r="E599" s="30"/>
      <c r="F599" s="30"/>
      <c r="G599" s="30"/>
      <c r="H599" s="30"/>
      <c r="I599" s="30"/>
      <c r="J599" s="30"/>
      <c r="K599" s="30"/>
      <c r="L599" s="30"/>
      <c r="M599" s="30"/>
    </row>
    <row r="600" ht="15.75" customHeight="1">
      <c r="A600" s="30"/>
      <c r="B600" s="30"/>
      <c r="C600" s="82"/>
      <c r="D600" s="30"/>
      <c r="E600" s="30"/>
      <c r="F600" s="30"/>
      <c r="G600" s="30"/>
      <c r="H600" s="30"/>
      <c r="I600" s="30"/>
      <c r="J600" s="30"/>
      <c r="K600" s="30"/>
      <c r="L600" s="30"/>
      <c r="M600" s="30"/>
    </row>
    <row r="601" ht="15.75" customHeight="1">
      <c r="A601" s="30"/>
      <c r="B601" s="30"/>
      <c r="C601" s="82"/>
      <c r="D601" s="30"/>
      <c r="E601" s="30"/>
      <c r="F601" s="30"/>
      <c r="G601" s="30"/>
      <c r="H601" s="30"/>
      <c r="I601" s="30"/>
      <c r="J601" s="30"/>
      <c r="K601" s="30"/>
      <c r="L601" s="30"/>
      <c r="M601" s="30"/>
    </row>
    <row r="602" ht="15.75" customHeight="1">
      <c r="A602" s="30"/>
      <c r="B602" s="30"/>
      <c r="C602" s="82"/>
      <c r="D602" s="30"/>
      <c r="E602" s="30"/>
      <c r="F602" s="30"/>
      <c r="G602" s="30"/>
      <c r="H602" s="30"/>
      <c r="I602" s="30"/>
      <c r="J602" s="30"/>
      <c r="K602" s="30"/>
      <c r="L602" s="30"/>
      <c r="M602" s="30"/>
    </row>
    <row r="603" ht="15.75" customHeight="1">
      <c r="A603" s="30"/>
      <c r="B603" s="30"/>
      <c r="C603" s="82"/>
      <c r="D603" s="30"/>
      <c r="E603" s="30"/>
      <c r="F603" s="30"/>
      <c r="G603" s="30"/>
      <c r="H603" s="30"/>
      <c r="I603" s="30"/>
      <c r="J603" s="30"/>
      <c r="K603" s="30"/>
      <c r="L603" s="30"/>
      <c r="M603" s="30"/>
    </row>
    <row r="604" ht="15.75" customHeight="1">
      <c r="A604" s="30"/>
      <c r="B604" s="30"/>
      <c r="C604" s="82"/>
      <c r="D604" s="30"/>
      <c r="E604" s="30"/>
      <c r="F604" s="30"/>
      <c r="G604" s="30"/>
      <c r="H604" s="30"/>
      <c r="I604" s="30"/>
      <c r="J604" s="30"/>
      <c r="K604" s="30"/>
      <c r="L604" s="30"/>
      <c r="M604" s="30"/>
    </row>
    <row r="605" ht="15.75" customHeight="1">
      <c r="A605" s="30"/>
      <c r="B605" s="30"/>
      <c r="C605" s="82"/>
      <c r="D605" s="30"/>
      <c r="E605" s="30"/>
      <c r="F605" s="30"/>
      <c r="G605" s="30"/>
      <c r="H605" s="30"/>
      <c r="I605" s="30"/>
      <c r="J605" s="30"/>
      <c r="K605" s="30"/>
      <c r="L605" s="30"/>
      <c r="M605" s="30"/>
    </row>
    <row r="606" ht="15.75" customHeight="1">
      <c r="A606" s="30"/>
      <c r="B606" s="30"/>
      <c r="C606" s="82"/>
      <c r="D606" s="30"/>
      <c r="E606" s="30"/>
      <c r="F606" s="30"/>
      <c r="G606" s="30"/>
      <c r="H606" s="30"/>
      <c r="I606" s="30"/>
      <c r="J606" s="30"/>
      <c r="K606" s="30"/>
      <c r="L606" s="30"/>
      <c r="M606" s="30"/>
    </row>
    <row r="607" ht="15.75" customHeight="1">
      <c r="A607" s="30"/>
      <c r="B607" s="30"/>
      <c r="C607" s="82"/>
      <c r="D607" s="30"/>
      <c r="E607" s="30"/>
      <c r="F607" s="30"/>
      <c r="G607" s="30"/>
      <c r="H607" s="30"/>
      <c r="I607" s="30"/>
      <c r="J607" s="30"/>
      <c r="K607" s="30"/>
      <c r="L607" s="30"/>
      <c r="M607" s="30"/>
    </row>
    <row r="608" ht="15.75" customHeight="1">
      <c r="A608" s="30"/>
      <c r="B608" s="30"/>
      <c r="C608" s="82"/>
      <c r="D608" s="30"/>
      <c r="E608" s="30"/>
      <c r="F608" s="30"/>
      <c r="G608" s="30"/>
      <c r="H608" s="30"/>
      <c r="I608" s="30"/>
      <c r="J608" s="30"/>
      <c r="K608" s="30"/>
      <c r="L608" s="30"/>
      <c r="M608" s="30"/>
    </row>
    <row r="609" ht="15.75" customHeight="1">
      <c r="A609" s="30"/>
      <c r="B609" s="30"/>
      <c r="C609" s="82"/>
      <c r="D609" s="30"/>
      <c r="E609" s="30"/>
      <c r="F609" s="30"/>
      <c r="G609" s="30"/>
      <c r="H609" s="30"/>
      <c r="I609" s="30"/>
      <c r="J609" s="30"/>
      <c r="K609" s="30"/>
      <c r="L609" s="30"/>
      <c r="M609" s="30"/>
    </row>
    <row r="610" ht="15.75" customHeight="1">
      <c r="A610" s="30"/>
      <c r="B610" s="30"/>
      <c r="C610" s="82"/>
      <c r="D610" s="30"/>
      <c r="E610" s="30"/>
      <c r="F610" s="30"/>
      <c r="G610" s="30"/>
      <c r="H610" s="30"/>
      <c r="I610" s="30"/>
      <c r="J610" s="30"/>
      <c r="K610" s="30"/>
      <c r="L610" s="30"/>
      <c r="M610" s="30"/>
    </row>
    <row r="611" ht="15.75" customHeight="1">
      <c r="A611" s="30"/>
      <c r="B611" s="30"/>
      <c r="C611" s="82"/>
      <c r="D611" s="30"/>
      <c r="E611" s="30"/>
      <c r="F611" s="30"/>
      <c r="G611" s="30"/>
      <c r="H611" s="30"/>
      <c r="I611" s="30"/>
      <c r="J611" s="30"/>
      <c r="K611" s="30"/>
      <c r="L611" s="30"/>
      <c r="M611" s="30"/>
    </row>
    <row r="612" ht="15.75" customHeight="1">
      <c r="A612" s="30"/>
      <c r="B612" s="30"/>
      <c r="C612" s="82"/>
      <c r="D612" s="30"/>
      <c r="E612" s="30"/>
      <c r="F612" s="30"/>
      <c r="G612" s="30"/>
      <c r="H612" s="30"/>
      <c r="I612" s="30"/>
      <c r="J612" s="30"/>
      <c r="K612" s="30"/>
      <c r="L612" s="30"/>
      <c r="M612" s="30"/>
    </row>
    <row r="613" ht="15.75" customHeight="1">
      <c r="A613" s="30"/>
      <c r="B613" s="30"/>
      <c r="C613" s="82"/>
      <c r="D613" s="30"/>
      <c r="E613" s="30"/>
      <c r="F613" s="30"/>
      <c r="G613" s="30"/>
      <c r="H613" s="30"/>
      <c r="I613" s="30"/>
      <c r="J613" s="30"/>
      <c r="K613" s="30"/>
      <c r="L613" s="30"/>
      <c r="M613" s="30"/>
    </row>
    <row r="614" ht="15.75" customHeight="1">
      <c r="A614" s="30"/>
      <c r="B614" s="30"/>
      <c r="C614" s="82"/>
      <c r="D614" s="30"/>
      <c r="E614" s="30"/>
      <c r="F614" s="30"/>
      <c r="G614" s="30"/>
      <c r="H614" s="30"/>
      <c r="I614" s="30"/>
      <c r="J614" s="30"/>
      <c r="K614" s="30"/>
      <c r="L614" s="30"/>
      <c r="M614" s="30"/>
    </row>
    <row r="615" ht="15.75" customHeight="1">
      <c r="A615" s="30"/>
      <c r="B615" s="30"/>
      <c r="C615" s="82"/>
      <c r="D615" s="30"/>
      <c r="E615" s="30"/>
      <c r="F615" s="30"/>
      <c r="G615" s="30"/>
      <c r="H615" s="30"/>
      <c r="I615" s="30"/>
      <c r="J615" s="30"/>
      <c r="K615" s="30"/>
      <c r="L615" s="30"/>
      <c r="M615" s="30"/>
    </row>
    <row r="616" ht="15.75" customHeight="1">
      <c r="A616" s="30"/>
      <c r="B616" s="30"/>
      <c r="C616" s="82"/>
      <c r="D616" s="30"/>
      <c r="E616" s="30"/>
      <c r="F616" s="30"/>
      <c r="G616" s="30"/>
      <c r="H616" s="30"/>
      <c r="I616" s="30"/>
      <c r="J616" s="30"/>
      <c r="K616" s="30"/>
      <c r="L616" s="30"/>
      <c r="M616" s="30"/>
    </row>
    <row r="617" ht="15.75" customHeight="1">
      <c r="A617" s="30"/>
      <c r="B617" s="30"/>
      <c r="C617" s="82"/>
      <c r="D617" s="30"/>
      <c r="E617" s="30"/>
      <c r="F617" s="30"/>
      <c r="G617" s="30"/>
      <c r="H617" s="30"/>
      <c r="I617" s="30"/>
      <c r="J617" s="30"/>
      <c r="K617" s="30"/>
      <c r="L617" s="30"/>
      <c r="M617" s="30"/>
    </row>
    <row r="618" ht="15.75" customHeight="1">
      <c r="A618" s="30"/>
      <c r="B618" s="30"/>
      <c r="C618" s="82"/>
      <c r="D618" s="30"/>
      <c r="E618" s="30"/>
      <c r="F618" s="30"/>
      <c r="G618" s="30"/>
      <c r="H618" s="30"/>
      <c r="I618" s="30"/>
      <c r="J618" s="30"/>
      <c r="K618" s="30"/>
      <c r="L618" s="30"/>
      <c r="M618" s="30"/>
    </row>
    <row r="619" ht="15.75" customHeight="1">
      <c r="A619" s="30"/>
      <c r="B619" s="30"/>
      <c r="C619" s="82"/>
      <c r="D619" s="30"/>
      <c r="E619" s="30"/>
      <c r="F619" s="30"/>
      <c r="G619" s="30"/>
      <c r="H619" s="30"/>
      <c r="I619" s="30"/>
      <c r="J619" s="30"/>
      <c r="K619" s="30"/>
      <c r="L619" s="30"/>
      <c r="M619" s="30"/>
    </row>
    <row r="620" ht="15.75" customHeight="1">
      <c r="A620" s="30"/>
      <c r="B620" s="30"/>
      <c r="C620" s="82"/>
      <c r="D620" s="30"/>
      <c r="E620" s="30"/>
      <c r="F620" s="30"/>
      <c r="G620" s="30"/>
      <c r="H620" s="30"/>
      <c r="I620" s="30"/>
      <c r="J620" s="30"/>
      <c r="K620" s="30"/>
      <c r="L620" s="30"/>
      <c r="M620" s="30"/>
    </row>
    <row r="621" ht="15.75" customHeight="1">
      <c r="A621" s="30"/>
      <c r="B621" s="30"/>
      <c r="C621" s="82"/>
      <c r="D621" s="30"/>
      <c r="E621" s="30"/>
      <c r="F621" s="30"/>
      <c r="G621" s="30"/>
      <c r="H621" s="30"/>
      <c r="I621" s="30"/>
      <c r="J621" s="30"/>
      <c r="K621" s="30"/>
      <c r="L621" s="30"/>
      <c r="M621" s="30"/>
    </row>
    <row r="622" ht="15.75" customHeight="1">
      <c r="A622" s="30"/>
      <c r="B622" s="30"/>
      <c r="C622" s="82"/>
      <c r="D622" s="30"/>
      <c r="E622" s="30"/>
      <c r="F622" s="30"/>
      <c r="G622" s="30"/>
      <c r="H622" s="30"/>
      <c r="I622" s="30"/>
      <c r="J622" s="30"/>
      <c r="K622" s="30"/>
      <c r="L622" s="30"/>
      <c r="M622" s="30"/>
    </row>
    <row r="623" ht="15.75" customHeight="1">
      <c r="A623" s="30"/>
      <c r="B623" s="30"/>
      <c r="C623" s="82"/>
      <c r="D623" s="30"/>
      <c r="E623" s="30"/>
      <c r="F623" s="30"/>
      <c r="G623" s="30"/>
      <c r="H623" s="30"/>
      <c r="I623" s="30"/>
      <c r="J623" s="30"/>
      <c r="K623" s="30"/>
      <c r="L623" s="30"/>
      <c r="M623" s="30"/>
    </row>
    <row r="624" ht="15.75" customHeight="1">
      <c r="A624" s="30"/>
      <c r="B624" s="30"/>
      <c r="C624" s="82"/>
      <c r="D624" s="30"/>
      <c r="E624" s="30"/>
      <c r="F624" s="30"/>
      <c r="G624" s="30"/>
      <c r="H624" s="30"/>
      <c r="I624" s="30"/>
      <c r="J624" s="30"/>
      <c r="K624" s="30"/>
      <c r="L624" s="30"/>
      <c r="M624" s="30"/>
    </row>
    <row r="625" ht="15.75" customHeight="1">
      <c r="A625" s="30"/>
      <c r="B625" s="30"/>
      <c r="C625" s="82"/>
      <c r="D625" s="30"/>
      <c r="E625" s="30"/>
      <c r="F625" s="30"/>
      <c r="G625" s="30"/>
      <c r="H625" s="30"/>
      <c r="I625" s="30"/>
      <c r="J625" s="30"/>
      <c r="K625" s="30"/>
      <c r="L625" s="30"/>
      <c r="M625" s="30"/>
    </row>
    <row r="626" ht="15.75" customHeight="1">
      <c r="A626" s="30"/>
      <c r="B626" s="30"/>
      <c r="C626" s="82"/>
      <c r="D626" s="30"/>
      <c r="E626" s="30"/>
      <c r="F626" s="30"/>
      <c r="G626" s="30"/>
      <c r="H626" s="30"/>
      <c r="I626" s="30"/>
      <c r="J626" s="30"/>
      <c r="K626" s="30"/>
      <c r="L626" s="30"/>
      <c r="M626" s="30"/>
    </row>
    <row r="627" ht="15.75" customHeight="1">
      <c r="A627" s="30"/>
      <c r="B627" s="30"/>
      <c r="C627" s="82"/>
      <c r="D627" s="30"/>
      <c r="E627" s="30"/>
      <c r="F627" s="30"/>
      <c r="G627" s="30"/>
      <c r="H627" s="30"/>
      <c r="I627" s="30"/>
      <c r="J627" s="30"/>
      <c r="K627" s="30"/>
      <c r="L627" s="30"/>
      <c r="M627" s="30"/>
    </row>
    <row r="628" ht="15.75" customHeight="1">
      <c r="A628" s="30"/>
      <c r="B628" s="30"/>
      <c r="C628" s="82"/>
      <c r="D628" s="30"/>
      <c r="E628" s="30"/>
      <c r="F628" s="30"/>
      <c r="G628" s="30"/>
      <c r="H628" s="30"/>
      <c r="I628" s="30"/>
      <c r="J628" s="30"/>
      <c r="K628" s="30"/>
      <c r="L628" s="30"/>
      <c r="M628" s="30"/>
    </row>
    <row r="629" ht="15.75" customHeight="1">
      <c r="A629" s="30"/>
      <c r="B629" s="30"/>
      <c r="C629" s="82"/>
      <c r="D629" s="30"/>
      <c r="E629" s="30"/>
      <c r="F629" s="30"/>
      <c r="G629" s="30"/>
      <c r="H629" s="30"/>
      <c r="I629" s="30"/>
      <c r="J629" s="30"/>
      <c r="K629" s="30"/>
      <c r="L629" s="30"/>
      <c r="M629" s="30"/>
    </row>
    <row r="630" ht="15.75" customHeight="1">
      <c r="A630" s="30"/>
      <c r="B630" s="30"/>
      <c r="C630" s="82"/>
      <c r="D630" s="30"/>
      <c r="E630" s="30"/>
      <c r="F630" s="30"/>
      <c r="G630" s="30"/>
      <c r="H630" s="30"/>
      <c r="I630" s="30"/>
      <c r="J630" s="30"/>
      <c r="K630" s="30"/>
      <c r="L630" s="30"/>
      <c r="M630" s="30"/>
    </row>
    <row r="631" ht="15.75" customHeight="1">
      <c r="A631" s="30"/>
      <c r="B631" s="30"/>
      <c r="C631" s="82"/>
      <c r="D631" s="30"/>
      <c r="E631" s="30"/>
      <c r="F631" s="30"/>
      <c r="G631" s="30"/>
      <c r="H631" s="30"/>
      <c r="I631" s="30"/>
      <c r="J631" s="30"/>
      <c r="K631" s="30"/>
      <c r="L631" s="30"/>
      <c r="M631" s="30"/>
    </row>
    <row r="632" ht="15.75" customHeight="1">
      <c r="A632" s="30"/>
      <c r="B632" s="30"/>
      <c r="C632" s="82"/>
      <c r="D632" s="30"/>
      <c r="E632" s="30"/>
      <c r="F632" s="30"/>
      <c r="G632" s="30"/>
      <c r="H632" s="30"/>
      <c r="I632" s="30"/>
      <c r="J632" s="30"/>
      <c r="K632" s="30"/>
      <c r="L632" s="30"/>
      <c r="M632" s="30"/>
    </row>
    <row r="633" ht="15.75" customHeight="1">
      <c r="A633" s="30"/>
      <c r="B633" s="30"/>
      <c r="C633" s="82"/>
      <c r="D633" s="30"/>
      <c r="E633" s="30"/>
      <c r="F633" s="30"/>
      <c r="G633" s="30"/>
      <c r="H633" s="30"/>
      <c r="I633" s="30"/>
      <c r="J633" s="30"/>
      <c r="K633" s="30"/>
      <c r="L633" s="30"/>
      <c r="M633" s="30"/>
    </row>
    <row r="634" ht="15.75" customHeight="1">
      <c r="A634" s="30"/>
      <c r="B634" s="30"/>
      <c r="C634" s="82"/>
      <c r="D634" s="30"/>
      <c r="E634" s="30"/>
      <c r="F634" s="30"/>
      <c r="G634" s="30"/>
      <c r="H634" s="30"/>
      <c r="I634" s="30"/>
      <c r="J634" s="30"/>
      <c r="K634" s="30"/>
      <c r="L634" s="30"/>
      <c r="M634" s="30"/>
    </row>
    <row r="635" ht="15.75" customHeight="1">
      <c r="A635" s="30"/>
      <c r="B635" s="30"/>
      <c r="C635" s="82"/>
      <c r="D635" s="30"/>
      <c r="E635" s="30"/>
      <c r="F635" s="30"/>
      <c r="G635" s="30"/>
      <c r="H635" s="30"/>
      <c r="I635" s="30"/>
      <c r="J635" s="30"/>
      <c r="K635" s="30"/>
      <c r="L635" s="30"/>
      <c r="M635" s="30"/>
    </row>
    <row r="636" ht="15.75" customHeight="1">
      <c r="A636" s="30"/>
      <c r="B636" s="30"/>
      <c r="C636" s="82"/>
      <c r="D636" s="30"/>
      <c r="E636" s="30"/>
      <c r="F636" s="30"/>
      <c r="G636" s="30"/>
      <c r="H636" s="30"/>
      <c r="I636" s="30"/>
      <c r="J636" s="30"/>
      <c r="K636" s="30"/>
      <c r="L636" s="30"/>
      <c r="M636" s="30"/>
    </row>
    <row r="637" ht="15.75" customHeight="1">
      <c r="A637" s="30"/>
      <c r="B637" s="30"/>
      <c r="C637" s="82"/>
      <c r="D637" s="30"/>
      <c r="E637" s="30"/>
      <c r="F637" s="30"/>
      <c r="G637" s="30"/>
      <c r="H637" s="30"/>
      <c r="I637" s="30"/>
      <c r="J637" s="30"/>
      <c r="K637" s="30"/>
      <c r="L637" s="30"/>
      <c r="M637" s="30"/>
    </row>
    <row r="638" ht="15.75" customHeight="1">
      <c r="A638" s="30"/>
      <c r="B638" s="30"/>
      <c r="C638" s="82"/>
      <c r="D638" s="30"/>
      <c r="E638" s="30"/>
      <c r="F638" s="30"/>
      <c r="G638" s="30"/>
      <c r="H638" s="30"/>
      <c r="I638" s="30"/>
      <c r="J638" s="30"/>
      <c r="K638" s="30"/>
      <c r="L638" s="30"/>
      <c r="M638" s="30"/>
    </row>
    <row r="639" ht="15.75" customHeight="1">
      <c r="A639" s="30"/>
      <c r="B639" s="30"/>
      <c r="C639" s="82"/>
      <c r="D639" s="30"/>
      <c r="E639" s="30"/>
      <c r="F639" s="30"/>
      <c r="G639" s="30"/>
      <c r="H639" s="30"/>
      <c r="I639" s="30"/>
      <c r="J639" s="30"/>
      <c r="K639" s="30"/>
      <c r="L639" s="30"/>
      <c r="M639" s="30"/>
    </row>
    <row r="640" ht="15.75" customHeight="1">
      <c r="A640" s="30"/>
      <c r="B640" s="30"/>
      <c r="C640" s="82"/>
      <c r="D640" s="30"/>
      <c r="E640" s="30"/>
      <c r="F640" s="30"/>
      <c r="G640" s="30"/>
      <c r="H640" s="30"/>
      <c r="I640" s="30"/>
      <c r="J640" s="30"/>
      <c r="K640" s="30"/>
      <c r="L640" s="30"/>
      <c r="M640" s="30"/>
    </row>
    <row r="641" ht="15.75" customHeight="1">
      <c r="A641" s="30"/>
      <c r="B641" s="30"/>
      <c r="C641" s="82"/>
      <c r="D641" s="30"/>
      <c r="E641" s="30"/>
      <c r="F641" s="30"/>
      <c r="G641" s="30"/>
      <c r="H641" s="30"/>
      <c r="I641" s="30"/>
      <c r="J641" s="30"/>
      <c r="K641" s="30"/>
      <c r="L641" s="30"/>
      <c r="M641" s="30"/>
    </row>
    <row r="642" ht="15.75" customHeight="1">
      <c r="A642" s="30"/>
      <c r="B642" s="30"/>
      <c r="C642" s="82"/>
      <c r="D642" s="30"/>
      <c r="E642" s="30"/>
      <c r="F642" s="30"/>
      <c r="G642" s="30"/>
      <c r="H642" s="30"/>
      <c r="I642" s="30"/>
      <c r="J642" s="30"/>
      <c r="K642" s="30"/>
      <c r="L642" s="30"/>
      <c r="M642" s="30"/>
    </row>
    <row r="643" ht="15.75" customHeight="1">
      <c r="A643" s="30"/>
      <c r="B643" s="30"/>
      <c r="C643" s="82"/>
      <c r="D643" s="30"/>
      <c r="E643" s="30"/>
      <c r="F643" s="30"/>
      <c r="G643" s="30"/>
      <c r="H643" s="30"/>
      <c r="I643" s="30"/>
      <c r="J643" s="30"/>
      <c r="K643" s="30"/>
      <c r="L643" s="30"/>
      <c r="M643" s="30"/>
    </row>
    <row r="644" ht="15.75" customHeight="1">
      <c r="A644" s="30"/>
      <c r="B644" s="30"/>
      <c r="C644" s="82"/>
      <c r="D644" s="30"/>
      <c r="E644" s="30"/>
      <c r="F644" s="30"/>
      <c r="G644" s="30"/>
      <c r="H644" s="30"/>
      <c r="I644" s="30"/>
      <c r="J644" s="30"/>
      <c r="K644" s="30"/>
      <c r="L644" s="30"/>
      <c r="M644" s="30"/>
    </row>
    <row r="645" ht="15.75" customHeight="1">
      <c r="A645" s="30"/>
      <c r="B645" s="30"/>
      <c r="C645" s="82"/>
      <c r="D645" s="30"/>
      <c r="E645" s="30"/>
      <c r="F645" s="30"/>
      <c r="G645" s="30"/>
      <c r="H645" s="30"/>
      <c r="I645" s="30"/>
      <c r="J645" s="30"/>
      <c r="K645" s="30"/>
      <c r="L645" s="30"/>
      <c r="M645" s="30"/>
    </row>
    <row r="646" ht="15.75" customHeight="1">
      <c r="A646" s="30"/>
      <c r="B646" s="30"/>
      <c r="C646" s="82"/>
      <c r="D646" s="30"/>
      <c r="E646" s="30"/>
      <c r="F646" s="30"/>
      <c r="G646" s="30"/>
      <c r="H646" s="30"/>
      <c r="I646" s="30"/>
      <c r="J646" s="30"/>
      <c r="K646" s="30"/>
      <c r="L646" s="30"/>
      <c r="M646" s="30"/>
    </row>
    <row r="647" ht="15.75" customHeight="1">
      <c r="A647" s="30"/>
      <c r="B647" s="30"/>
      <c r="C647" s="82"/>
      <c r="D647" s="30"/>
      <c r="E647" s="30"/>
      <c r="F647" s="30"/>
      <c r="G647" s="30"/>
      <c r="H647" s="30"/>
      <c r="I647" s="30"/>
      <c r="J647" s="30"/>
      <c r="K647" s="30"/>
      <c r="L647" s="30"/>
      <c r="M647" s="30"/>
    </row>
    <row r="648" ht="15.75" customHeight="1">
      <c r="A648" s="30"/>
      <c r="B648" s="30"/>
      <c r="C648" s="82"/>
      <c r="D648" s="30"/>
      <c r="E648" s="30"/>
      <c r="F648" s="30"/>
      <c r="G648" s="30"/>
      <c r="H648" s="30"/>
      <c r="I648" s="30"/>
      <c r="J648" s="30"/>
      <c r="K648" s="30"/>
      <c r="L648" s="30"/>
      <c r="M648" s="30"/>
    </row>
    <row r="649" ht="15.75" customHeight="1">
      <c r="A649" s="30"/>
      <c r="B649" s="30"/>
      <c r="C649" s="82"/>
      <c r="D649" s="30"/>
      <c r="E649" s="30"/>
      <c r="F649" s="30"/>
      <c r="G649" s="30"/>
      <c r="H649" s="30"/>
      <c r="I649" s="30"/>
      <c r="J649" s="30"/>
      <c r="K649" s="30"/>
      <c r="L649" s="30"/>
      <c r="M649" s="30"/>
    </row>
    <row r="650" ht="15.75" customHeight="1">
      <c r="A650" s="30"/>
      <c r="B650" s="30"/>
      <c r="C650" s="82"/>
      <c r="D650" s="30"/>
      <c r="E650" s="30"/>
      <c r="F650" s="30"/>
      <c r="G650" s="30"/>
      <c r="H650" s="30"/>
      <c r="I650" s="30"/>
      <c r="J650" s="30"/>
      <c r="K650" s="30"/>
      <c r="L650" s="30"/>
      <c r="M650" s="30"/>
    </row>
    <row r="651" ht="15.75" customHeight="1">
      <c r="A651" s="30"/>
      <c r="B651" s="30"/>
      <c r="C651" s="82"/>
      <c r="D651" s="30"/>
      <c r="E651" s="30"/>
      <c r="F651" s="30"/>
      <c r="G651" s="30"/>
      <c r="H651" s="30"/>
      <c r="I651" s="30"/>
      <c r="J651" s="30"/>
      <c r="K651" s="30"/>
      <c r="L651" s="30"/>
      <c r="M651" s="30"/>
    </row>
    <row r="652" ht="15.75" customHeight="1">
      <c r="A652" s="30"/>
      <c r="B652" s="30"/>
      <c r="C652" s="82"/>
      <c r="D652" s="30"/>
      <c r="E652" s="30"/>
      <c r="F652" s="30"/>
      <c r="G652" s="30"/>
      <c r="H652" s="30"/>
      <c r="I652" s="30"/>
      <c r="J652" s="30"/>
      <c r="K652" s="30"/>
      <c r="L652" s="30"/>
      <c r="M652" s="30"/>
    </row>
    <row r="653" ht="15.75" customHeight="1">
      <c r="A653" s="30"/>
      <c r="B653" s="30"/>
      <c r="C653" s="82"/>
      <c r="D653" s="30"/>
      <c r="E653" s="30"/>
      <c r="F653" s="30"/>
      <c r="G653" s="30"/>
      <c r="H653" s="30"/>
      <c r="I653" s="30"/>
      <c r="J653" s="30"/>
      <c r="K653" s="30"/>
      <c r="L653" s="30"/>
      <c r="M653" s="30"/>
    </row>
    <row r="654" ht="15.75" customHeight="1">
      <c r="A654" s="30"/>
      <c r="B654" s="30"/>
      <c r="C654" s="82"/>
      <c r="D654" s="30"/>
      <c r="E654" s="30"/>
      <c r="F654" s="30"/>
      <c r="G654" s="30"/>
      <c r="H654" s="30"/>
      <c r="I654" s="30"/>
      <c r="J654" s="30"/>
      <c r="K654" s="30"/>
      <c r="L654" s="30"/>
      <c r="M654" s="30"/>
    </row>
    <row r="655" ht="15.75" customHeight="1">
      <c r="A655" s="30"/>
      <c r="B655" s="30"/>
      <c r="C655" s="82"/>
      <c r="D655" s="30"/>
      <c r="E655" s="30"/>
      <c r="F655" s="30"/>
      <c r="G655" s="30"/>
      <c r="H655" s="30"/>
      <c r="I655" s="30"/>
      <c r="J655" s="30"/>
      <c r="K655" s="30"/>
      <c r="L655" s="30"/>
      <c r="M655" s="30"/>
    </row>
    <row r="656" ht="15.75" customHeight="1">
      <c r="A656" s="30"/>
      <c r="B656" s="30"/>
      <c r="C656" s="82"/>
      <c r="D656" s="30"/>
      <c r="E656" s="30"/>
      <c r="F656" s="30"/>
      <c r="G656" s="30"/>
      <c r="H656" s="30"/>
      <c r="I656" s="30"/>
      <c r="J656" s="30"/>
      <c r="K656" s="30"/>
      <c r="L656" s="30"/>
      <c r="M656" s="30"/>
    </row>
    <row r="657" ht="15.75" customHeight="1">
      <c r="A657" s="30"/>
      <c r="B657" s="30"/>
      <c r="C657" s="82"/>
      <c r="D657" s="30"/>
      <c r="E657" s="30"/>
      <c r="F657" s="30"/>
      <c r="G657" s="30"/>
      <c r="H657" s="30"/>
      <c r="I657" s="30"/>
      <c r="J657" s="30"/>
      <c r="K657" s="30"/>
      <c r="L657" s="30"/>
      <c r="M657" s="30"/>
    </row>
    <row r="658" ht="15.75" customHeight="1">
      <c r="A658" s="30"/>
      <c r="B658" s="30"/>
      <c r="C658" s="82"/>
      <c r="D658" s="30"/>
      <c r="E658" s="30"/>
      <c r="F658" s="30"/>
      <c r="G658" s="30"/>
      <c r="H658" s="30"/>
      <c r="I658" s="30"/>
      <c r="J658" s="30"/>
      <c r="K658" s="30"/>
      <c r="L658" s="30"/>
      <c r="M658" s="30"/>
    </row>
    <row r="659" ht="15.75" customHeight="1">
      <c r="A659" s="30"/>
      <c r="B659" s="30"/>
      <c r="C659" s="82"/>
      <c r="D659" s="30"/>
      <c r="E659" s="30"/>
      <c r="F659" s="30"/>
      <c r="G659" s="30"/>
      <c r="H659" s="30"/>
      <c r="I659" s="30"/>
      <c r="J659" s="30"/>
      <c r="K659" s="30"/>
      <c r="L659" s="30"/>
      <c r="M659" s="30"/>
    </row>
    <row r="660" ht="15.75" customHeight="1">
      <c r="A660" s="30"/>
      <c r="B660" s="30"/>
      <c r="C660" s="82"/>
      <c r="D660" s="30"/>
      <c r="E660" s="30"/>
      <c r="F660" s="30"/>
      <c r="G660" s="30"/>
      <c r="H660" s="30"/>
      <c r="I660" s="30"/>
      <c r="J660" s="30"/>
      <c r="K660" s="30"/>
      <c r="L660" s="30"/>
      <c r="M660" s="30"/>
    </row>
    <row r="661" ht="15.75" customHeight="1">
      <c r="A661" s="30"/>
      <c r="B661" s="30"/>
      <c r="C661" s="82"/>
      <c r="D661" s="30"/>
      <c r="E661" s="30"/>
      <c r="F661" s="30"/>
      <c r="G661" s="30"/>
      <c r="H661" s="30"/>
      <c r="I661" s="30"/>
      <c r="J661" s="30"/>
      <c r="K661" s="30"/>
      <c r="L661" s="30"/>
      <c r="M661" s="30"/>
    </row>
    <row r="662" ht="15.75" customHeight="1">
      <c r="A662" s="30"/>
      <c r="B662" s="30"/>
      <c r="C662" s="82"/>
      <c r="D662" s="30"/>
      <c r="E662" s="30"/>
      <c r="F662" s="30"/>
      <c r="G662" s="30"/>
      <c r="H662" s="30"/>
      <c r="I662" s="30"/>
      <c r="J662" s="30"/>
      <c r="K662" s="30"/>
      <c r="L662" s="30"/>
      <c r="M662" s="30"/>
    </row>
    <row r="663" ht="15.75" customHeight="1">
      <c r="A663" s="30"/>
      <c r="B663" s="30"/>
      <c r="C663" s="82"/>
      <c r="D663" s="30"/>
      <c r="E663" s="30"/>
      <c r="F663" s="30"/>
      <c r="G663" s="30"/>
      <c r="H663" s="30"/>
      <c r="I663" s="30"/>
      <c r="J663" s="30"/>
      <c r="K663" s="30"/>
      <c r="L663" s="30"/>
      <c r="M663" s="30"/>
    </row>
    <row r="664" ht="15.75" customHeight="1">
      <c r="A664" s="30"/>
      <c r="B664" s="30"/>
      <c r="C664" s="82"/>
      <c r="D664" s="30"/>
      <c r="E664" s="30"/>
      <c r="F664" s="30"/>
      <c r="G664" s="30"/>
      <c r="H664" s="30"/>
      <c r="I664" s="30"/>
      <c r="J664" s="30"/>
      <c r="K664" s="30"/>
      <c r="L664" s="30"/>
      <c r="M664" s="30"/>
    </row>
    <row r="665" ht="15.75" customHeight="1">
      <c r="A665" s="30"/>
      <c r="B665" s="30"/>
      <c r="C665" s="82"/>
      <c r="D665" s="30"/>
      <c r="E665" s="30"/>
      <c r="F665" s="30"/>
      <c r="G665" s="30"/>
      <c r="H665" s="30"/>
      <c r="I665" s="30"/>
      <c r="J665" s="30"/>
      <c r="K665" s="30"/>
      <c r="L665" s="30"/>
      <c r="M665" s="30"/>
    </row>
    <row r="666" ht="15.75" customHeight="1">
      <c r="A666" s="30"/>
      <c r="B666" s="30"/>
      <c r="C666" s="82"/>
      <c r="D666" s="30"/>
      <c r="E666" s="30"/>
      <c r="F666" s="30"/>
      <c r="G666" s="30"/>
      <c r="H666" s="30"/>
      <c r="I666" s="30"/>
      <c r="J666" s="30"/>
      <c r="K666" s="30"/>
      <c r="L666" s="30"/>
      <c r="M666" s="30"/>
    </row>
    <row r="667" ht="15.75" customHeight="1">
      <c r="A667" s="30"/>
      <c r="B667" s="30"/>
      <c r="C667" s="82"/>
      <c r="D667" s="30"/>
      <c r="E667" s="30"/>
      <c r="F667" s="30"/>
      <c r="G667" s="30"/>
      <c r="H667" s="30"/>
      <c r="I667" s="30"/>
      <c r="J667" s="30"/>
      <c r="K667" s="30"/>
      <c r="L667" s="30"/>
      <c r="M667" s="30"/>
    </row>
    <row r="668" ht="15.75" customHeight="1">
      <c r="A668" s="30"/>
      <c r="B668" s="30"/>
      <c r="C668" s="82"/>
      <c r="D668" s="30"/>
      <c r="E668" s="30"/>
      <c r="F668" s="30"/>
      <c r="G668" s="30"/>
      <c r="H668" s="30"/>
      <c r="I668" s="30"/>
      <c r="J668" s="30"/>
      <c r="K668" s="30"/>
      <c r="L668" s="30"/>
      <c r="M668" s="30"/>
    </row>
    <row r="669" ht="15.75" customHeight="1">
      <c r="A669" s="30"/>
      <c r="B669" s="30"/>
      <c r="C669" s="82"/>
      <c r="D669" s="30"/>
      <c r="E669" s="30"/>
      <c r="F669" s="30"/>
      <c r="G669" s="30"/>
      <c r="H669" s="30"/>
      <c r="I669" s="30"/>
      <c r="J669" s="30"/>
      <c r="K669" s="30"/>
      <c r="L669" s="30"/>
      <c r="M669" s="30"/>
    </row>
    <row r="670" ht="15.75" customHeight="1">
      <c r="A670" s="30"/>
      <c r="B670" s="30"/>
      <c r="C670" s="82"/>
      <c r="D670" s="30"/>
      <c r="E670" s="30"/>
      <c r="F670" s="30"/>
      <c r="G670" s="30"/>
      <c r="H670" s="30"/>
      <c r="I670" s="30"/>
      <c r="J670" s="30"/>
      <c r="K670" s="30"/>
      <c r="L670" s="30"/>
      <c r="M670" s="30"/>
    </row>
    <row r="671" ht="15.75" customHeight="1">
      <c r="A671" s="30"/>
      <c r="B671" s="30"/>
      <c r="C671" s="82"/>
      <c r="D671" s="30"/>
      <c r="E671" s="30"/>
      <c r="F671" s="30"/>
      <c r="G671" s="30"/>
      <c r="H671" s="30"/>
      <c r="I671" s="30"/>
      <c r="J671" s="30"/>
      <c r="K671" s="30"/>
      <c r="L671" s="30"/>
      <c r="M671" s="30"/>
    </row>
    <row r="672" ht="15.75" customHeight="1">
      <c r="A672" s="30"/>
      <c r="B672" s="30"/>
      <c r="C672" s="82"/>
      <c r="D672" s="30"/>
      <c r="E672" s="30"/>
      <c r="F672" s="30"/>
      <c r="G672" s="30"/>
      <c r="H672" s="30"/>
      <c r="I672" s="30"/>
      <c r="J672" s="30"/>
      <c r="K672" s="30"/>
      <c r="L672" s="30"/>
      <c r="M672" s="30"/>
    </row>
    <row r="673" ht="15.75" customHeight="1">
      <c r="A673" s="30"/>
      <c r="B673" s="30"/>
      <c r="C673" s="82"/>
      <c r="D673" s="30"/>
      <c r="E673" s="30"/>
      <c r="F673" s="30"/>
      <c r="G673" s="30"/>
      <c r="H673" s="30"/>
      <c r="I673" s="30"/>
      <c r="J673" s="30"/>
      <c r="K673" s="30"/>
      <c r="L673" s="30"/>
      <c r="M673" s="30"/>
    </row>
    <row r="674" ht="15.75" customHeight="1">
      <c r="A674" s="30"/>
      <c r="B674" s="30"/>
      <c r="C674" s="82"/>
      <c r="D674" s="30"/>
      <c r="E674" s="30"/>
      <c r="F674" s="30"/>
      <c r="G674" s="30"/>
      <c r="H674" s="30"/>
      <c r="I674" s="30"/>
      <c r="J674" s="30"/>
      <c r="K674" s="30"/>
      <c r="L674" s="30"/>
      <c r="M674" s="30"/>
    </row>
    <row r="675" ht="15.75" customHeight="1">
      <c r="A675" s="30"/>
      <c r="B675" s="30"/>
      <c r="C675" s="82"/>
      <c r="D675" s="30"/>
      <c r="E675" s="30"/>
      <c r="F675" s="30"/>
      <c r="G675" s="30"/>
      <c r="H675" s="30"/>
      <c r="I675" s="30"/>
      <c r="J675" s="30"/>
      <c r="K675" s="30"/>
      <c r="L675" s="30"/>
      <c r="M675" s="30"/>
    </row>
    <row r="676" ht="15.75" customHeight="1">
      <c r="A676" s="30"/>
      <c r="B676" s="30"/>
      <c r="C676" s="82"/>
      <c r="D676" s="30"/>
      <c r="E676" s="30"/>
      <c r="F676" s="30"/>
      <c r="G676" s="30"/>
      <c r="H676" s="30"/>
      <c r="I676" s="30"/>
      <c r="J676" s="30"/>
      <c r="K676" s="30"/>
      <c r="L676" s="30"/>
      <c r="M676" s="30"/>
    </row>
    <row r="677" ht="15.75" customHeight="1">
      <c r="A677" s="30"/>
      <c r="B677" s="30"/>
      <c r="C677" s="82"/>
      <c r="D677" s="30"/>
      <c r="E677" s="30"/>
      <c r="F677" s="30"/>
      <c r="G677" s="30"/>
      <c r="H677" s="30"/>
      <c r="I677" s="30"/>
      <c r="J677" s="30"/>
      <c r="K677" s="30"/>
      <c r="L677" s="30"/>
      <c r="M677" s="30"/>
    </row>
    <row r="678" ht="15.75" customHeight="1">
      <c r="A678" s="30"/>
      <c r="B678" s="30"/>
      <c r="C678" s="82"/>
      <c r="D678" s="30"/>
      <c r="E678" s="30"/>
      <c r="F678" s="30"/>
      <c r="G678" s="30"/>
      <c r="H678" s="30"/>
      <c r="I678" s="30"/>
      <c r="J678" s="30"/>
      <c r="K678" s="30"/>
      <c r="L678" s="30"/>
      <c r="M678" s="30"/>
    </row>
    <row r="679" ht="15.75" customHeight="1">
      <c r="A679" s="30"/>
      <c r="B679" s="30"/>
      <c r="C679" s="82"/>
      <c r="D679" s="30"/>
      <c r="E679" s="30"/>
      <c r="F679" s="30"/>
      <c r="G679" s="30"/>
      <c r="H679" s="30"/>
      <c r="I679" s="30"/>
      <c r="J679" s="30"/>
      <c r="K679" s="30"/>
      <c r="L679" s="30"/>
      <c r="M679" s="30"/>
    </row>
    <row r="680" ht="15.75" customHeight="1">
      <c r="A680" s="30"/>
      <c r="B680" s="30"/>
      <c r="C680" s="82"/>
      <c r="D680" s="30"/>
      <c r="E680" s="30"/>
      <c r="F680" s="30"/>
      <c r="G680" s="30"/>
      <c r="H680" s="30"/>
      <c r="I680" s="30"/>
      <c r="J680" s="30"/>
      <c r="K680" s="30"/>
      <c r="L680" s="30"/>
      <c r="M680" s="30"/>
    </row>
    <row r="681" ht="15.75" customHeight="1">
      <c r="A681" s="30"/>
      <c r="B681" s="30"/>
      <c r="C681" s="82"/>
      <c r="D681" s="30"/>
      <c r="E681" s="30"/>
      <c r="F681" s="30"/>
      <c r="G681" s="30"/>
      <c r="H681" s="30"/>
      <c r="I681" s="30"/>
      <c r="J681" s="30"/>
      <c r="K681" s="30"/>
      <c r="L681" s="30"/>
      <c r="M681" s="30"/>
    </row>
    <row r="682" ht="15.75" customHeight="1">
      <c r="A682" s="30"/>
      <c r="B682" s="30"/>
      <c r="C682" s="82"/>
      <c r="D682" s="30"/>
      <c r="E682" s="30"/>
      <c r="F682" s="30"/>
      <c r="G682" s="30"/>
      <c r="H682" s="30"/>
      <c r="I682" s="30"/>
      <c r="J682" s="30"/>
      <c r="K682" s="30"/>
      <c r="L682" s="30"/>
      <c r="M682" s="30"/>
    </row>
    <row r="683" ht="15.75" customHeight="1">
      <c r="A683" s="30"/>
      <c r="B683" s="30"/>
      <c r="C683" s="82"/>
      <c r="D683" s="30"/>
      <c r="E683" s="30"/>
      <c r="F683" s="30"/>
      <c r="G683" s="30"/>
      <c r="H683" s="30"/>
      <c r="I683" s="30"/>
      <c r="J683" s="30"/>
      <c r="K683" s="30"/>
      <c r="L683" s="30"/>
      <c r="M683" s="30"/>
    </row>
    <row r="684" ht="15.75" customHeight="1">
      <c r="A684" s="30"/>
      <c r="B684" s="30"/>
      <c r="C684" s="82"/>
      <c r="D684" s="30"/>
      <c r="E684" s="30"/>
      <c r="F684" s="30"/>
      <c r="G684" s="30"/>
      <c r="H684" s="30"/>
      <c r="I684" s="30"/>
      <c r="J684" s="30"/>
      <c r="K684" s="30"/>
      <c r="L684" s="30"/>
      <c r="M684" s="30"/>
    </row>
    <row r="685" ht="15.75" customHeight="1">
      <c r="A685" s="30"/>
      <c r="B685" s="30"/>
      <c r="C685" s="82"/>
      <c r="D685" s="30"/>
      <c r="E685" s="30"/>
      <c r="F685" s="30"/>
      <c r="G685" s="30"/>
      <c r="H685" s="30"/>
      <c r="I685" s="30"/>
      <c r="J685" s="30"/>
      <c r="K685" s="30"/>
      <c r="L685" s="30"/>
      <c r="M685" s="30"/>
    </row>
    <row r="686" ht="15.75" customHeight="1">
      <c r="A686" s="30"/>
      <c r="B686" s="30"/>
      <c r="C686" s="82"/>
      <c r="D686" s="30"/>
      <c r="E686" s="30"/>
      <c r="F686" s="30"/>
      <c r="G686" s="30"/>
      <c r="H686" s="30"/>
      <c r="I686" s="30"/>
      <c r="J686" s="30"/>
      <c r="K686" s="30"/>
      <c r="L686" s="30"/>
      <c r="M686" s="30"/>
    </row>
    <row r="687" ht="15.75" customHeight="1">
      <c r="A687" s="30"/>
      <c r="B687" s="30"/>
      <c r="C687" s="82"/>
      <c r="D687" s="30"/>
      <c r="E687" s="30"/>
      <c r="F687" s="30"/>
      <c r="G687" s="30"/>
      <c r="H687" s="30"/>
      <c r="I687" s="30"/>
      <c r="J687" s="30"/>
      <c r="K687" s="30"/>
      <c r="L687" s="30"/>
      <c r="M687" s="30"/>
    </row>
    <row r="688" ht="15.75" customHeight="1">
      <c r="A688" s="30"/>
      <c r="B688" s="30"/>
      <c r="C688" s="82"/>
      <c r="D688" s="30"/>
      <c r="E688" s="30"/>
      <c r="F688" s="30"/>
      <c r="G688" s="30"/>
      <c r="H688" s="30"/>
      <c r="I688" s="30"/>
      <c r="J688" s="30"/>
      <c r="K688" s="30"/>
      <c r="L688" s="30"/>
      <c r="M688" s="30"/>
    </row>
    <row r="689" ht="15.75" customHeight="1">
      <c r="A689" s="30"/>
      <c r="B689" s="30"/>
      <c r="C689" s="82"/>
      <c r="D689" s="30"/>
      <c r="E689" s="30"/>
      <c r="F689" s="30"/>
      <c r="G689" s="30"/>
      <c r="H689" s="30"/>
      <c r="I689" s="30"/>
      <c r="J689" s="30"/>
      <c r="K689" s="30"/>
      <c r="L689" s="30"/>
      <c r="M689" s="30"/>
    </row>
    <row r="690" ht="15.75" customHeight="1">
      <c r="A690" s="30"/>
      <c r="B690" s="30"/>
      <c r="C690" s="82"/>
      <c r="D690" s="30"/>
      <c r="E690" s="30"/>
      <c r="F690" s="30"/>
      <c r="G690" s="30"/>
      <c r="H690" s="30"/>
      <c r="I690" s="30"/>
      <c r="J690" s="30"/>
      <c r="K690" s="30"/>
      <c r="L690" s="30"/>
      <c r="M690" s="30"/>
    </row>
    <row r="691" ht="15.75" customHeight="1">
      <c r="A691" s="30"/>
      <c r="B691" s="30"/>
      <c r="C691" s="82"/>
      <c r="D691" s="30"/>
      <c r="E691" s="30"/>
      <c r="F691" s="30"/>
      <c r="G691" s="30"/>
      <c r="H691" s="30"/>
      <c r="I691" s="30"/>
      <c r="J691" s="30"/>
      <c r="K691" s="30"/>
      <c r="L691" s="30"/>
      <c r="M691" s="30"/>
    </row>
    <row r="692" ht="15.75" customHeight="1">
      <c r="A692" s="30"/>
      <c r="B692" s="30"/>
      <c r="C692" s="82"/>
      <c r="D692" s="30"/>
      <c r="E692" s="30"/>
      <c r="F692" s="30"/>
      <c r="G692" s="30"/>
      <c r="H692" s="30"/>
      <c r="I692" s="30"/>
      <c r="J692" s="30"/>
      <c r="K692" s="30"/>
      <c r="L692" s="30"/>
      <c r="M692" s="30"/>
    </row>
    <row r="693" ht="15.75" customHeight="1">
      <c r="A693" s="30"/>
      <c r="B693" s="30"/>
      <c r="C693" s="82"/>
      <c r="D693" s="30"/>
      <c r="E693" s="30"/>
      <c r="F693" s="30"/>
      <c r="G693" s="30"/>
      <c r="H693" s="30"/>
      <c r="I693" s="30"/>
      <c r="J693" s="30"/>
      <c r="K693" s="30"/>
      <c r="L693" s="30"/>
      <c r="M693" s="30"/>
    </row>
    <row r="694" ht="15.75" customHeight="1">
      <c r="A694" s="30"/>
      <c r="B694" s="30"/>
      <c r="C694" s="82"/>
      <c r="D694" s="30"/>
      <c r="E694" s="30"/>
      <c r="F694" s="30"/>
      <c r="G694" s="30"/>
      <c r="H694" s="30"/>
      <c r="I694" s="30"/>
      <c r="J694" s="30"/>
      <c r="K694" s="30"/>
      <c r="L694" s="30"/>
      <c r="M694" s="30"/>
    </row>
    <row r="695" ht="15.75" customHeight="1">
      <c r="A695" s="30"/>
      <c r="B695" s="30"/>
      <c r="C695" s="82"/>
      <c r="D695" s="30"/>
      <c r="E695" s="30"/>
      <c r="F695" s="30"/>
      <c r="G695" s="30"/>
      <c r="H695" s="30"/>
      <c r="I695" s="30"/>
      <c r="J695" s="30"/>
      <c r="K695" s="30"/>
      <c r="L695" s="30"/>
      <c r="M695" s="30"/>
    </row>
    <row r="696" ht="15.75" customHeight="1">
      <c r="A696" s="30"/>
      <c r="B696" s="30"/>
      <c r="C696" s="82"/>
      <c r="D696" s="30"/>
      <c r="E696" s="30"/>
      <c r="F696" s="30"/>
      <c r="G696" s="30"/>
      <c r="H696" s="30"/>
      <c r="I696" s="30"/>
      <c r="J696" s="30"/>
      <c r="K696" s="30"/>
      <c r="L696" s="30"/>
      <c r="M696" s="30"/>
    </row>
    <row r="697" ht="15.75" customHeight="1">
      <c r="A697" s="30"/>
      <c r="B697" s="30"/>
      <c r="C697" s="82"/>
      <c r="D697" s="30"/>
      <c r="E697" s="30"/>
      <c r="F697" s="30"/>
      <c r="G697" s="30"/>
      <c r="H697" s="30"/>
      <c r="I697" s="30"/>
      <c r="J697" s="30"/>
      <c r="K697" s="30"/>
      <c r="L697" s="30"/>
      <c r="M697" s="30"/>
    </row>
    <row r="698" ht="15.75" customHeight="1">
      <c r="A698" s="30"/>
      <c r="B698" s="30"/>
      <c r="C698" s="82"/>
      <c r="D698" s="30"/>
      <c r="E698" s="30"/>
      <c r="F698" s="30"/>
      <c r="G698" s="30"/>
      <c r="H698" s="30"/>
      <c r="I698" s="30"/>
      <c r="J698" s="30"/>
      <c r="K698" s="30"/>
      <c r="L698" s="30"/>
      <c r="M698" s="30"/>
    </row>
    <row r="699" ht="15.75" customHeight="1">
      <c r="A699" s="30"/>
      <c r="B699" s="30"/>
      <c r="C699" s="82"/>
      <c r="D699" s="30"/>
      <c r="E699" s="30"/>
      <c r="F699" s="30"/>
      <c r="G699" s="30"/>
      <c r="H699" s="30"/>
      <c r="I699" s="30"/>
      <c r="J699" s="30"/>
      <c r="K699" s="30"/>
      <c r="L699" s="30"/>
      <c r="M699" s="30"/>
    </row>
    <row r="700" ht="15.75" customHeight="1">
      <c r="A700" s="30"/>
      <c r="B700" s="30"/>
      <c r="C700" s="82"/>
      <c r="D700" s="30"/>
      <c r="E700" s="30"/>
      <c r="F700" s="30"/>
      <c r="G700" s="30"/>
      <c r="H700" s="30"/>
      <c r="I700" s="30"/>
      <c r="J700" s="30"/>
      <c r="K700" s="30"/>
      <c r="L700" s="30"/>
      <c r="M700" s="30"/>
    </row>
    <row r="701" ht="15.75" customHeight="1">
      <c r="A701" s="30"/>
      <c r="B701" s="30"/>
      <c r="C701" s="82"/>
      <c r="D701" s="30"/>
      <c r="E701" s="30"/>
      <c r="F701" s="30"/>
      <c r="G701" s="30"/>
      <c r="H701" s="30"/>
      <c r="I701" s="30"/>
      <c r="J701" s="30"/>
      <c r="K701" s="30"/>
      <c r="L701" s="30"/>
      <c r="M701" s="30"/>
    </row>
    <row r="702" ht="15.75" customHeight="1">
      <c r="A702" s="30"/>
      <c r="B702" s="30"/>
      <c r="C702" s="82"/>
      <c r="D702" s="30"/>
      <c r="E702" s="30"/>
      <c r="F702" s="30"/>
      <c r="G702" s="30"/>
      <c r="H702" s="30"/>
      <c r="I702" s="30"/>
      <c r="J702" s="30"/>
      <c r="K702" s="30"/>
      <c r="L702" s="30"/>
      <c r="M702" s="30"/>
    </row>
    <row r="703" ht="15.75" customHeight="1">
      <c r="A703" s="30"/>
      <c r="B703" s="30"/>
      <c r="C703" s="82"/>
      <c r="D703" s="30"/>
      <c r="E703" s="30"/>
      <c r="F703" s="30"/>
      <c r="G703" s="30"/>
      <c r="H703" s="30"/>
      <c r="I703" s="30"/>
      <c r="J703" s="30"/>
      <c r="K703" s="30"/>
      <c r="L703" s="30"/>
      <c r="M703" s="30"/>
    </row>
    <row r="704" ht="15.75" customHeight="1">
      <c r="A704" s="30"/>
      <c r="B704" s="30"/>
      <c r="C704" s="82"/>
      <c r="D704" s="30"/>
      <c r="E704" s="30"/>
      <c r="F704" s="30"/>
      <c r="G704" s="30"/>
      <c r="H704" s="30"/>
      <c r="I704" s="30"/>
      <c r="J704" s="30"/>
      <c r="K704" s="30"/>
      <c r="L704" s="30"/>
      <c r="M704" s="30"/>
    </row>
    <row r="705" ht="15.75" customHeight="1">
      <c r="A705" s="30"/>
      <c r="B705" s="30"/>
      <c r="C705" s="82"/>
      <c r="D705" s="30"/>
      <c r="E705" s="30"/>
      <c r="F705" s="30"/>
      <c r="G705" s="30"/>
      <c r="H705" s="30"/>
      <c r="I705" s="30"/>
      <c r="J705" s="30"/>
      <c r="K705" s="30"/>
      <c r="L705" s="30"/>
      <c r="M705" s="30"/>
    </row>
    <row r="706" ht="15.75" customHeight="1">
      <c r="A706" s="30"/>
      <c r="B706" s="30"/>
      <c r="C706" s="82"/>
      <c r="D706" s="30"/>
      <c r="E706" s="30"/>
      <c r="F706" s="30"/>
      <c r="G706" s="30"/>
      <c r="H706" s="30"/>
      <c r="I706" s="30"/>
      <c r="J706" s="30"/>
      <c r="K706" s="30"/>
      <c r="L706" s="30"/>
      <c r="M706" s="30"/>
    </row>
    <row r="707" ht="15.75" customHeight="1">
      <c r="A707" s="30"/>
      <c r="B707" s="30"/>
      <c r="C707" s="82"/>
      <c r="D707" s="30"/>
      <c r="E707" s="30"/>
      <c r="F707" s="30"/>
      <c r="G707" s="30"/>
      <c r="H707" s="30"/>
      <c r="I707" s="30"/>
      <c r="J707" s="30"/>
      <c r="K707" s="30"/>
      <c r="L707" s="30"/>
      <c r="M707" s="30"/>
    </row>
    <row r="708" ht="15.75" customHeight="1">
      <c r="A708" s="30"/>
      <c r="B708" s="30"/>
      <c r="C708" s="82"/>
      <c r="D708" s="30"/>
      <c r="E708" s="30"/>
      <c r="F708" s="30"/>
      <c r="G708" s="30"/>
      <c r="H708" s="30"/>
      <c r="I708" s="30"/>
      <c r="J708" s="30"/>
      <c r="K708" s="30"/>
      <c r="L708" s="30"/>
      <c r="M708" s="30"/>
    </row>
    <row r="709" ht="15.75" customHeight="1">
      <c r="A709" s="30"/>
      <c r="B709" s="30"/>
      <c r="C709" s="82"/>
      <c r="D709" s="30"/>
      <c r="E709" s="30"/>
      <c r="F709" s="30"/>
      <c r="G709" s="30"/>
      <c r="H709" s="30"/>
      <c r="I709" s="30"/>
      <c r="J709" s="30"/>
      <c r="K709" s="30"/>
      <c r="L709" s="30"/>
      <c r="M709" s="30"/>
    </row>
    <row r="710" ht="15.75" customHeight="1">
      <c r="A710" s="30"/>
      <c r="B710" s="30"/>
      <c r="C710" s="82"/>
      <c r="D710" s="30"/>
      <c r="E710" s="30"/>
      <c r="F710" s="30"/>
      <c r="G710" s="30"/>
      <c r="H710" s="30"/>
      <c r="I710" s="30"/>
      <c r="J710" s="30"/>
      <c r="K710" s="30"/>
      <c r="L710" s="30"/>
      <c r="M710" s="30"/>
    </row>
    <row r="711" ht="15.75" customHeight="1">
      <c r="A711" s="30"/>
      <c r="B711" s="30"/>
      <c r="C711" s="82"/>
      <c r="D711" s="30"/>
      <c r="E711" s="30"/>
      <c r="F711" s="30"/>
      <c r="G711" s="30"/>
      <c r="H711" s="30"/>
      <c r="I711" s="30"/>
      <c r="J711" s="30"/>
      <c r="K711" s="30"/>
      <c r="L711" s="30"/>
      <c r="M711" s="30"/>
    </row>
    <row r="712" ht="15.75" customHeight="1">
      <c r="A712" s="30"/>
      <c r="B712" s="30"/>
      <c r="C712" s="82"/>
      <c r="D712" s="30"/>
      <c r="E712" s="30"/>
      <c r="F712" s="30"/>
      <c r="G712" s="30"/>
      <c r="H712" s="30"/>
      <c r="I712" s="30"/>
      <c r="J712" s="30"/>
      <c r="K712" s="30"/>
      <c r="L712" s="30"/>
      <c r="M712" s="30"/>
    </row>
    <row r="713" ht="15.75" customHeight="1">
      <c r="A713" s="30"/>
      <c r="B713" s="30"/>
      <c r="C713" s="82"/>
      <c r="D713" s="30"/>
      <c r="E713" s="30"/>
      <c r="F713" s="30"/>
      <c r="G713" s="30"/>
      <c r="H713" s="30"/>
      <c r="I713" s="30"/>
      <c r="J713" s="30"/>
      <c r="K713" s="30"/>
      <c r="L713" s="30"/>
      <c r="M713" s="30"/>
    </row>
    <row r="714" ht="15.75" customHeight="1">
      <c r="A714" s="30"/>
      <c r="B714" s="30"/>
      <c r="C714" s="82"/>
      <c r="D714" s="30"/>
      <c r="E714" s="30"/>
      <c r="F714" s="30"/>
      <c r="G714" s="30"/>
      <c r="H714" s="30"/>
      <c r="I714" s="30"/>
      <c r="J714" s="30"/>
      <c r="K714" s="30"/>
      <c r="L714" s="30"/>
      <c r="M714" s="30"/>
    </row>
    <row r="715" ht="15.75" customHeight="1">
      <c r="A715" s="30"/>
      <c r="B715" s="30"/>
      <c r="C715" s="82"/>
      <c r="D715" s="30"/>
      <c r="E715" s="30"/>
      <c r="F715" s="30"/>
      <c r="G715" s="30"/>
      <c r="H715" s="30"/>
      <c r="I715" s="30"/>
      <c r="J715" s="30"/>
      <c r="K715" s="30"/>
      <c r="L715" s="30"/>
      <c r="M715" s="30"/>
    </row>
    <row r="716" ht="15.75" customHeight="1">
      <c r="A716" s="30"/>
      <c r="B716" s="30"/>
      <c r="C716" s="82"/>
      <c r="D716" s="30"/>
      <c r="E716" s="30"/>
      <c r="F716" s="30"/>
      <c r="G716" s="30"/>
      <c r="H716" s="30"/>
      <c r="I716" s="30"/>
      <c r="J716" s="30"/>
      <c r="K716" s="30"/>
      <c r="L716" s="30"/>
      <c r="M716" s="30"/>
    </row>
    <row r="717" ht="15.75" customHeight="1">
      <c r="A717" s="30"/>
      <c r="B717" s="30"/>
      <c r="C717" s="82"/>
      <c r="D717" s="30"/>
      <c r="E717" s="30"/>
      <c r="F717" s="30"/>
      <c r="G717" s="30"/>
      <c r="H717" s="30"/>
      <c r="I717" s="30"/>
      <c r="J717" s="30"/>
      <c r="K717" s="30"/>
      <c r="L717" s="30"/>
      <c r="M717" s="30"/>
    </row>
    <row r="718" ht="15.75" customHeight="1">
      <c r="A718" s="30"/>
      <c r="B718" s="30"/>
      <c r="C718" s="82"/>
      <c r="D718" s="30"/>
      <c r="E718" s="30"/>
      <c r="F718" s="30"/>
      <c r="G718" s="30"/>
      <c r="H718" s="30"/>
      <c r="I718" s="30"/>
      <c r="J718" s="30"/>
      <c r="K718" s="30"/>
      <c r="L718" s="30"/>
      <c r="M718" s="30"/>
    </row>
    <row r="719" ht="15.75" customHeight="1">
      <c r="A719" s="30"/>
      <c r="B719" s="30"/>
      <c r="C719" s="82"/>
      <c r="D719" s="30"/>
      <c r="E719" s="30"/>
      <c r="F719" s="30"/>
      <c r="G719" s="30"/>
      <c r="H719" s="30"/>
      <c r="I719" s="30"/>
      <c r="J719" s="30"/>
      <c r="K719" s="30"/>
      <c r="L719" s="30"/>
      <c r="M719" s="30"/>
    </row>
    <row r="720" ht="15.75" customHeight="1">
      <c r="A720" s="30"/>
      <c r="B720" s="30"/>
      <c r="C720" s="82"/>
      <c r="D720" s="30"/>
      <c r="E720" s="30"/>
      <c r="F720" s="30"/>
      <c r="G720" s="30"/>
      <c r="H720" s="30"/>
      <c r="I720" s="30"/>
      <c r="J720" s="30"/>
      <c r="K720" s="30"/>
      <c r="L720" s="30"/>
      <c r="M720" s="30"/>
    </row>
    <row r="721" ht="15.75" customHeight="1">
      <c r="A721" s="30"/>
      <c r="B721" s="30"/>
      <c r="C721" s="82"/>
      <c r="D721" s="30"/>
      <c r="E721" s="30"/>
      <c r="F721" s="30"/>
      <c r="G721" s="30"/>
      <c r="H721" s="30"/>
      <c r="I721" s="30"/>
      <c r="J721" s="30"/>
      <c r="K721" s="30"/>
      <c r="L721" s="30"/>
      <c r="M721" s="30"/>
    </row>
    <row r="722" ht="15.75" customHeight="1">
      <c r="A722" s="30"/>
      <c r="B722" s="30"/>
      <c r="C722" s="82"/>
      <c r="D722" s="30"/>
      <c r="E722" s="30"/>
      <c r="F722" s="30"/>
      <c r="G722" s="30"/>
      <c r="H722" s="30"/>
      <c r="I722" s="30"/>
      <c r="J722" s="30"/>
      <c r="K722" s="30"/>
      <c r="L722" s="30"/>
      <c r="M722" s="30"/>
    </row>
    <row r="723" ht="15.75" customHeight="1">
      <c r="A723" s="30"/>
      <c r="B723" s="30"/>
      <c r="C723" s="82"/>
      <c r="D723" s="30"/>
      <c r="E723" s="30"/>
      <c r="F723" s="30"/>
      <c r="G723" s="30"/>
      <c r="H723" s="30"/>
      <c r="I723" s="30"/>
      <c r="J723" s="30"/>
      <c r="K723" s="30"/>
      <c r="L723" s="30"/>
      <c r="M723" s="30"/>
    </row>
    <row r="724" ht="15.75" customHeight="1">
      <c r="A724" s="30"/>
      <c r="B724" s="30"/>
      <c r="C724" s="82"/>
      <c r="D724" s="30"/>
      <c r="E724" s="30"/>
      <c r="F724" s="30"/>
      <c r="G724" s="30"/>
      <c r="H724" s="30"/>
      <c r="I724" s="30"/>
      <c r="J724" s="30"/>
      <c r="K724" s="30"/>
      <c r="L724" s="30"/>
      <c r="M724" s="30"/>
    </row>
    <row r="725" ht="15.75" customHeight="1">
      <c r="A725" s="30"/>
      <c r="B725" s="30"/>
      <c r="C725" s="82"/>
      <c r="D725" s="30"/>
      <c r="E725" s="30"/>
      <c r="F725" s="30"/>
      <c r="G725" s="30"/>
      <c r="H725" s="30"/>
      <c r="I725" s="30"/>
      <c r="J725" s="30"/>
      <c r="K725" s="30"/>
      <c r="L725" s="30"/>
      <c r="M725" s="30"/>
    </row>
    <row r="726" ht="15.75" customHeight="1">
      <c r="A726" s="30"/>
      <c r="B726" s="30"/>
      <c r="C726" s="82"/>
      <c r="D726" s="30"/>
      <c r="E726" s="30"/>
      <c r="F726" s="30"/>
      <c r="G726" s="30"/>
      <c r="H726" s="30"/>
      <c r="I726" s="30"/>
      <c r="J726" s="30"/>
      <c r="K726" s="30"/>
      <c r="L726" s="30"/>
      <c r="M726" s="30"/>
    </row>
    <row r="727" ht="15.75" customHeight="1">
      <c r="A727" s="30"/>
      <c r="B727" s="30"/>
      <c r="C727" s="82"/>
      <c r="D727" s="30"/>
      <c r="E727" s="30"/>
      <c r="F727" s="30"/>
      <c r="G727" s="30"/>
      <c r="H727" s="30"/>
      <c r="I727" s="30"/>
      <c r="J727" s="30"/>
      <c r="K727" s="30"/>
      <c r="L727" s="30"/>
      <c r="M727" s="30"/>
    </row>
    <row r="728" ht="15.75" customHeight="1">
      <c r="A728" s="30"/>
      <c r="B728" s="30"/>
      <c r="C728" s="82"/>
      <c r="D728" s="30"/>
      <c r="E728" s="30"/>
      <c r="F728" s="30"/>
      <c r="G728" s="30"/>
      <c r="H728" s="30"/>
      <c r="I728" s="30"/>
      <c r="J728" s="30"/>
      <c r="K728" s="30"/>
      <c r="L728" s="30"/>
      <c r="M728" s="30"/>
    </row>
    <row r="729" ht="15.75" customHeight="1">
      <c r="A729" s="30"/>
      <c r="B729" s="30"/>
      <c r="C729" s="82"/>
      <c r="D729" s="30"/>
      <c r="E729" s="30"/>
      <c r="F729" s="30"/>
      <c r="G729" s="30"/>
      <c r="H729" s="30"/>
      <c r="I729" s="30"/>
      <c r="J729" s="30"/>
      <c r="K729" s="30"/>
      <c r="L729" s="30"/>
      <c r="M729" s="30"/>
    </row>
    <row r="730" ht="15.75" customHeight="1">
      <c r="A730" s="30"/>
      <c r="B730" s="30"/>
      <c r="C730" s="82"/>
      <c r="D730" s="30"/>
      <c r="E730" s="30"/>
      <c r="F730" s="30"/>
      <c r="G730" s="30"/>
      <c r="H730" s="30"/>
      <c r="I730" s="30"/>
      <c r="J730" s="30"/>
      <c r="K730" s="30"/>
      <c r="L730" s="30"/>
      <c r="M730" s="30"/>
    </row>
    <row r="731" ht="15.75" customHeight="1">
      <c r="A731" s="30"/>
      <c r="B731" s="30"/>
      <c r="C731" s="82"/>
      <c r="D731" s="30"/>
      <c r="E731" s="30"/>
      <c r="F731" s="30"/>
      <c r="G731" s="30"/>
      <c r="H731" s="30"/>
      <c r="I731" s="30"/>
      <c r="J731" s="30"/>
      <c r="K731" s="30"/>
      <c r="L731" s="30"/>
      <c r="M731" s="30"/>
    </row>
    <row r="732" ht="15.75" customHeight="1">
      <c r="A732" s="30"/>
      <c r="B732" s="30"/>
      <c r="C732" s="82"/>
      <c r="D732" s="30"/>
      <c r="E732" s="30"/>
      <c r="F732" s="30"/>
      <c r="G732" s="30"/>
      <c r="H732" s="30"/>
      <c r="I732" s="30"/>
      <c r="J732" s="30"/>
      <c r="K732" s="30"/>
      <c r="L732" s="30"/>
      <c r="M732" s="30"/>
    </row>
    <row r="733" ht="15.75" customHeight="1">
      <c r="A733" s="30"/>
      <c r="B733" s="30"/>
      <c r="C733" s="82"/>
      <c r="D733" s="30"/>
      <c r="E733" s="30"/>
      <c r="F733" s="30"/>
      <c r="G733" s="30"/>
      <c r="H733" s="30"/>
      <c r="I733" s="30"/>
      <c r="J733" s="30"/>
      <c r="K733" s="30"/>
      <c r="L733" s="30"/>
      <c r="M733" s="30"/>
    </row>
    <row r="734" ht="15.75" customHeight="1">
      <c r="A734" s="30"/>
      <c r="B734" s="30"/>
      <c r="C734" s="82"/>
      <c r="D734" s="30"/>
      <c r="E734" s="30"/>
      <c r="F734" s="30"/>
      <c r="G734" s="30"/>
      <c r="H734" s="30"/>
      <c r="I734" s="30"/>
      <c r="J734" s="30"/>
      <c r="K734" s="30"/>
      <c r="L734" s="30"/>
      <c r="M734" s="30"/>
    </row>
    <row r="735" ht="15.75" customHeight="1">
      <c r="A735" s="30"/>
      <c r="B735" s="30"/>
      <c r="C735" s="82"/>
      <c r="D735" s="30"/>
      <c r="E735" s="30"/>
      <c r="F735" s="30"/>
      <c r="G735" s="30"/>
      <c r="H735" s="30"/>
      <c r="I735" s="30"/>
      <c r="J735" s="30"/>
      <c r="K735" s="30"/>
      <c r="L735" s="30"/>
      <c r="M735" s="30"/>
    </row>
    <row r="736" ht="15.75" customHeight="1">
      <c r="A736" s="30"/>
      <c r="B736" s="30"/>
      <c r="C736" s="82"/>
      <c r="D736" s="30"/>
      <c r="E736" s="30"/>
      <c r="F736" s="30"/>
      <c r="G736" s="30"/>
      <c r="H736" s="30"/>
      <c r="I736" s="30"/>
      <c r="J736" s="30"/>
      <c r="K736" s="30"/>
      <c r="L736" s="30"/>
      <c r="M736" s="30"/>
    </row>
    <row r="737" ht="15.75" customHeight="1">
      <c r="A737" s="30"/>
      <c r="B737" s="30"/>
      <c r="C737" s="82"/>
      <c r="D737" s="30"/>
      <c r="E737" s="30"/>
      <c r="F737" s="30"/>
      <c r="G737" s="30"/>
      <c r="H737" s="30"/>
      <c r="I737" s="30"/>
      <c r="J737" s="30"/>
      <c r="K737" s="30"/>
      <c r="L737" s="30"/>
      <c r="M737" s="30"/>
    </row>
    <row r="738" ht="15.75" customHeight="1">
      <c r="A738" s="30"/>
      <c r="B738" s="30"/>
      <c r="C738" s="82"/>
      <c r="D738" s="30"/>
      <c r="E738" s="30"/>
      <c r="F738" s="30"/>
      <c r="G738" s="30"/>
      <c r="H738" s="30"/>
      <c r="I738" s="30"/>
      <c r="J738" s="30"/>
      <c r="K738" s="30"/>
      <c r="L738" s="30"/>
      <c r="M738" s="30"/>
    </row>
    <row r="739" ht="15.75" customHeight="1">
      <c r="A739" s="30"/>
      <c r="B739" s="30"/>
      <c r="C739" s="82"/>
      <c r="D739" s="30"/>
      <c r="E739" s="30"/>
      <c r="F739" s="30"/>
      <c r="G739" s="30"/>
      <c r="H739" s="30"/>
      <c r="I739" s="30"/>
      <c r="J739" s="30"/>
      <c r="K739" s="30"/>
      <c r="L739" s="30"/>
      <c r="M739" s="30"/>
    </row>
    <row r="740" ht="15.75" customHeight="1">
      <c r="A740" s="30"/>
      <c r="B740" s="30"/>
      <c r="C740" s="82"/>
      <c r="D740" s="30"/>
      <c r="E740" s="30"/>
      <c r="F740" s="30"/>
      <c r="G740" s="30"/>
      <c r="H740" s="30"/>
      <c r="I740" s="30"/>
      <c r="J740" s="30"/>
      <c r="K740" s="30"/>
      <c r="L740" s="30"/>
      <c r="M740" s="30"/>
    </row>
    <row r="741" ht="15.75" customHeight="1">
      <c r="A741" s="30"/>
      <c r="B741" s="30"/>
      <c r="C741" s="82"/>
      <c r="D741" s="30"/>
      <c r="E741" s="30"/>
      <c r="F741" s="30"/>
      <c r="G741" s="30"/>
      <c r="H741" s="30"/>
      <c r="I741" s="30"/>
      <c r="J741" s="30"/>
      <c r="K741" s="30"/>
      <c r="L741" s="30"/>
      <c r="M741" s="30"/>
    </row>
    <row r="742" ht="15.75" customHeight="1">
      <c r="A742" s="30"/>
      <c r="B742" s="30"/>
      <c r="C742" s="82"/>
      <c r="D742" s="30"/>
      <c r="E742" s="30"/>
      <c r="F742" s="30"/>
      <c r="G742" s="30"/>
      <c r="H742" s="30"/>
      <c r="I742" s="30"/>
      <c r="J742" s="30"/>
      <c r="K742" s="30"/>
      <c r="L742" s="30"/>
      <c r="M742" s="30"/>
    </row>
    <row r="743" ht="15.75" customHeight="1">
      <c r="A743" s="30"/>
      <c r="B743" s="30"/>
      <c r="C743" s="82"/>
      <c r="D743" s="30"/>
      <c r="E743" s="30"/>
      <c r="F743" s="30"/>
      <c r="G743" s="30"/>
      <c r="H743" s="30"/>
      <c r="I743" s="30"/>
      <c r="J743" s="30"/>
      <c r="K743" s="30"/>
      <c r="L743" s="30"/>
      <c r="M743" s="30"/>
    </row>
    <row r="744" ht="15.75" customHeight="1">
      <c r="A744" s="30"/>
      <c r="B744" s="30"/>
      <c r="C744" s="82"/>
      <c r="D744" s="30"/>
      <c r="E744" s="30"/>
      <c r="F744" s="30"/>
      <c r="G744" s="30"/>
      <c r="H744" s="30"/>
      <c r="I744" s="30"/>
      <c r="J744" s="30"/>
      <c r="K744" s="30"/>
      <c r="L744" s="30"/>
      <c r="M744" s="30"/>
    </row>
    <row r="745" ht="15.75" customHeight="1">
      <c r="A745" s="30"/>
      <c r="B745" s="30"/>
      <c r="C745" s="82"/>
      <c r="D745" s="30"/>
      <c r="E745" s="30"/>
      <c r="F745" s="30"/>
      <c r="G745" s="30"/>
      <c r="H745" s="30"/>
      <c r="I745" s="30"/>
      <c r="J745" s="30"/>
      <c r="K745" s="30"/>
      <c r="L745" s="30"/>
      <c r="M745" s="30"/>
    </row>
    <row r="746" ht="15.75" customHeight="1">
      <c r="A746" s="30"/>
      <c r="B746" s="30"/>
      <c r="C746" s="82"/>
      <c r="D746" s="30"/>
      <c r="E746" s="30"/>
      <c r="F746" s="30"/>
      <c r="G746" s="30"/>
      <c r="H746" s="30"/>
      <c r="I746" s="30"/>
      <c r="J746" s="30"/>
      <c r="K746" s="30"/>
      <c r="L746" s="30"/>
      <c r="M746" s="30"/>
    </row>
    <row r="747" ht="15.75" customHeight="1">
      <c r="A747" s="30"/>
      <c r="B747" s="30"/>
      <c r="C747" s="82"/>
      <c r="D747" s="30"/>
      <c r="E747" s="30"/>
      <c r="F747" s="30"/>
      <c r="G747" s="30"/>
      <c r="H747" s="30"/>
      <c r="I747" s="30"/>
      <c r="J747" s="30"/>
      <c r="K747" s="30"/>
      <c r="L747" s="30"/>
      <c r="M747" s="30"/>
    </row>
    <row r="748" ht="15.75" customHeight="1">
      <c r="A748" s="30"/>
      <c r="B748" s="30"/>
      <c r="C748" s="82"/>
      <c r="D748" s="30"/>
      <c r="E748" s="30"/>
      <c r="F748" s="30"/>
      <c r="G748" s="30"/>
      <c r="H748" s="30"/>
      <c r="I748" s="30"/>
      <c r="J748" s="30"/>
      <c r="K748" s="30"/>
      <c r="L748" s="30"/>
      <c r="M748" s="30"/>
    </row>
    <row r="749" ht="15.75" customHeight="1">
      <c r="A749" s="30"/>
      <c r="B749" s="30"/>
      <c r="C749" s="82"/>
      <c r="D749" s="30"/>
      <c r="E749" s="30"/>
      <c r="F749" s="30"/>
      <c r="G749" s="30"/>
      <c r="H749" s="30"/>
      <c r="I749" s="30"/>
      <c r="J749" s="30"/>
      <c r="K749" s="30"/>
      <c r="L749" s="30"/>
      <c r="M749" s="30"/>
    </row>
    <row r="750" ht="15.75" customHeight="1">
      <c r="A750" s="30"/>
      <c r="B750" s="30"/>
      <c r="C750" s="82"/>
      <c r="D750" s="30"/>
      <c r="E750" s="30"/>
      <c r="F750" s="30"/>
      <c r="G750" s="30"/>
      <c r="H750" s="30"/>
      <c r="I750" s="30"/>
      <c r="J750" s="30"/>
      <c r="K750" s="30"/>
      <c r="L750" s="30"/>
      <c r="M750" s="30"/>
    </row>
    <row r="751" ht="15.75" customHeight="1">
      <c r="A751" s="30"/>
      <c r="B751" s="30"/>
      <c r="C751" s="82"/>
      <c r="D751" s="30"/>
      <c r="E751" s="30"/>
      <c r="F751" s="30"/>
      <c r="G751" s="30"/>
      <c r="H751" s="30"/>
      <c r="I751" s="30"/>
      <c r="J751" s="30"/>
      <c r="K751" s="30"/>
      <c r="L751" s="30"/>
      <c r="M751" s="30"/>
    </row>
    <row r="752" ht="15.75" customHeight="1">
      <c r="A752" s="30"/>
      <c r="B752" s="30"/>
      <c r="C752" s="82"/>
      <c r="D752" s="30"/>
      <c r="E752" s="30"/>
      <c r="F752" s="30"/>
      <c r="G752" s="30"/>
      <c r="H752" s="30"/>
      <c r="I752" s="30"/>
      <c r="J752" s="30"/>
      <c r="K752" s="30"/>
      <c r="L752" s="30"/>
      <c r="M752" s="30"/>
    </row>
    <row r="753" ht="15.75" customHeight="1">
      <c r="A753" s="30"/>
      <c r="B753" s="30"/>
      <c r="C753" s="82"/>
      <c r="D753" s="30"/>
      <c r="E753" s="30"/>
      <c r="F753" s="30"/>
      <c r="G753" s="30"/>
      <c r="H753" s="30"/>
      <c r="I753" s="30"/>
      <c r="J753" s="30"/>
      <c r="K753" s="30"/>
      <c r="L753" s="30"/>
      <c r="M753" s="30"/>
    </row>
    <row r="754" ht="15.75" customHeight="1">
      <c r="A754" s="30"/>
      <c r="B754" s="30"/>
      <c r="C754" s="82"/>
      <c r="D754" s="30"/>
      <c r="E754" s="30"/>
      <c r="F754" s="30"/>
      <c r="G754" s="30"/>
      <c r="H754" s="30"/>
      <c r="I754" s="30"/>
      <c r="J754" s="30"/>
      <c r="K754" s="30"/>
      <c r="L754" s="30"/>
      <c r="M754" s="30"/>
    </row>
    <row r="755" ht="15.75" customHeight="1">
      <c r="A755" s="30"/>
      <c r="B755" s="30"/>
      <c r="C755" s="82"/>
      <c r="D755" s="30"/>
      <c r="E755" s="30"/>
      <c r="F755" s="30"/>
      <c r="G755" s="30"/>
      <c r="H755" s="30"/>
      <c r="I755" s="30"/>
      <c r="J755" s="30"/>
      <c r="K755" s="30"/>
      <c r="L755" s="30"/>
      <c r="M755" s="30"/>
    </row>
    <row r="756" ht="15.75" customHeight="1">
      <c r="A756" s="30"/>
      <c r="B756" s="30"/>
      <c r="C756" s="82"/>
      <c r="D756" s="30"/>
      <c r="E756" s="30"/>
      <c r="F756" s="30"/>
      <c r="G756" s="30"/>
      <c r="H756" s="30"/>
      <c r="I756" s="30"/>
      <c r="J756" s="30"/>
      <c r="K756" s="30"/>
      <c r="L756" s="30"/>
      <c r="M756" s="30"/>
    </row>
    <row r="757" ht="15.75" customHeight="1">
      <c r="A757" s="30"/>
      <c r="B757" s="30"/>
      <c r="C757" s="82"/>
      <c r="D757" s="30"/>
      <c r="E757" s="30"/>
      <c r="F757" s="30"/>
      <c r="G757" s="30"/>
      <c r="H757" s="30"/>
      <c r="I757" s="30"/>
      <c r="J757" s="30"/>
      <c r="K757" s="30"/>
      <c r="L757" s="30"/>
      <c r="M757" s="30"/>
    </row>
    <row r="758" ht="15.75" customHeight="1">
      <c r="A758" s="30"/>
      <c r="B758" s="30"/>
      <c r="C758" s="82"/>
      <c r="D758" s="30"/>
      <c r="E758" s="30"/>
      <c r="F758" s="30"/>
      <c r="G758" s="30"/>
      <c r="H758" s="30"/>
      <c r="I758" s="30"/>
      <c r="J758" s="30"/>
      <c r="K758" s="30"/>
      <c r="L758" s="30"/>
      <c r="M758" s="30"/>
    </row>
    <row r="759" ht="15.75" customHeight="1">
      <c r="A759" s="30"/>
      <c r="B759" s="30"/>
      <c r="C759" s="82"/>
      <c r="D759" s="30"/>
      <c r="E759" s="30"/>
      <c r="F759" s="30"/>
      <c r="G759" s="30"/>
      <c r="H759" s="30"/>
      <c r="I759" s="30"/>
      <c r="J759" s="30"/>
      <c r="K759" s="30"/>
      <c r="L759" s="30"/>
      <c r="M759" s="30"/>
    </row>
    <row r="760" ht="15.75" customHeight="1">
      <c r="A760" s="30"/>
      <c r="B760" s="30"/>
      <c r="C760" s="82"/>
      <c r="D760" s="30"/>
      <c r="E760" s="30"/>
      <c r="F760" s="30"/>
      <c r="G760" s="30"/>
      <c r="H760" s="30"/>
      <c r="I760" s="30"/>
      <c r="J760" s="30"/>
      <c r="K760" s="30"/>
      <c r="L760" s="30"/>
      <c r="M760" s="30"/>
    </row>
    <row r="761" ht="15.75" customHeight="1">
      <c r="A761" s="30"/>
      <c r="B761" s="30"/>
      <c r="C761" s="82"/>
      <c r="D761" s="30"/>
      <c r="E761" s="30"/>
      <c r="F761" s="30"/>
      <c r="G761" s="30"/>
      <c r="H761" s="30"/>
      <c r="I761" s="30"/>
      <c r="J761" s="30"/>
      <c r="K761" s="30"/>
      <c r="L761" s="30"/>
      <c r="M761" s="30"/>
    </row>
    <row r="762" ht="15.75" customHeight="1">
      <c r="A762" s="30"/>
      <c r="B762" s="30"/>
      <c r="C762" s="82"/>
      <c r="D762" s="30"/>
      <c r="E762" s="30"/>
      <c r="F762" s="30"/>
      <c r="G762" s="30"/>
      <c r="H762" s="30"/>
      <c r="I762" s="30"/>
      <c r="J762" s="30"/>
      <c r="K762" s="30"/>
      <c r="L762" s="30"/>
      <c r="M762" s="30"/>
    </row>
    <row r="763" ht="15.75" customHeight="1">
      <c r="A763" s="30"/>
      <c r="B763" s="30"/>
      <c r="C763" s="82"/>
      <c r="D763" s="30"/>
      <c r="E763" s="30"/>
      <c r="F763" s="30"/>
      <c r="G763" s="30"/>
      <c r="H763" s="30"/>
      <c r="I763" s="30"/>
      <c r="J763" s="30"/>
      <c r="K763" s="30"/>
      <c r="L763" s="30"/>
      <c r="M763" s="30"/>
    </row>
    <row r="764" ht="15.75" customHeight="1">
      <c r="A764" s="30"/>
      <c r="B764" s="30"/>
      <c r="C764" s="82"/>
      <c r="D764" s="30"/>
      <c r="E764" s="30"/>
      <c r="F764" s="30"/>
      <c r="G764" s="30"/>
      <c r="H764" s="30"/>
      <c r="I764" s="30"/>
      <c r="J764" s="30"/>
      <c r="K764" s="30"/>
      <c r="L764" s="30"/>
      <c r="M764" s="30"/>
    </row>
    <row r="765" ht="15.75" customHeight="1">
      <c r="A765" s="30"/>
      <c r="B765" s="30"/>
      <c r="C765" s="82"/>
      <c r="D765" s="30"/>
      <c r="E765" s="30"/>
      <c r="F765" s="30"/>
      <c r="G765" s="30"/>
      <c r="H765" s="30"/>
      <c r="I765" s="30"/>
      <c r="J765" s="30"/>
      <c r="K765" s="30"/>
      <c r="L765" s="30"/>
      <c r="M765" s="30"/>
    </row>
    <row r="766" ht="15.75" customHeight="1">
      <c r="A766" s="30"/>
      <c r="B766" s="30"/>
      <c r="C766" s="82"/>
      <c r="D766" s="30"/>
      <c r="E766" s="30"/>
      <c r="F766" s="30"/>
      <c r="G766" s="30"/>
      <c r="H766" s="30"/>
      <c r="I766" s="30"/>
      <c r="J766" s="30"/>
      <c r="K766" s="30"/>
      <c r="L766" s="30"/>
      <c r="M766" s="30"/>
    </row>
    <row r="767" ht="15.75" customHeight="1">
      <c r="A767" s="30"/>
      <c r="B767" s="30"/>
      <c r="C767" s="82"/>
      <c r="D767" s="30"/>
      <c r="E767" s="30"/>
      <c r="F767" s="30"/>
      <c r="G767" s="30"/>
      <c r="H767" s="30"/>
      <c r="I767" s="30"/>
      <c r="J767" s="30"/>
      <c r="K767" s="30"/>
      <c r="L767" s="30"/>
      <c r="M767" s="30"/>
    </row>
    <row r="768" ht="15.75" customHeight="1">
      <c r="A768" s="30"/>
      <c r="B768" s="30"/>
      <c r="C768" s="82"/>
      <c r="D768" s="30"/>
      <c r="E768" s="30"/>
      <c r="F768" s="30"/>
      <c r="G768" s="30"/>
      <c r="H768" s="30"/>
      <c r="I768" s="30"/>
      <c r="J768" s="30"/>
      <c r="K768" s="30"/>
      <c r="L768" s="30"/>
      <c r="M768" s="30"/>
    </row>
    <row r="769" ht="15.75" customHeight="1">
      <c r="A769" s="30"/>
      <c r="B769" s="30"/>
      <c r="C769" s="82"/>
      <c r="D769" s="30"/>
      <c r="E769" s="30"/>
      <c r="F769" s="30"/>
      <c r="G769" s="30"/>
      <c r="H769" s="30"/>
      <c r="I769" s="30"/>
      <c r="J769" s="30"/>
      <c r="K769" s="30"/>
      <c r="L769" s="30"/>
      <c r="M769" s="30"/>
    </row>
    <row r="770" ht="15.75" customHeight="1">
      <c r="A770" s="30"/>
      <c r="B770" s="30"/>
      <c r="C770" s="82"/>
      <c r="D770" s="30"/>
      <c r="E770" s="30"/>
      <c r="F770" s="30"/>
      <c r="G770" s="30"/>
      <c r="H770" s="30"/>
      <c r="I770" s="30"/>
      <c r="J770" s="30"/>
      <c r="K770" s="30"/>
      <c r="L770" s="30"/>
      <c r="M770" s="30"/>
    </row>
    <row r="771" ht="15.75" customHeight="1">
      <c r="A771" s="30"/>
      <c r="B771" s="30"/>
      <c r="C771" s="82"/>
      <c r="D771" s="30"/>
      <c r="E771" s="30"/>
      <c r="F771" s="30"/>
      <c r="G771" s="30"/>
      <c r="H771" s="30"/>
      <c r="I771" s="30"/>
      <c r="J771" s="30"/>
      <c r="K771" s="30"/>
      <c r="L771" s="30"/>
      <c r="M771" s="30"/>
    </row>
    <row r="772" ht="15.75" customHeight="1">
      <c r="A772" s="30"/>
      <c r="B772" s="30"/>
      <c r="C772" s="82"/>
      <c r="D772" s="30"/>
      <c r="E772" s="30"/>
      <c r="F772" s="30"/>
      <c r="G772" s="30"/>
      <c r="H772" s="30"/>
      <c r="I772" s="30"/>
      <c r="J772" s="30"/>
      <c r="K772" s="30"/>
      <c r="L772" s="30"/>
      <c r="M772" s="30"/>
    </row>
    <row r="773" ht="15.75" customHeight="1">
      <c r="A773" s="30"/>
      <c r="B773" s="30"/>
      <c r="C773" s="82"/>
      <c r="D773" s="30"/>
      <c r="E773" s="30"/>
      <c r="F773" s="30"/>
      <c r="G773" s="30"/>
      <c r="H773" s="30"/>
      <c r="I773" s="30"/>
      <c r="J773" s="30"/>
      <c r="K773" s="30"/>
      <c r="L773" s="30"/>
      <c r="M773" s="30"/>
    </row>
    <row r="774" ht="15.75" customHeight="1">
      <c r="A774" s="30"/>
      <c r="B774" s="30"/>
      <c r="C774" s="82"/>
      <c r="D774" s="30"/>
      <c r="E774" s="30"/>
      <c r="F774" s="30"/>
      <c r="G774" s="30"/>
      <c r="H774" s="30"/>
      <c r="I774" s="30"/>
      <c r="J774" s="30"/>
      <c r="K774" s="30"/>
      <c r="L774" s="30"/>
      <c r="M774" s="30"/>
    </row>
    <row r="775" ht="15.75" customHeight="1">
      <c r="A775" s="30"/>
      <c r="B775" s="30"/>
      <c r="C775" s="82"/>
      <c r="D775" s="30"/>
      <c r="E775" s="30"/>
      <c r="F775" s="30"/>
      <c r="G775" s="30"/>
      <c r="H775" s="30"/>
      <c r="I775" s="30"/>
      <c r="J775" s="30"/>
      <c r="K775" s="30"/>
      <c r="L775" s="30"/>
      <c r="M775" s="30"/>
    </row>
    <row r="776" ht="15.75" customHeight="1">
      <c r="A776" s="30"/>
      <c r="B776" s="30"/>
      <c r="C776" s="82"/>
      <c r="D776" s="30"/>
      <c r="E776" s="30"/>
      <c r="F776" s="30"/>
      <c r="G776" s="30"/>
      <c r="H776" s="30"/>
      <c r="I776" s="30"/>
      <c r="J776" s="30"/>
      <c r="K776" s="30"/>
      <c r="L776" s="30"/>
      <c r="M776" s="30"/>
    </row>
    <row r="777" ht="15.75" customHeight="1">
      <c r="A777" s="30"/>
      <c r="B777" s="30"/>
      <c r="C777" s="82"/>
      <c r="D777" s="30"/>
      <c r="E777" s="30"/>
      <c r="F777" s="30"/>
      <c r="G777" s="30"/>
      <c r="H777" s="30"/>
      <c r="I777" s="30"/>
      <c r="J777" s="30"/>
      <c r="K777" s="30"/>
      <c r="L777" s="30"/>
      <c r="M777" s="30"/>
    </row>
    <row r="778" ht="15.75" customHeight="1">
      <c r="A778" s="30"/>
      <c r="B778" s="30"/>
      <c r="C778" s="82"/>
      <c r="D778" s="30"/>
      <c r="E778" s="30"/>
      <c r="F778" s="30"/>
      <c r="G778" s="30"/>
      <c r="H778" s="30"/>
      <c r="I778" s="30"/>
      <c r="J778" s="30"/>
      <c r="K778" s="30"/>
      <c r="L778" s="30"/>
      <c r="M778" s="30"/>
    </row>
    <row r="779" ht="15.75" customHeight="1">
      <c r="A779" s="30"/>
      <c r="B779" s="30"/>
      <c r="C779" s="82"/>
      <c r="D779" s="30"/>
      <c r="E779" s="30"/>
      <c r="F779" s="30"/>
      <c r="G779" s="30"/>
      <c r="H779" s="30"/>
      <c r="I779" s="30"/>
      <c r="J779" s="30"/>
      <c r="K779" s="30"/>
      <c r="L779" s="30"/>
      <c r="M779" s="30"/>
    </row>
    <row r="780" ht="15.75" customHeight="1">
      <c r="A780" s="30"/>
      <c r="B780" s="30"/>
      <c r="C780" s="82"/>
      <c r="D780" s="30"/>
      <c r="E780" s="30"/>
      <c r="F780" s="30"/>
      <c r="G780" s="30"/>
      <c r="H780" s="30"/>
      <c r="I780" s="30"/>
      <c r="J780" s="30"/>
      <c r="K780" s="30"/>
      <c r="L780" s="30"/>
      <c r="M780" s="30"/>
    </row>
    <row r="781" ht="15.75" customHeight="1">
      <c r="A781" s="30"/>
      <c r="B781" s="30"/>
      <c r="C781" s="82"/>
      <c r="D781" s="30"/>
      <c r="E781" s="30"/>
      <c r="F781" s="30"/>
      <c r="G781" s="30"/>
      <c r="H781" s="30"/>
      <c r="I781" s="30"/>
      <c r="J781" s="30"/>
      <c r="K781" s="30"/>
      <c r="L781" s="30"/>
      <c r="M781" s="30"/>
    </row>
    <row r="782" ht="15.75" customHeight="1">
      <c r="A782" s="30"/>
      <c r="B782" s="30"/>
      <c r="C782" s="82"/>
      <c r="D782" s="30"/>
      <c r="E782" s="30"/>
      <c r="F782" s="30"/>
      <c r="G782" s="30"/>
      <c r="H782" s="30"/>
      <c r="I782" s="30"/>
      <c r="J782" s="30"/>
      <c r="K782" s="30"/>
      <c r="L782" s="30"/>
      <c r="M782" s="30"/>
    </row>
    <row r="783" ht="15.75" customHeight="1">
      <c r="A783" s="30"/>
      <c r="B783" s="30"/>
      <c r="C783" s="82"/>
      <c r="D783" s="30"/>
      <c r="E783" s="30"/>
      <c r="F783" s="30"/>
      <c r="G783" s="30"/>
      <c r="H783" s="30"/>
      <c r="I783" s="30"/>
      <c r="J783" s="30"/>
      <c r="K783" s="30"/>
      <c r="L783" s="30"/>
      <c r="M783" s="30"/>
    </row>
    <row r="784" ht="15.75" customHeight="1">
      <c r="A784" s="30"/>
      <c r="B784" s="30"/>
      <c r="C784" s="82"/>
      <c r="D784" s="30"/>
      <c r="E784" s="30"/>
      <c r="F784" s="30"/>
      <c r="G784" s="30"/>
      <c r="H784" s="30"/>
      <c r="I784" s="30"/>
      <c r="J784" s="30"/>
      <c r="K784" s="30"/>
      <c r="L784" s="30"/>
      <c r="M784" s="30"/>
    </row>
    <row r="785" ht="15.75" customHeight="1">
      <c r="A785" s="30"/>
      <c r="B785" s="30"/>
      <c r="C785" s="82"/>
      <c r="D785" s="30"/>
      <c r="E785" s="30"/>
      <c r="F785" s="30"/>
      <c r="G785" s="30"/>
      <c r="H785" s="30"/>
      <c r="I785" s="30"/>
      <c r="J785" s="30"/>
      <c r="K785" s="30"/>
      <c r="L785" s="30"/>
      <c r="M785" s="30"/>
    </row>
    <row r="786" ht="15.75" customHeight="1">
      <c r="A786" s="30"/>
      <c r="B786" s="30"/>
      <c r="C786" s="82"/>
      <c r="D786" s="30"/>
      <c r="E786" s="30"/>
      <c r="F786" s="30"/>
      <c r="G786" s="30"/>
      <c r="H786" s="30"/>
      <c r="I786" s="30"/>
      <c r="J786" s="30"/>
      <c r="K786" s="30"/>
      <c r="L786" s="30"/>
      <c r="M786" s="30"/>
    </row>
    <row r="787" ht="15.75" customHeight="1">
      <c r="A787" s="30"/>
      <c r="B787" s="30"/>
      <c r="C787" s="82"/>
      <c r="D787" s="30"/>
      <c r="E787" s="30"/>
      <c r="F787" s="30"/>
      <c r="G787" s="30"/>
      <c r="H787" s="30"/>
      <c r="I787" s="30"/>
      <c r="J787" s="30"/>
      <c r="K787" s="30"/>
      <c r="L787" s="30"/>
      <c r="M787" s="30"/>
    </row>
    <row r="788" ht="15.75" customHeight="1">
      <c r="A788" s="30"/>
      <c r="B788" s="30"/>
      <c r="C788" s="82"/>
      <c r="D788" s="30"/>
      <c r="E788" s="30"/>
      <c r="F788" s="30"/>
      <c r="G788" s="30"/>
      <c r="H788" s="30"/>
      <c r="I788" s="30"/>
      <c r="J788" s="30"/>
      <c r="K788" s="30"/>
      <c r="L788" s="30"/>
      <c r="M788" s="30"/>
    </row>
    <row r="789" ht="15.75" customHeight="1">
      <c r="A789" s="30"/>
      <c r="B789" s="30"/>
      <c r="C789" s="82"/>
      <c r="D789" s="30"/>
      <c r="E789" s="30"/>
      <c r="F789" s="30"/>
      <c r="G789" s="30"/>
      <c r="H789" s="30"/>
      <c r="I789" s="30"/>
      <c r="J789" s="30"/>
      <c r="K789" s="30"/>
      <c r="L789" s="30"/>
      <c r="M789" s="30"/>
    </row>
    <row r="790" ht="15.75" customHeight="1">
      <c r="A790" s="30"/>
      <c r="B790" s="30"/>
      <c r="C790" s="82"/>
      <c r="D790" s="30"/>
      <c r="E790" s="30"/>
      <c r="F790" s="30"/>
      <c r="G790" s="30"/>
      <c r="H790" s="30"/>
      <c r="I790" s="30"/>
      <c r="J790" s="30"/>
      <c r="K790" s="30"/>
      <c r="L790" s="30"/>
      <c r="M790" s="30"/>
    </row>
    <row r="791" ht="15.75" customHeight="1">
      <c r="A791" s="30"/>
      <c r="B791" s="30"/>
      <c r="C791" s="82"/>
      <c r="D791" s="30"/>
      <c r="E791" s="30"/>
      <c r="F791" s="30"/>
      <c r="G791" s="30"/>
      <c r="H791" s="30"/>
      <c r="I791" s="30"/>
      <c r="J791" s="30"/>
      <c r="K791" s="30"/>
      <c r="L791" s="30"/>
      <c r="M791" s="30"/>
    </row>
    <row r="792" ht="15.75" customHeight="1">
      <c r="A792" s="30"/>
      <c r="B792" s="30"/>
      <c r="C792" s="82"/>
      <c r="D792" s="30"/>
      <c r="E792" s="30"/>
      <c r="F792" s="30"/>
      <c r="G792" s="30"/>
      <c r="H792" s="30"/>
      <c r="I792" s="30"/>
      <c r="J792" s="30"/>
      <c r="K792" s="30"/>
      <c r="L792" s="30"/>
      <c r="M792" s="30"/>
    </row>
    <row r="793" ht="15.75" customHeight="1">
      <c r="A793" s="30"/>
      <c r="B793" s="30"/>
      <c r="C793" s="82"/>
      <c r="D793" s="30"/>
      <c r="E793" s="30"/>
      <c r="F793" s="30"/>
      <c r="G793" s="30"/>
      <c r="H793" s="30"/>
      <c r="I793" s="30"/>
      <c r="J793" s="30"/>
      <c r="K793" s="30"/>
      <c r="L793" s="30"/>
      <c r="M793" s="30"/>
    </row>
    <row r="794" ht="15.75" customHeight="1">
      <c r="A794" s="30"/>
      <c r="B794" s="30"/>
      <c r="C794" s="82"/>
      <c r="D794" s="30"/>
      <c r="E794" s="30"/>
      <c r="F794" s="30"/>
      <c r="G794" s="30"/>
      <c r="H794" s="30"/>
      <c r="I794" s="30"/>
      <c r="J794" s="30"/>
      <c r="K794" s="30"/>
      <c r="L794" s="30"/>
      <c r="M794" s="30"/>
    </row>
    <row r="795" ht="15.75" customHeight="1">
      <c r="A795" s="30"/>
      <c r="B795" s="30"/>
      <c r="C795" s="82"/>
      <c r="D795" s="30"/>
      <c r="E795" s="30"/>
      <c r="F795" s="30"/>
      <c r="G795" s="30"/>
      <c r="H795" s="30"/>
      <c r="I795" s="30"/>
      <c r="J795" s="30"/>
      <c r="K795" s="30"/>
      <c r="L795" s="30"/>
      <c r="M795" s="30"/>
    </row>
    <row r="796" ht="15.75" customHeight="1">
      <c r="A796" s="30"/>
      <c r="B796" s="30"/>
      <c r="C796" s="82"/>
      <c r="D796" s="30"/>
      <c r="E796" s="30"/>
      <c r="F796" s="30"/>
      <c r="G796" s="30"/>
      <c r="H796" s="30"/>
      <c r="I796" s="30"/>
      <c r="J796" s="30"/>
      <c r="K796" s="30"/>
      <c r="L796" s="30"/>
      <c r="M796" s="30"/>
    </row>
    <row r="797" ht="15.75" customHeight="1">
      <c r="A797" s="30"/>
      <c r="B797" s="30"/>
      <c r="C797" s="82"/>
      <c r="D797" s="30"/>
      <c r="E797" s="30"/>
      <c r="F797" s="30"/>
      <c r="G797" s="30"/>
      <c r="H797" s="30"/>
      <c r="I797" s="30"/>
      <c r="J797" s="30"/>
      <c r="K797" s="30"/>
      <c r="L797" s="30"/>
      <c r="M797" s="30"/>
    </row>
    <row r="798" ht="15.75" customHeight="1">
      <c r="A798" s="30"/>
      <c r="B798" s="30"/>
      <c r="C798" s="82"/>
      <c r="D798" s="30"/>
      <c r="E798" s="30"/>
      <c r="F798" s="30"/>
      <c r="G798" s="30"/>
      <c r="H798" s="30"/>
      <c r="I798" s="30"/>
      <c r="J798" s="30"/>
      <c r="K798" s="30"/>
      <c r="L798" s="30"/>
      <c r="M798" s="30"/>
    </row>
    <row r="799" ht="15.75" customHeight="1">
      <c r="A799" s="30"/>
      <c r="B799" s="30"/>
      <c r="C799" s="82"/>
      <c r="D799" s="30"/>
      <c r="E799" s="30"/>
      <c r="F799" s="30"/>
      <c r="G799" s="30"/>
      <c r="H799" s="30"/>
      <c r="I799" s="30"/>
      <c r="J799" s="30"/>
      <c r="K799" s="30"/>
      <c r="L799" s="30"/>
      <c r="M799" s="30"/>
    </row>
    <row r="800" ht="15.75" customHeight="1">
      <c r="A800" s="30"/>
      <c r="B800" s="30"/>
      <c r="C800" s="82"/>
      <c r="D800" s="30"/>
      <c r="E800" s="30"/>
      <c r="F800" s="30"/>
      <c r="G800" s="30"/>
      <c r="H800" s="30"/>
      <c r="I800" s="30"/>
      <c r="J800" s="30"/>
      <c r="K800" s="30"/>
      <c r="L800" s="30"/>
      <c r="M800" s="30"/>
    </row>
    <row r="801" ht="15.75" customHeight="1">
      <c r="A801" s="30"/>
      <c r="B801" s="30"/>
      <c r="C801" s="82"/>
      <c r="D801" s="30"/>
      <c r="E801" s="30"/>
      <c r="F801" s="30"/>
      <c r="G801" s="30"/>
      <c r="H801" s="30"/>
      <c r="I801" s="30"/>
      <c r="J801" s="30"/>
      <c r="K801" s="30"/>
      <c r="L801" s="30"/>
      <c r="M801" s="30"/>
    </row>
    <row r="802" ht="15.75" customHeight="1">
      <c r="A802" s="30"/>
      <c r="B802" s="30"/>
      <c r="C802" s="82"/>
      <c r="D802" s="30"/>
      <c r="E802" s="30"/>
      <c r="F802" s="30"/>
      <c r="G802" s="30"/>
      <c r="H802" s="30"/>
      <c r="I802" s="30"/>
      <c r="J802" s="30"/>
      <c r="K802" s="30"/>
      <c r="L802" s="30"/>
      <c r="M802" s="30"/>
    </row>
    <row r="803" ht="15.75" customHeight="1">
      <c r="A803" s="30"/>
      <c r="B803" s="30"/>
      <c r="C803" s="82"/>
      <c r="D803" s="30"/>
      <c r="E803" s="30"/>
      <c r="F803" s="30"/>
      <c r="G803" s="30"/>
      <c r="H803" s="30"/>
      <c r="I803" s="30"/>
      <c r="J803" s="30"/>
      <c r="K803" s="30"/>
      <c r="L803" s="30"/>
      <c r="M803" s="30"/>
    </row>
    <row r="804" ht="15.75" customHeight="1">
      <c r="A804" s="30"/>
      <c r="B804" s="30"/>
      <c r="C804" s="82"/>
      <c r="D804" s="30"/>
      <c r="E804" s="30"/>
      <c r="F804" s="30"/>
      <c r="G804" s="30"/>
      <c r="H804" s="30"/>
      <c r="I804" s="30"/>
      <c r="J804" s="30"/>
      <c r="K804" s="30"/>
      <c r="L804" s="30"/>
      <c r="M804" s="30"/>
    </row>
    <row r="805" ht="15.75" customHeight="1">
      <c r="A805" s="30"/>
      <c r="B805" s="30"/>
      <c r="C805" s="82"/>
      <c r="D805" s="30"/>
      <c r="E805" s="30"/>
      <c r="F805" s="30"/>
      <c r="G805" s="30"/>
      <c r="H805" s="30"/>
      <c r="I805" s="30"/>
      <c r="J805" s="30"/>
      <c r="K805" s="30"/>
      <c r="L805" s="30"/>
      <c r="M805" s="30"/>
    </row>
    <row r="806" ht="15.75" customHeight="1">
      <c r="A806" s="30"/>
      <c r="B806" s="30"/>
      <c r="C806" s="82"/>
      <c r="D806" s="30"/>
      <c r="E806" s="30"/>
      <c r="F806" s="30"/>
      <c r="G806" s="30"/>
      <c r="H806" s="30"/>
      <c r="I806" s="30"/>
      <c r="J806" s="30"/>
      <c r="K806" s="30"/>
      <c r="L806" s="30"/>
      <c r="M806" s="30"/>
    </row>
    <row r="807" ht="15.75" customHeight="1">
      <c r="A807" s="30"/>
      <c r="B807" s="30"/>
      <c r="C807" s="82"/>
      <c r="D807" s="30"/>
      <c r="E807" s="30"/>
      <c r="F807" s="30"/>
      <c r="G807" s="30"/>
      <c r="H807" s="30"/>
      <c r="I807" s="30"/>
      <c r="J807" s="30"/>
      <c r="K807" s="30"/>
      <c r="L807" s="30"/>
      <c r="M807" s="30"/>
    </row>
    <row r="808" ht="15.75" customHeight="1">
      <c r="A808" s="30"/>
      <c r="B808" s="30"/>
      <c r="C808" s="82"/>
      <c r="D808" s="30"/>
      <c r="E808" s="30"/>
      <c r="F808" s="30"/>
      <c r="G808" s="30"/>
      <c r="H808" s="30"/>
      <c r="I808" s="30"/>
      <c r="J808" s="30"/>
      <c r="K808" s="30"/>
      <c r="L808" s="30"/>
      <c r="M808" s="30"/>
    </row>
    <row r="809" ht="15.75" customHeight="1">
      <c r="A809" s="30"/>
      <c r="B809" s="30"/>
      <c r="C809" s="82"/>
      <c r="D809" s="30"/>
      <c r="E809" s="30"/>
      <c r="F809" s="30"/>
      <c r="G809" s="30"/>
      <c r="H809" s="30"/>
      <c r="I809" s="30"/>
      <c r="J809" s="30"/>
      <c r="K809" s="30"/>
      <c r="L809" s="30"/>
      <c r="M809" s="30"/>
    </row>
    <row r="810" ht="15.75" customHeight="1">
      <c r="A810" s="30"/>
      <c r="B810" s="30"/>
      <c r="C810" s="82"/>
      <c r="D810" s="30"/>
      <c r="E810" s="30"/>
      <c r="F810" s="30"/>
      <c r="G810" s="30"/>
      <c r="H810" s="30"/>
      <c r="I810" s="30"/>
      <c r="J810" s="30"/>
      <c r="K810" s="30"/>
      <c r="L810" s="30"/>
      <c r="M810" s="30"/>
    </row>
    <row r="811" ht="15.75" customHeight="1">
      <c r="A811" s="30"/>
      <c r="B811" s="30"/>
      <c r="C811" s="82"/>
      <c r="D811" s="30"/>
      <c r="E811" s="30"/>
      <c r="F811" s="30"/>
      <c r="G811" s="30"/>
      <c r="H811" s="30"/>
      <c r="I811" s="30"/>
      <c r="J811" s="30"/>
      <c r="K811" s="30"/>
      <c r="L811" s="30"/>
      <c r="M811" s="30"/>
    </row>
    <row r="812" ht="15.75" customHeight="1">
      <c r="A812" s="30"/>
      <c r="B812" s="30"/>
      <c r="C812" s="82"/>
      <c r="D812" s="30"/>
      <c r="E812" s="30"/>
      <c r="F812" s="30"/>
      <c r="G812" s="30"/>
      <c r="H812" s="30"/>
      <c r="I812" s="30"/>
      <c r="J812" s="30"/>
      <c r="K812" s="30"/>
      <c r="L812" s="30"/>
      <c r="M812" s="30"/>
    </row>
    <row r="813" ht="15.75" customHeight="1">
      <c r="A813" s="30"/>
      <c r="B813" s="30"/>
      <c r="C813" s="82"/>
      <c r="D813" s="30"/>
      <c r="E813" s="30"/>
      <c r="F813" s="30"/>
      <c r="G813" s="30"/>
      <c r="H813" s="30"/>
      <c r="I813" s="30"/>
      <c r="J813" s="30"/>
      <c r="K813" s="30"/>
      <c r="L813" s="30"/>
      <c r="M813" s="30"/>
    </row>
    <row r="814" ht="15.75" customHeight="1">
      <c r="A814" s="30"/>
      <c r="B814" s="30"/>
      <c r="C814" s="82"/>
      <c r="D814" s="30"/>
      <c r="E814" s="30"/>
      <c r="F814" s="30"/>
      <c r="G814" s="30"/>
      <c r="H814" s="30"/>
      <c r="I814" s="30"/>
      <c r="J814" s="30"/>
      <c r="K814" s="30"/>
      <c r="L814" s="30"/>
      <c r="M814" s="30"/>
    </row>
    <row r="815" ht="15.75" customHeight="1">
      <c r="A815" s="30"/>
      <c r="B815" s="30"/>
      <c r="C815" s="82"/>
      <c r="D815" s="30"/>
      <c r="E815" s="30"/>
      <c r="F815" s="30"/>
      <c r="G815" s="30"/>
      <c r="H815" s="30"/>
      <c r="I815" s="30"/>
      <c r="J815" s="30"/>
      <c r="K815" s="30"/>
      <c r="L815" s="30"/>
      <c r="M815" s="30"/>
    </row>
    <row r="816" ht="15.75" customHeight="1">
      <c r="A816" s="30"/>
      <c r="B816" s="30"/>
      <c r="C816" s="82"/>
      <c r="D816" s="30"/>
      <c r="E816" s="30"/>
      <c r="F816" s="30"/>
      <c r="G816" s="30"/>
      <c r="H816" s="30"/>
      <c r="I816" s="30"/>
      <c r="J816" s="30"/>
      <c r="K816" s="30"/>
      <c r="L816" s="30"/>
      <c r="M816" s="30"/>
    </row>
    <row r="817" ht="15.75" customHeight="1">
      <c r="A817" s="30"/>
      <c r="B817" s="30"/>
      <c r="C817" s="82"/>
      <c r="D817" s="30"/>
      <c r="E817" s="30"/>
      <c r="F817" s="30"/>
      <c r="G817" s="30"/>
      <c r="H817" s="30"/>
      <c r="I817" s="30"/>
      <c r="J817" s="30"/>
      <c r="K817" s="30"/>
      <c r="L817" s="30"/>
      <c r="M817" s="30"/>
    </row>
    <row r="818" ht="15.75" customHeight="1">
      <c r="A818" s="30"/>
      <c r="B818" s="30"/>
      <c r="C818" s="82"/>
      <c r="D818" s="30"/>
      <c r="E818" s="30"/>
      <c r="F818" s="30"/>
      <c r="G818" s="30"/>
      <c r="H818" s="30"/>
      <c r="I818" s="30"/>
      <c r="J818" s="30"/>
      <c r="K818" s="30"/>
      <c r="L818" s="30"/>
      <c r="M818" s="30"/>
    </row>
    <row r="819" ht="15.75" customHeight="1">
      <c r="A819" s="30"/>
      <c r="B819" s="30"/>
      <c r="C819" s="82"/>
      <c r="D819" s="30"/>
      <c r="E819" s="30"/>
      <c r="F819" s="30"/>
      <c r="G819" s="30"/>
      <c r="H819" s="30"/>
      <c r="I819" s="30"/>
      <c r="J819" s="30"/>
      <c r="K819" s="30"/>
      <c r="L819" s="30"/>
      <c r="M819" s="30"/>
    </row>
    <row r="820" ht="15.75" customHeight="1">
      <c r="A820" s="30"/>
      <c r="B820" s="30"/>
      <c r="C820" s="82"/>
      <c r="D820" s="30"/>
      <c r="E820" s="30"/>
      <c r="F820" s="30"/>
      <c r="G820" s="30"/>
      <c r="H820" s="30"/>
      <c r="I820" s="30"/>
      <c r="J820" s="30"/>
      <c r="K820" s="30"/>
      <c r="L820" s="30"/>
      <c r="M820" s="30"/>
    </row>
    <row r="821" ht="15.75" customHeight="1">
      <c r="A821" s="30"/>
      <c r="B821" s="30"/>
      <c r="C821" s="82"/>
      <c r="D821" s="30"/>
      <c r="E821" s="30"/>
      <c r="F821" s="30"/>
      <c r="G821" s="30"/>
      <c r="H821" s="30"/>
      <c r="I821" s="30"/>
      <c r="J821" s="30"/>
      <c r="K821" s="30"/>
      <c r="L821" s="30"/>
      <c r="M821" s="30"/>
    </row>
    <row r="822" ht="15.75" customHeight="1">
      <c r="A822" s="30"/>
      <c r="B822" s="30"/>
      <c r="C822" s="82"/>
      <c r="D822" s="30"/>
      <c r="E822" s="30"/>
      <c r="F822" s="30"/>
      <c r="G822" s="30"/>
      <c r="H822" s="30"/>
      <c r="I822" s="30"/>
      <c r="J822" s="30"/>
      <c r="K822" s="30"/>
      <c r="L822" s="30"/>
      <c r="M822" s="30"/>
    </row>
    <row r="823" ht="15.75" customHeight="1">
      <c r="A823" s="30"/>
      <c r="B823" s="30"/>
      <c r="C823" s="82"/>
      <c r="D823" s="30"/>
      <c r="E823" s="30"/>
      <c r="F823" s="30"/>
      <c r="G823" s="30"/>
      <c r="H823" s="30"/>
      <c r="I823" s="30"/>
      <c r="J823" s="30"/>
      <c r="K823" s="30"/>
      <c r="L823" s="30"/>
      <c r="M823" s="30"/>
    </row>
    <row r="824" ht="15.75" customHeight="1">
      <c r="A824" s="30"/>
      <c r="B824" s="30"/>
      <c r="C824" s="82"/>
      <c r="D824" s="30"/>
      <c r="E824" s="30"/>
      <c r="F824" s="30"/>
      <c r="G824" s="30"/>
      <c r="H824" s="30"/>
      <c r="I824" s="30"/>
      <c r="J824" s="30"/>
      <c r="K824" s="30"/>
      <c r="L824" s="30"/>
      <c r="M824" s="30"/>
    </row>
    <row r="825" ht="15.75" customHeight="1">
      <c r="A825" s="30"/>
      <c r="B825" s="30"/>
      <c r="C825" s="82"/>
      <c r="D825" s="30"/>
      <c r="E825" s="30"/>
      <c r="F825" s="30"/>
      <c r="G825" s="30"/>
      <c r="H825" s="30"/>
      <c r="I825" s="30"/>
      <c r="J825" s="30"/>
      <c r="K825" s="30"/>
      <c r="L825" s="30"/>
      <c r="M825" s="30"/>
    </row>
    <row r="826" ht="15.75" customHeight="1">
      <c r="A826" s="30"/>
      <c r="B826" s="30"/>
      <c r="C826" s="82"/>
      <c r="D826" s="30"/>
      <c r="E826" s="30"/>
      <c r="F826" s="30"/>
      <c r="G826" s="30"/>
      <c r="H826" s="30"/>
      <c r="I826" s="30"/>
      <c r="J826" s="30"/>
      <c r="K826" s="30"/>
      <c r="L826" s="30"/>
      <c r="M826" s="30"/>
    </row>
    <row r="827" ht="15.75" customHeight="1">
      <c r="A827" s="30"/>
      <c r="B827" s="30"/>
      <c r="C827" s="82"/>
      <c r="D827" s="30"/>
      <c r="E827" s="30"/>
      <c r="F827" s="30"/>
      <c r="G827" s="30"/>
      <c r="H827" s="30"/>
      <c r="I827" s="30"/>
      <c r="J827" s="30"/>
      <c r="K827" s="30"/>
      <c r="L827" s="30"/>
      <c r="M827" s="30"/>
    </row>
    <row r="828" ht="15.75" customHeight="1">
      <c r="A828" s="30"/>
      <c r="B828" s="30"/>
      <c r="C828" s="82"/>
      <c r="D828" s="30"/>
      <c r="E828" s="30"/>
      <c r="F828" s="30"/>
      <c r="G828" s="30"/>
      <c r="H828" s="30"/>
      <c r="I828" s="30"/>
      <c r="J828" s="30"/>
      <c r="K828" s="30"/>
      <c r="L828" s="30"/>
      <c r="M828" s="30"/>
    </row>
    <row r="829" ht="15.75" customHeight="1">
      <c r="A829" s="30"/>
      <c r="B829" s="30"/>
      <c r="C829" s="82"/>
      <c r="D829" s="30"/>
      <c r="E829" s="30"/>
      <c r="F829" s="30"/>
      <c r="G829" s="30"/>
      <c r="H829" s="30"/>
      <c r="I829" s="30"/>
      <c r="J829" s="30"/>
      <c r="K829" s="30"/>
      <c r="L829" s="30"/>
      <c r="M829" s="30"/>
    </row>
    <row r="830" ht="15.75" customHeight="1">
      <c r="A830" s="30"/>
      <c r="B830" s="30"/>
      <c r="C830" s="82"/>
      <c r="D830" s="30"/>
      <c r="E830" s="30"/>
      <c r="F830" s="30"/>
      <c r="G830" s="30"/>
      <c r="H830" s="30"/>
      <c r="I830" s="30"/>
      <c r="J830" s="30"/>
      <c r="K830" s="30"/>
      <c r="L830" s="30"/>
      <c r="M830" s="30"/>
    </row>
    <row r="831" ht="15.75" customHeight="1">
      <c r="A831" s="30"/>
      <c r="B831" s="30"/>
      <c r="C831" s="82"/>
      <c r="D831" s="30"/>
      <c r="E831" s="30"/>
      <c r="F831" s="30"/>
      <c r="G831" s="30"/>
      <c r="H831" s="30"/>
      <c r="I831" s="30"/>
      <c r="J831" s="30"/>
      <c r="K831" s="30"/>
      <c r="L831" s="30"/>
      <c r="M831" s="30"/>
    </row>
    <row r="832" ht="15.75" customHeight="1">
      <c r="A832" s="30"/>
      <c r="B832" s="30"/>
      <c r="C832" s="82"/>
      <c r="D832" s="30"/>
      <c r="E832" s="30"/>
      <c r="F832" s="30"/>
      <c r="G832" s="30"/>
      <c r="H832" s="30"/>
      <c r="I832" s="30"/>
      <c r="J832" s="30"/>
      <c r="K832" s="30"/>
      <c r="L832" s="30"/>
      <c r="M832" s="30"/>
    </row>
    <row r="833" ht="15.75" customHeight="1">
      <c r="A833" s="30"/>
      <c r="B833" s="30"/>
      <c r="C833" s="82"/>
      <c r="D833" s="30"/>
      <c r="E833" s="30"/>
      <c r="F833" s="30"/>
      <c r="G833" s="30"/>
      <c r="H833" s="30"/>
      <c r="I833" s="30"/>
      <c r="J833" s="30"/>
      <c r="K833" s="30"/>
      <c r="L833" s="30"/>
      <c r="M833" s="30"/>
    </row>
    <row r="834" ht="15.75" customHeight="1">
      <c r="A834" s="30"/>
      <c r="B834" s="30"/>
      <c r="C834" s="82"/>
      <c r="D834" s="30"/>
      <c r="E834" s="30"/>
      <c r="F834" s="30"/>
      <c r="G834" s="30"/>
      <c r="H834" s="30"/>
      <c r="I834" s="30"/>
      <c r="J834" s="30"/>
      <c r="K834" s="30"/>
      <c r="L834" s="30"/>
      <c r="M834" s="30"/>
    </row>
    <row r="835" ht="15.75" customHeight="1">
      <c r="A835" s="30"/>
      <c r="B835" s="30"/>
      <c r="C835" s="82"/>
      <c r="D835" s="30"/>
      <c r="E835" s="30"/>
      <c r="F835" s="30"/>
      <c r="G835" s="30"/>
      <c r="H835" s="30"/>
      <c r="I835" s="30"/>
      <c r="J835" s="30"/>
      <c r="K835" s="30"/>
      <c r="L835" s="30"/>
      <c r="M835" s="30"/>
    </row>
    <row r="836" ht="15.75" customHeight="1">
      <c r="A836" s="30"/>
      <c r="B836" s="30"/>
      <c r="C836" s="82"/>
      <c r="D836" s="30"/>
      <c r="E836" s="30"/>
      <c r="F836" s="30"/>
      <c r="G836" s="30"/>
      <c r="H836" s="30"/>
      <c r="I836" s="30"/>
      <c r="J836" s="30"/>
      <c r="K836" s="30"/>
      <c r="L836" s="30"/>
      <c r="M836" s="30"/>
    </row>
    <row r="837" ht="15.75" customHeight="1">
      <c r="A837" s="30"/>
      <c r="B837" s="30"/>
      <c r="C837" s="82"/>
      <c r="D837" s="30"/>
      <c r="E837" s="30"/>
      <c r="F837" s="30"/>
      <c r="G837" s="30"/>
      <c r="H837" s="30"/>
      <c r="I837" s="30"/>
      <c r="J837" s="30"/>
      <c r="K837" s="30"/>
      <c r="L837" s="30"/>
      <c r="M837" s="30"/>
    </row>
    <row r="838" ht="15.75" customHeight="1">
      <c r="A838" s="30"/>
      <c r="B838" s="30"/>
      <c r="C838" s="82"/>
      <c r="D838" s="30"/>
      <c r="E838" s="30"/>
      <c r="F838" s="30"/>
      <c r="G838" s="30"/>
      <c r="H838" s="30"/>
      <c r="I838" s="30"/>
      <c r="J838" s="30"/>
      <c r="K838" s="30"/>
      <c r="L838" s="30"/>
      <c r="M838" s="30"/>
    </row>
    <row r="839" ht="15.75" customHeight="1">
      <c r="A839" s="30"/>
      <c r="B839" s="30"/>
      <c r="C839" s="82"/>
      <c r="D839" s="30"/>
      <c r="E839" s="30"/>
      <c r="F839" s="30"/>
      <c r="G839" s="30"/>
      <c r="H839" s="30"/>
      <c r="I839" s="30"/>
      <c r="J839" s="30"/>
      <c r="K839" s="30"/>
      <c r="L839" s="30"/>
      <c r="M839" s="30"/>
    </row>
    <row r="840" ht="15.75" customHeight="1">
      <c r="A840" s="30"/>
      <c r="B840" s="30"/>
      <c r="C840" s="82"/>
      <c r="D840" s="30"/>
      <c r="E840" s="30"/>
      <c r="F840" s="30"/>
      <c r="G840" s="30"/>
      <c r="H840" s="30"/>
      <c r="I840" s="30"/>
      <c r="J840" s="30"/>
      <c r="K840" s="30"/>
      <c r="L840" s="30"/>
      <c r="M840" s="30"/>
    </row>
    <row r="841" ht="15.75" customHeight="1">
      <c r="A841" s="30"/>
      <c r="B841" s="30"/>
      <c r="C841" s="82"/>
      <c r="D841" s="30"/>
      <c r="E841" s="30"/>
      <c r="F841" s="30"/>
      <c r="G841" s="30"/>
      <c r="H841" s="30"/>
      <c r="I841" s="30"/>
      <c r="J841" s="30"/>
      <c r="K841" s="30"/>
      <c r="L841" s="30"/>
      <c r="M841" s="30"/>
    </row>
    <row r="842" ht="15.75" customHeight="1">
      <c r="A842" s="30"/>
      <c r="B842" s="30"/>
      <c r="C842" s="82"/>
      <c r="D842" s="30"/>
      <c r="E842" s="30"/>
      <c r="F842" s="30"/>
      <c r="G842" s="30"/>
      <c r="H842" s="30"/>
      <c r="I842" s="30"/>
      <c r="J842" s="30"/>
      <c r="K842" s="30"/>
      <c r="L842" s="30"/>
      <c r="M842" s="30"/>
    </row>
    <row r="843" ht="15.75" customHeight="1">
      <c r="A843" s="30"/>
      <c r="B843" s="30"/>
      <c r="C843" s="82"/>
      <c r="D843" s="30"/>
      <c r="E843" s="30"/>
      <c r="F843" s="30"/>
      <c r="G843" s="30"/>
      <c r="H843" s="30"/>
      <c r="I843" s="30"/>
      <c r="J843" s="30"/>
      <c r="K843" s="30"/>
      <c r="L843" s="30"/>
      <c r="M843" s="30"/>
    </row>
    <row r="844" ht="15.75" customHeight="1">
      <c r="A844" s="30"/>
      <c r="B844" s="30"/>
      <c r="C844" s="82"/>
      <c r="D844" s="30"/>
      <c r="E844" s="30"/>
      <c r="F844" s="30"/>
      <c r="G844" s="30"/>
      <c r="H844" s="30"/>
      <c r="I844" s="30"/>
      <c r="J844" s="30"/>
      <c r="K844" s="30"/>
      <c r="L844" s="30"/>
      <c r="M844" s="30"/>
    </row>
    <row r="845" ht="15.75" customHeight="1">
      <c r="A845" s="30"/>
      <c r="B845" s="30"/>
      <c r="C845" s="82"/>
      <c r="D845" s="30"/>
      <c r="E845" s="30"/>
      <c r="F845" s="30"/>
      <c r="G845" s="30"/>
      <c r="H845" s="30"/>
      <c r="I845" s="30"/>
      <c r="J845" s="30"/>
      <c r="K845" s="30"/>
      <c r="L845" s="30"/>
      <c r="M845" s="30"/>
    </row>
    <row r="846" ht="15.75" customHeight="1">
      <c r="A846" s="30"/>
      <c r="B846" s="30"/>
      <c r="C846" s="82"/>
      <c r="D846" s="30"/>
      <c r="E846" s="30"/>
      <c r="F846" s="30"/>
      <c r="G846" s="30"/>
      <c r="H846" s="30"/>
      <c r="I846" s="30"/>
      <c r="J846" s="30"/>
      <c r="K846" s="30"/>
      <c r="L846" s="30"/>
      <c r="M846" s="30"/>
    </row>
    <row r="847" ht="15.75" customHeight="1">
      <c r="A847" s="30"/>
      <c r="B847" s="30"/>
      <c r="C847" s="82"/>
      <c r="D847" s="30"/>
      <c r="E847" s="30"/>
      <c r="F847" s="30"/>
      <c r="G847" s="30"/>
      <c r="H847" s="30"/>
      <c r="I847" s="30"/>
      <c r="J847" s="30"/>
      <c r="K847" s="30"/>
      <c r="L847" s="30"/>
      <c r="M847" s="30"/>
    </row>
    <row r="848" ht="15.75" customHeight="1">
      <c r="A848" s="30"/>
      <c r="B848" s="30"/>
      <c r="C848" s="82"/>
      <c r="D848" s="30"/>
      <c r="E848" s="30"/>
      <c r="F848" s="30"/>
      <c r="G848" s="30"/>
      <c r="H848" s="30"/>
      <c r="I848" s="30"/>
      <c r="J848" s="30"/>
      <c r="K848" s="30"/>
      <c r="L848" s="30"/>
      <c r="M848" s="30"/>
    </row>
    <row r="849" ht="15.75" customHeight="1">
      <c r="A849" s="30"/>
      <c r="B849" s="30"/>
      <c r="C849" s="82"/>
      <c r="D849" s="30"/>
      <c r="E849" s="30"/>
      <c r="F849" s="30"/>
      <c r="G849" s="30"/>
      <c r="H849" s="30"/>
      <c r="I849" s="30"/>
      <c r="J849" s="30"/>
      <c r="K849" s="30"/>
      <c r="L849" s="30"/>
      <c r="M849" s="30"/>
    </row>
    <row r="850" ht="15.75" customHeight="1">
      <c r="A850" s="30"/>
      <c r="B850" s="30"/>
      <c r="C850" s="82"/>
      <c r="D850" s="30"/>
      <c r="E850" s="30"/>
      <c r="F850" s="30"/>
      <c r="G850" s="30"/>
      <c r="H850" s="30"/>
      <c r="I850" s="30"/>
      <c r="J850" s="30"/>
      <c r="K850" s="30"/>
      <c r="L850" s="30"/>
      <c r="M850" s="30"/>
    </row>
    <row r="851" ht="15.75" customHeight="1">
      <c r="A851" s="30"/>
      <c r="B851" s="30"/>
      <c r="C851" s="82"/>
      <c r="D851" s="30"/>
      <c r="E851" s="30"/>
      <c r="F851" s="30"/>
      <c r="G851" s="30"/>
      <c r="H851" s="30"/>
      <c r="I851" s="30"/>
      <c r="J851" s="30"/>
      <c r="K851" s="30"/>
      <c r="L851" s="30"/>
      <c r="M851" s="30"/>
    </row>
    <row r="852" ht="15.75" customHeight="1">
      <c r="A852" s="30"/>
      <c r="B852" s="30"/>
      <c r="C852" s="82"/>
      <c r="D852" s="30"/>
      <c r="E852" s="30"/>
      <c r="F852" s="30"/>
      <c r="G852" s="30"/>
      <c r="H852" s="30"/>
      <c r="I852" s="30"/>
      <c r="J852" s="30"/>
      <c r="K852" s="30"/>
      <c r="L852" s="30"/>
      <c r="M852" s="30"/>
    </row>
    <row r="853" ht="15.75" customHeight="1">
      <c r="A853" s="30"/>
      <c r="B853" s="30"/>
      <c r="C853" s="82"/>
      <c r="D853" s="30"/>
      <c r="E853" s="30"/>
      <c r="F853" s="30"/>
      <c r="G853" s="30"/>
      <c r="H853" s="30"/>
      <c r="I853" s="30"/>
      <c r="J853" s="30"/>
      <c r="K853" s="30"/>
      <c r="L853" s="30"/>
      <c r="M853" s="30"/>
    </row>
    <row r="854" ht="15.75" customHeight="1">
      <c r="A854" s="30"/>
      <c r="B854" s="30"/>
      <c r="C854" s="82"/>
      <c r="D854" s="30"/>
      <c r="E854" s="30"/>
      <c r="F854" s="30"/>
      <c r="G854" s="30"/>
      <c r="H854" s="30"/>
      <c r="I854" s="30"/>
      <c r="J854" s="30"/>
      <c r="K854" s="30"/>
      <c r="L854" s="30"/>
      <c r="M854" s="30"/>
    </row>
    <row r="855" ht="15.75" customHeight="1">
      <c r="A855" s="30"/>
      <c r="B855" s="30"/>
      <c r="C855" s="82"/>
      <c r="D855" s="30"/>
      <c r="E855" s="30"/>
      <c r="F855" s="30"/>
      <c r="G855" s="30"/>
      <c r="H855" s="30"/>
      <c r="I855" s="30"/>
      <c r="J855" s="30"/>
      <c r="K855" s="30"/>
      <c r="L855" s="30"/>
      <c r="M855" s="30"/>
    </row>
    <row r="856" ht="15.75" customHeight="1">
      <c r="A856" s="30"/>
      <c r="B856" s="30"/>
      <c r="C856" s="82"/>
      <c r="D856" s="30"/>
      <c r="E856" s="30"/>
      <c r="F856" s="30"/>
      <c r="G856" s="30"/>
      <c r="H856" s="30"/>
      <c r="I856" s="30"/>
      <c r="J856" s="30"/>
      <c r="K856" s="30"/>
      <c r="L856" s="30"/>
      <c r="M856" s="30"/>
    </row>
    <row r="857" ht="15.75" customHeight="1">
      <c r="A857" s="30"/>
      <c r="B857" s="30"/>
      <c r="C857" s="82"/>
      <c r="D857" s="30"/>
      <c r="E857" s="30"/>
      <c r="F857" s="30"/>
      <c r="G857" s="30"/>
      <c r="H857" s="30"/>
      <c r="I857" s="30"/>
      <c r="J857" s="30"/>
      <c r="K857" s="30"/>
      <c r="L857" s="30"/>
      <c r="M857" s="30"/>
    </row>
    <row r="858" ht="15.75" customHeight="1">
      <c r="A858" s="30"/>
      <c r="B858" s="30"/>
      <c r="C858" s="82"/>
      <c r="D858" s="30"/>
      <c r="E858" s="30"/>
      <c r="F858" s="30"/>
      <c r="G858" s="30"/>
      <c r="H858" s="30"/>
      <c r="I858" s="30"/>
      <c r="J858" s="30"/>
      <c r="K858" s="30"/>
      <c r="L858" s="30"/>
      <c r="M858" s="30"/>
    </row>
    <row r="859" ht="15.75" customHeight="1">
      <c r="A859" s="30"/>
      <c r="B859" s="30"/>
      <c r="C859" s="82"/>
      <c r="D859" s="30"/>
      <c r="E859" s="30"/>
      <c r="F859" s="30"/>
      <c r="G859" s="30"/>
      <c r="H859" s="30"/>
      <c r="I859" s="30"/>
      <c r="J859" s="30"/>
      <c r="K859" s="30"/>
      <c r="L859" s="30"/>
      <c r="M859" s="30"/>
    </row>
    <row r="860" ht="15.75" customHeight="1">
      <c r="A860" s="30"/>
      <c r="B860" s="30"/>
      <c r="C860" s="82"/>
      <c r="D860" s="30"/>
      <c r="E860" s="30"/>
      <c r="F860" s="30"/>
      <c r="G860" s="30"/>
      <c r="H860" s="30"/>
      <c r="I860" s="30"/>
      <c r="J860" s="30"/>
      <c r="K860" s="30"/>
      <c r="L860" s="30"/>
      <c r="M860" s="30"/>
    </row>
    <row r="861" ht="15.75" customHeight="1">
      <c r="A861" s="30"/>
      <c r="B861" s="30"/>
      <c r="C861" s="82"/>
      <c r="D861" s="30"/>
      <c r="E861" s="30"/>
      <c r="F861" s="30"/>
      <c r="G861" s="30"/>
      <c r="H861" s="30"/>
      <c r="I861" s="30"/>
      <c r="J861" s="30"/>
      <c r="K861" s="30"/>
      <c r="L861" s="30"/>
      <c r="M861" s="30"/>
    </row>
    <row r="862" ht="15.75" customHeight="1">
      <c r="A862" s="30"/>
      <c r="B862" s="30"/>
      <c r="C862" s="82"/>
      <c r="D862" s="30"/>
      <c r="E862" s="30"/>
      <c r="F862" s="30"/>
      <c r="G862" s="30"/>
      <c r="H862" s="30"/>
      <c r="I862" s="30"/>
      <c r="J862" s="30"/>
      <c r="K862" s="30"/>
      <c r="L862" s="30"/>
      <c r="M862" s="30"/>
    </row>
    <row r="863" ht="15.75" customHeight="1">
      <c r="A863" s="30"/>
      <c r="B863" s="30"/>
      <c r="C863" s="82"/>
      <c r="D863" s="30"/>
      <c r="E863" s="30"/>
      <c r="F863" s="30"/>
      <c r="G863" s="30"/>
      <c r="H863" s="30"/>
      <c r="I863" s="30"/>
      <c r="J863" s="30"/>
      <c r="K863" s="30"/>
      <c r="L863" s="30"/>
      <c r="M863" s="30"/>
    </row>
    <row r="864" ht="15.75" customHeight="1">
      <c r="A864" s="30"/>
      <c r="B864" s="30"/>
      <c r="C864" s="82"/>
      <c r="D864" s="30"/>
      <c r="E864" s="30"/>
      <c r="F864" s="30"/>
      <c r="G864" s="30"/>
      <c r="H864" s="30"/>
      <c r="I864" s="30"/>
      <c r="J864" s="30"/>
      <c r="K864" s="30"/>
      <c r="L864" s="30"/>
      <c r="M864" s="30"/>
    </row>
    <row r="865" ht="15.75" customHeight="1">
      <c r="A865" s="30"/>
      <c r="B865" s="30"/>
      <c r="C865" s="82"/>
      <c r="D865" s="30"/>
      <c r="E865" s="30"/>
      <c r="F865" s="30"/>
      <c r="G865" s="30"/>
      <c r="H865" s="30"/>
      <c r="I865" s="30"/>
      <c r="J865" s="30"/>
      <c r="K865" s="30"/>
      <c r="L865" s="30"/>
      <c r="M865" s="30"/>
    </row>
    <row r="866" ht="15.75" customHeight="1">
      <c r="A866" s="30"/>
      <c r="B866" s="30"/>
      <c r="C866" s="82"/>
      <c r="D866" s="30"/>
      <c r="E866" s="30"/>
      <c r="F866" s="30"/>
      <c r="G866" s="30"/>
      <c r="H866" s="30"/>
      <c r="I866" s="30"/>
      <c r="J866" s="30"/>
      <c r="K866" s="30"/>
      <c r="L866" s="30"/>
      <c r="M866" s="30"/>
    </row>
    <row r="867" ht="15.75" customHeight="1">
      <c r="A867" s="30"/>
      <c r="B867" s="30"/>
      <c r="C867" s="82"/>
      <c r="D867" s="30"/>
      <c r="E867" s="30"/>
      <c r="F867" s="30"/>
      <c r="G867" s="30"/>
      <c r="H867" s="30"/>
      <c r="I867" s="30"/>
      <c r="J867" s="30"/>
      <c r="K867" s="30"/>
      <c r="L867" s="30"/>
      <c r="M867" s="30"/>
    </row>
    <row r="868" ht="15.75" customHeight="1">
      <c r="A868" s="30"/>
      <c r="B868" s="30"/>
      <c r="C868" s="82"/>
      <c r="D868" s="30"/>
      <c r="E868" s="30"/>
      <c r="F868" s="30"/>
      <c r="G868" s="30"/>
      <c r="H868" s="30"/>
      <c r="I868" s="30"/>
      <c r="J868" s="30"/>
      <c r="K868" s="30"/>
      <c r="L868" s="30"/>
      <c r="M868" s="30"/>
    </row>
    <row r="869" ht="15.75" customHeight="1">
      <c r="A869" s="30"/>
      <c r="B869" s="30"/>
      <c r="C869" s="82"/>
      <c r="D869" s="30"/>
      <c r="E869" s="30"/>
      <c r="F869" s="30"/>
      <c r="G869" s="30"/>
      <c r="H869" s="30"/>
      <c r="I869" s="30"/>
      <c r="J869" s="30"/>
      <c r="K869" s="30"/>
      <c r="L869" s="30"/>
      <c r="M869" s="30"/>
    </row>
    <row r="870" ht="15.75" customHeight="1">
      <c r="A870" s="30"/>
      <c r="B870" s="30"/>
      <c r="C870" s="82"/>
      <c r="D870" s="30"/>
      <c r="E870" s="30"/>
      <c r="F870" s="30"/>
      <c r="G870" s="30"/>
      <c r="H870" s="30"/>
      <c r="I870" s="30"/>
      <c r="J870" s="30"/>
      <c r="K870" s="30"/>
      <c r="L870" s="30"/>
      <c r="M870" s="30"/>
    </row>
    <row r="871" ht="15.75" customHeight="1">
      <c r="A871" s="30"/>
      <c r="B871" s="30"/>
      <c r="C871" s="82"/>
      <c r="D871" s="30"/>
      <c r="E871" s="30"/>
      <c r="F871" s="30"/>
      <c r="G871" s="30"/>
      <c r="H871" s="30"/>
      <c r="I871" s="30"/>
      <c r="J871" s="30"/>
      <c r="K871" s="30"/>
      <c r="L871" s="30"/>
      <c r="M871" s="30"/>
    </row>
    <row r="872" ht="15.75" customHeight="1">
      <c r="A872" s="30"/>
      <c r="B872" s="30"/>
      <c r="C872" s="82"/>
      <c r="D872" s="30"/>
      <c r="E872" s="30"/>
      <c r="F872" s="30"/>
      <c r="G872" s="30"/>
      <c r="H872" s="30"/>
      <c r="I872" s="30"/>
      <c r="J872" s="30"/>
      <c r="K872" s="30"/>
      <c r="L872" s="30"/>
      <c r="M872" s="30"/>
    </row>
    <row r="873" ht="15.75" customHeight="1">
      <c r="A873" s="30"/>
      <c r="B873" s="30"/>
      <c r="C873" s="82"/>
      <c r="D873" s="30"/>
      <c r="E873" s="30"/>
      <c r="F873" s="30"/>
      <c r="G873" s="30"/>
      <c r="H873" s="30"/>
      <c r="I873" s="30"/>
      <c r="J873" s="30"/>
      <c r="K873" s="30"/>
      <c r="L873" s="30"/>
      <c r="M873" s="30"/>
    </row>
    <row r="874" ht="15.75" customHeight="1">
      <c r="A874" s="30"/>
      <c r="B874" s="30"/>
      <c r="C874" s="82"/>
      <c r="D874" s="30"/>
      <c r="E874" s="30"/>
      <c r="F874" s="30"/>
      <c r="G874" s="30"/>
      <c r="H874" s="30"/>
      <c r="I874" s="30"/>
      <c r="J874" s="30"/>
      <c r="K874" s="30"/>
      <c r="L874" s="30"/>
      <c r="M874" s="30"/>
    </row>
    <row r="875" ht="15.75" customHeight="1">
      <c r="A875" s="30"/>
      <c r="B875" s="30"/>
      <c r="C875" s="82"/>
      <c r="D875" s="30"/>
      <c r="E875" s="30"/>
      <c r="F875" s="30"/>
      <c r="G875" s="30"/>
      <c r="H875" s="30"/>
      <c r="I875" s="30"/>
      <c r="J875" s="30"/>
      <c r="K875" s="30"/>
      <c r="L875" s="30"/>
      <c r="M875" s="30"/>
    </row>
    <row r="876" ht="15.75" customHeight="1">
      <c r="A876" s="30"/>
      <c r="B876" s="30"/>
      <c r="C876" s="82"/>
      <c r="D876" s="30"/>
      <c r="E876" s="30"/>
      <c r="F876" s="30"/>
      <c r="G876" s="30"/>
      <c r="H876" s="30"/>
      <c r="I876" s="30"/>
      <c r="J876" s="30"/>
      <c r="K876" s="30"/>
      <c r="L876" s="30"/>
      <c r="M876" s="30"/>
    </row>
    <row r="877" ht="15.75" customHeight="1">
      <c r="A877" s="30"/>
      <c r="B877" s="30"/>
      <c r="C877" s="82"/>
      <c r="D877" s="30"/>
      <c r="E877" s="30"/>
      <c r="F877" s="30"/>
      <c r="G877" s="30"/>
      <c r="H877" s="30"/>
      <c r="I877" s="30"/>
      <c r="J877" s="30"/>
      <c r="K877" s="30"/>
      <c r="L877" s="30"/>
      <c r="M877" s="30"/>
    </row>
    <row r="878" ht="15.75" customHeight="1">
      <c r="A878" s="30"/>
      <c r="B878" s="30"/>
      <c r="C878" s="82"/>
      <c r="D878" s="30"/>
      <c r="E878" s="30"/>
      <c r="F878" s="30"/>
      <c r="G878" s="30"/>
      <c r="H878" s="30"/>
      <c r="I878" s="30"/>
      <c r="J878" s="30"/>
      <c r="K878" s="30"/>
      <c r="L878" s="30"/>
      <c r="M878" s="30"/>
    </row>
    <row r="879" ht="15.75" customHeight="1">
      <c r="A879" s="30"/>
      <c r="B879" s="30"/>
      <c r="C879" s="82"/>
      <c r="D879" s="30"/>
      <c r="E879" s="30"/>
      <c r="F879" s="30"/>
      <c r="G879" s="30"/>
      <c r="H879" s="30"/>
      <c r="I879" s="30"/>
      <c r="J879" s="30"/>
      <c r="K879" s="30"/>
      <c r="L879" s="30"/>
      <c r="M879" s="30"/>
    </row>
    <row r="880" ht="15.75" customHeight="1">
      <c r="A880" s="30"/>
      <c r="B880" s="30"/>
      <c r="C880" s="82"/>
      <c r="D880" s="30"/>
      <c r="E880" s="30"/>
      <c r="F880" s="30"/>
      <c r="G880" s="30"/>
      <c r="H880" s="30"/>
      <c r="I880" s="30"/>
      <c r="J880" s="30"/>
      <c r="K880" s="30"/>
      <c r="L880" s="30"/>
      <c r="M880" s="30"/>
    </row>
    <row r="881" ht="15.75" customHeight="1">
      <c r="A881" s="30"/>
      <c r="B881" s="30"/>
      <c r="C881" s="82"/>
      <c r="D881" s="30"/>
      <c r="E881" s="30"/>
      <c r="F881" s="30"/>
      <c r="G881" s="30"/>
      <c r="H881" s="30"/>
      <c r="I881" s="30"/>
      <c r="J881" s="30"/>
      <c r="K881" s="30"/>
      <c r="L881" s="30"/>
      <c r="M881" s="30"/>
    </row>
    <row r="882" ht="15.75" customHeight="1">
      <c r="A882" s="30"/>
      <c r="B882" s="30"/>
      <c r="C882" s="82"/>
      <c r="D882" s="30"/>
      <c r="E882" s="30"/>
      <c r="F882" s="30"/>
      <c r="G882" s="30"/>
      <c r="H882" s="30"/>
      <c r="I882" s="30"/>
      <c r="J882" s="30"/>
      <c r="K882" s="30"/>
      <c r="L882" s="30"/>
      <c r="M882" s="30"/>
    </row>
    <row r="883" ht="15.75" customHeight="1">
      <c r="A883" s="30"/>
      <c r="B883" s="30"/>
      <c r="C883" s="82"/>
      <c r="D883" s="30"/>
      <c r="E883" s="30"/>
      <c r="F883" s="30"/>
      <c r="G883" s="30"/>
      <c r="H883" s="30"/>
      <c r="I883" s="30"/>
      <c r="J883" s="30"/>
      <c r="K883" s="30"/>
      <c r="L883" s="30"/>
      <c r="M883" s="30"/>
    </row>
    <row r="884" ht="15.75" customHeight="1">
      <c r="A884" s="30"/>
      <c r="B884" s="30"/>
      <c r="C884" s="82"/>
      <c r="D884" s="30"/>
      <c r="E884" s="30"/>
      <c r="F884" s="30"/>
      <c r="G884" s="30"/>
      <c r="H884" s="30"/>
      <c r="I884" s="30"/>
      <c r="J884" s="30"/>
      <c r="K884" s="30"/>
      <c r="L884" s="30"/>
      <c r="M884" s="30"/>
    </row>
    <row r="885" ht="15.75" customHeight="1">
      <c r="A885" s="30"/>
      <c r="B885" s="30"/>
      <c r="C885" s="82"/>
      <c r="D885" s="30"/>
      <c r="E885" s="30"/>
      <c r="F885" s="30"/>
      <c r="G885" s="30"/>
      <c r="H885" s="30"/>
      <c r="I885" s="30"/>
      <c r="J885" s="30"/>
      <c r="K885" s="30"/>
      <c r="L885" s="30"/>
      <c r="M885" s="30"/>
    </row>
    <row r="886" ht="15.75" customHeight="1">
      <c r="A886" s="30"/>
      <c r="B886" s="30"/>
      <c r="C886" s="82"/>
      <c r="D886" s="30"/>
      <c r="E886" s="30"/>
      <c r="F886" s="30"/>
      <c r="G886" s="30"/>
      <c r="H886" s="30"/>
      <c r="I886" s="30"/>
      <c r="J886" s="30"/>
      <c r="K886" s="30"/>
      <c r="L886" s="30"/>
      <c r="M886" s="30"/>
    </row>
    <row r="887" ht="15.75" customHeight="1">
      <c r="A887" s="30"/>
      <c r="B887" s="30"/>
      <c r="C887" s="82"/>
      <c r="D887" s="30"/>
      <c r="E887" s="30"/>
      <c r="F887" s="30"/>
      <c r="G887" s="30"/>
      <c r="H887" s="30"/>
      <c r="I887" s="30"/>
      <c r="J887" s="30"/>
      <c r="K887" s="30"/>
      <c r="L887" s="30"/>
      <c r="M887" s="30"/>
    </row>
    <row r="888" ht="15.75" customHeight="1">
      <c r="A888" s="30"/>
      <c r="B888" s="30"/>
      <c r="C888" s="82"/>
      <c r="D888" s="30"/>
      <c r="E888" s="30"/>
      <c r="F888" s="30"/>
      <c r="G888" s="30"/>
      <c r="H888" s="30"/>
      <c r="I888" s="30"/>
      <c r="J888" s="30"/>
      <c r="K888" s="30"/>
      <c r="L888" s="30"/>
      <c r="M888" s="30"/>
    </row>
    <row r="889" ht="15.75" customHeight="1">
      <c r="A889" s="30"/>
      <c r="B889" s="30"/>
      <c r="C889" s="82"/>
      <c r="D889" s="30"/>
      <c r="E889" s="30"/>
      <c r="F889" s="30"/>
      <c r="G889" s="30"/>
      <c r="H889" s="30"/>
      <c r="I889" s="30"/>
      <c r="J889" s="30"/>
      <c r="K889" s="30"/>
      <c r="L889" s="30"/>
      <c r="M889" s="30"/>
    </row>
    <row r="890" ht="15.75" customHeight="1">
      <c r="A890" s="30"/>
      <c r="B890" s="30"/>
      <c r="C890" s="82"/>
      <c r="D890" s="30"/>
      <c r="E890" s="30"/>
      <c r="F890" s="30"/>
      <c r="G890" s="30"/>
      <c r="H890" s="30"/>
      <c r="I890" s="30"/>
      <c r="J890" s="30"/>
      <c r="K890" s="30"/>
      <c r="L890" s="30"/>
      <c r="M890" s="30"/>
    </row>
    <row r="891" ht="15.75" customHeight="1">
      <c r="A891" s="30"/>
      <c r="B891" s="30"/>
      <c r="C891" s="82"/>
      <c r="D891" s="30"/>
      <c r="E891" s="30"/>
      <c r="F891" s="30"/>
      <c r="G891" s="30"/>
      <c r="H891" s="30"/>
      <c r="I891" s="30"/>
      <c r="J891" s="30"/>
      <c r="K891" s="30"/>
      <c r="L891" s="30"/>
      <c r="M891" s="30"/>
    </row>
    <row r="892" ht="15.75" customHeight="1">
      <c r="A892" s="30"/>
      <c r="B892" s="30"/>
      <c r="C892" s="82"/>
      <c r="D892" s="30"/>
      <c r="E892" s="30"/>
      <c r="F892" s="30"/>
      <c r="G892" s="30"/>
      <c r="H892" s="30"/>
      <c r="I892" s="30"/>
      <c r="J892" s="30"/>
      <c r="K892" s="30"/>
      <c r="L892" s="30"/>
      <c r="M892" s="30"/>
    </row>
    <row r="893" ht="15.75" customHeight="1">
      <c r="A893" s="30"/>
      <c r="B893" s="30"/>
      <c r="C893" s="82"/>
      <c r="D893" s="30"/>
      <c r="E893" s="30"/>
      <c r="F893" s="30"/>
      <c r="G893" s="30"/>
      <c r="H893" s="30"/>
      <c r="I893" s="30"/>
      <c r="J893" s="30"/>
      <c r="K893" s="30"/>
      <c r="L893" s="30"/>
      <c r="M893" s="30"/>
    </row>
    <row r="894" ht="15.75" customHeight="1">
      <c r="A894" s="30"/>
      <c r="B894" s="30"/>
      <c r="C894" s="82"/>
      <c r="D894" s="30"/>
      <c r="E894" s="30"/>
      <c r="F894" s="30"/>
      <c r="G894" s="30"/>
      <c r="H894" s="30"/>
      <c r="I894" s="30"/>
      <c r="J894" s="30"/>
      <c r="K894" s="30"/>
      <c r="L894" s="30"/>
      <c r="M894" s="30"/>
    </row>
    <row r="895" ht="15.75" customHeight="1">
      <c r="A895" s="30"/>
      <c r="B895" s="30"/>
      <c r="C895" s="82"/>
      <c r="D895" s="30"/>
      <c r="E895" s="30"/>
      <c r="F895" s="30"/>
      <c r="G895" s="30"/>
      <c r="H895" s="30"/>
      <c r="I895" s="30"/>
      <c r="J895" s="30"/>
      <c r="K895" s="30"/>
      <c r="L895" s="30"/>
      <c r="M895" s="30"/>
    </row>
    <row r="896" ht="15.75" customHeight="1">
      <c r="A896" s="30"/>
      <c r="B896" s="30"/>
      <c r="C896" s="82"/>
      <c r="D896" s="30"/>
      <c r="E896" s="30"/>
      <c r="F896" s="30"/>
      <c r="G896" s="30"/>
      <c r="H896" s="30"/>
      <c r="I896" s="30"/>
      <c r="J896" s="30"/>
      <c r="K896" s="30"/>
      <c r="L896" s="30"/>
      <c r="M896" s="30"/>
    </row>
    <row r="897" ht="15.75" customHeight="1">
      <c r="A897" s="30"/>
      <c r="B897" s="30"/>
      <c r="C897" s="82"/>
      <c r="D897" s="30"/>
      <c r="E897" s="30"/>
      <c r="F897" s="30"/>
      <c r="G897" s="30"/>
      <c r="H897" s="30"/>
      <c r="I897" s="30"/>
      <c r="J897" s="30"/>
      <c r="K897" s="30"/>
      <c r="L897" s="30"/>
      <c r="M897" s="30"/>
    </row>
    <row r="898" ht="15.75" customHeight="1">
      <c r="A898" s="30"/>
      <c r="B898" s="30"/>
      <c r="C898" s="82"/>
      <c r="D898" s="30"/>
      <c r="E898" s="30"/>
      <c r="F898" s="30"/>
      <c r="G898" s="30"/>
      <c r="H898" s="30"/>
      <c r="I898" s="30"/>
      <c r="J898" s="30"/>
      <c r="K898" s="30"/>
      <c r="L898" s="30"/>
      <c r="M898" s="30"/>
    </row>
    <row r="899" ht="15.75" customHeight="1">
      <c r="A899" s="30"/>
      <c r="B899" s="30"/>
      <c r="C899" s="82"/>
      <c r="D899" s="30"/>
      <c r="E899" s="30"/>
      <c r="F899" s="30"/>
      <c r="G899" s="30"/>
      <c r="H899" s="30"/>
      <c r="I899" s="30"/>
      <c r="J899" s="30"/>
      <c r="K899" s="30"/>
      <c r="L899" s="30"/>
      <c r="M899" s="30"/>
    </row>
    <row r="900" ht="15.75" customHeight="1">
      <c r="A900" s="30"/>
      <c r="B900" s="30"/>
      <c r="C900" s="82"/>
      <c r="D900" s="30"/>
      <c r="E900" s="30"/>
      <c r="F900" s="30"/>
      <c r="G900" s="30"/>
      <c r="H900" s="30"/>
      <c r="I900" s="30"/>
      <c r="J900" s="30"/>
      <c r="K900" s="30"/>
      <c r="L900" s="30"/>
      <c r="M900" s="30"/>
    </row>
    <row r="901" ht="15.75" customHeight="1">
      <c r="A901" s="30"/>
      <c r="B901" s="30"/>
      <c r="C901" s="82"/>
      <c r="D901" s="30"/>
      <c r="E901" s="30"/>
      <c r="F901" s="30"/>
      <c r="G901" s="30"/>
      <c r="H901" s="30"/>
      <c r="I901" s="30"/>
      <c r="J901" s="30"/>
      <c r="K901" s="30"/>
      <c r="L901" s="30"/>
      <c r="M901" s="30"/>
    </row>
    <row r="902" ht="15.75" customHeight="1">
      <c r="A902" s="30"/>
      <c r="B902" s="30"/>
      <c r="C902" s="82"/>
      <c r="D902" s="30"/>
      <c r="E902" s="30"/>
      <c r="F902" s="30"/>
      <c r="G902" s="30"/>
      <c r="H902" s="30"/>
      <c r="I902" s="30"/>
      <c r="J902" s="30"/>
      <c r="K902" s="30"/>
      <c r="L902" s="30"/>
      <c r="M902" s="30"/>
    </row>
    <row r="903" ht="15.75" customHeight="1">
      <c r="A903" s="30"/>
      <c r="B903" s="30"/>
      <c r="C903" s="82"/>
      <c r="D903" s="30"/>
      <c r="E903" s="30"/>
      <c r="F903" s="30"/>
      <c r="G903" s="30"/>
      <c r="H903" s="30"/>
      <c r="I903" s="30"/>
      <c r="J903" s="30"/>
      <c r="K903" s="30"/>
      <c r="L903" s="30"/>
      <c r="M903" s="30"/>
    </row>
    <row r="904" ht="15.75" customHeight="1">
      <c r="A904" s="30"/>
      <c r="B904" s="30"/>
      <c r="C904" s="82"/>
      <c r="D904" s="30"/>
      <c r="E904" s="30"/>
      <c r="F904" s="30"/>
      <c r="G904" s="30"/>
      <c r="H904" s="30"/>
      <c r="I904" s="30"/>
      <c r="J904" s="30"/>
      <c r="K904" s="30"/>
      <c r="L904" s="30"/>
      <c r="M904" s="30"/>
    </row>
    <row r="905" ht="15.75" customHeight="1">
      <c r="A905" s="30"/>
      <c r="B905" s="30"/>
      <c r="C905" s="82"/>
      <c r="D905" s="30"/>
      <c r="E905" s="30"/>
      <c r="F905" s="30"/>
      <c r="G905" s="30"/>
      <c r="H905" s="30"/>
      <c r="I905" s="30"/>
      <c r="J905" s="30"/>
      <c r="K905" s="30"/>
      <c r="L905" s="30"/>
      <c r="M905" s="30"/>
    </row>
    <row r="906" ht="15.75" customHeight="1">
      <c r="A906" s="30"/>
      <c r="B906" s="30"/>
      <c r="C906" s="82"/>
      <c r="D906" s="30"/>
      <c r="E906" s="30"/>
      <c r="F906" s="30"/>
      <c r="G906" s="30"/>
      <c r="H906" s="30"/>
      <c r="I906" s="30"/>
      <c r="J906" s="30"/>
      <c r="K906" s="30"/>
      <c r="L906" s="30"/>
      <c r="M906" s="30"/>
    </row>
    <row r="907" ht="15.75" customHeight="1">
      <c r="A907" s="30"/>
      <c r="B907" s="30"/>
      <c r="C907" s="82"/>
      <c r="D907" s="30"/>
      <c r="E907" s="30"/>
      <c r="F907" s="30"/>
      <c r="G907" s="30"/>
      <c r="H907" s="30"/>
      <c r="I907" s="30"/>
      <c r="J907" s="30"/>
      <c r="K907" s="30"/>
      <c r="L907" s="30"/>
      <c r="M907" s="30"/>
    </row>
    <row r="908" ht="15.75" customHeight="1">
      <c r="A908" s="30"/>
      <c r="B908" s="30"/>
      <c r="C908" s="82"/>
      <c r="D908" s="30"/>
      <c r="E908" s="30"/>
      <c r="F908" s="30"/>
      <c r="G908" s="30"/>
      <c r="H908" s="30"/>
      <c r="I908" s="30"/>
      <c r="J908" s="30"/>
      <c r="K908" s="30"/>
      <c r="L908" s="30"/>
      <c r="M908" s="30"/>
    </row>
    <row r="909" ht="15.75" customHeight="1">
      <c r="A909" s="30"/>
      <c r="B909" s="30"/>
      <c r="C909" s="82"/>
      <c r="D909" s="30"/>
      <c r="E909" s="30"/>
      <c r="F909" s="30"/>
      <c r="G909" s="30"/>
      <c r="H909" s="30"/>
      <c r="I909" s="30"/>
      <c r="J909" s="30"/>
      <c r="K909" s="30"/>
      <c r="L909" s="30"/>
      <c r="M909" s="30"/>
    </row>
    <row r="910" ht="15.75" customHeight="1">
      <c r="A910" s="30"/>
      <c r="B910" s="30"/>
      <c r="C910" s="82"/>
      <c r="D910" s="30"/>
      <c r="E910" s="30"/>
      <c r="F910" s="30"/>
      <c r="G910" s="30"/>
      <c r="H910" s="30"/>
      <c r="I910" s="30"/>
      <c r="J910" s="30"/>
      <c r="K910" s="30"/>
      <c r="L910" s="30"/>
      <c r="M910" s="30"/>
    </row>
    <row r="911" ht="15.75" customHeight="1">
      <c r="A911" s="30"/>
      <c r="B911" s="30"/>
      <c r="C911" s="82"/>
      <c r="D911" s="30"/>
      <c r="E911" s="30"/>
      <c r="F911" s="30"/>
      <c r="G911" s="30"/>
      <c r="H911" s="30"/>
      <c r="I911" s="30"/>
      <c r="J911" s="30"/>
      <c r="K911" s="30"/>
      <c r="L911" s="30"/>
      <c r="M911" s="30"/>
    </row>
    <row r="912" ht="15.75" customHeight="1">
      <c r="A912" s="30"/>
      <c r="B912" s="30"/>
      <c r="C912" s="82"/>
      <c r="D912" s="30"/>
      <c r="E912" s="30"/>
      <c r="F912" s="30"/>
      <c r="G912" s="30"/>
      <c r="H912" s="30"/>
      <c r="I912" s="30"/>
      <c r="J912" s="30"/>
      <c r="K912" s="30"/>
      <c r="L912" s="30"/>
      <c r="M912" s="30"/>
    </row>
    <row r="913" ht="15.75" customHeight="1">
      <c r="A913" s="30"/>
      <c r="B913" s="30"/>
      <c r="C913" s="82"/>
      <c r="D913" s="30"/>
      <c r="E913" s="30"/>
      <c r="F913" s="30"/>
      <c r="G913" s="30"/>
      <c r="H913" s="30"/>
      <c r="I913" s="30"/>
      <c r="J913" s="30"/>
      <c r="K913" s="30"/>
      <c r="L913" s="30"/>
      <c r="M913" s="30"/>
    </row>
    <row r="914" ht="15.75" customHeight="1">
      <c r="A914" s="30"/>
      <c r="B914" s="30"/>
      <c r="C914" s="82"/>
      <c r="D914" s="30"/>
      <c r="E914" s="30"/>
      <c r="F914" s="30"/>
      <c r="G914" s="30"/>
      <c r="H914" s="30"/>
      <c r="I914" s="30"/>
      <c r="J914" s="30"/>
      <c r="K914" s="30"/>
      <c r="L914" s="30"/>
      <c r="M914" s="30"/>
    </row>
    <row r="915" ht="15.75" customHeight="1">
      <c r="A915" s="30"/>
      <c r="B915" s="30"/>
      <c r="C915" s="82"/>
      <c r="D915" s="30"/>
      <c r="E915" s="30"/>
      <c r="F915" s="30"/>
      <c r="G915" s="30"/>
      <c r="H915" s="30"/>
      <c r="I915" s="30"/>
      <c r="J915" s="30"/>
      <c r="K915" s="30"/>
      <c r="L915" s="30"/>
      <c r="M915" s="30"/>
    </row>
    <row r="916" ht="15.75" customHeight="1">
      <c r="A916" s="30"/>
      <c r="B916" s="30"/>
      <c r="C916" s="82"/>
      <c r="D916" s="30"/>
      <c r="E916" s="30"/>
      <c r="F916" s="30"/>
      <c r="G916" s="30"/>
      <c r="H916" s="30"/>
      <c r="I916" s="30"/>
      <c r="J916" s="30"/>
      <c r="K916" s="30"/>
      <c r="L916" s="30"/>
      <c r="M916" s="30"/>
    </row>
    <row r="917" ht="15.75" customHeight="1">
      <c r="A917" s="30"/>
      <c r="B917" s="30"/>
      <c r="C917" s="82"/>
      <c r="D917" s="30"/>
      <c r="E917" s="30"/>
      <c r="F917" s="30"/>
      <c r="G917" s="30"/>
      <c r="H917" s="30"/>
      <c r="I917" s="30"/>
      <c r="J917" s="30"/>
      <c r="K917" s="30"/>
      <c r="L917" s="30"/>
      <c r="M917" s="30"/>
    </row>
    <row r="918" ht="15.75" customHeight="1">
      <c r="A918" s="30"/>
      <c r="B918" s="30"/>
      <c r="C918" s="82"/>
      <c r="D918" s="30"/>
      <c r="E918" s="30"/>
      <c r="F918" s="30"/>
      <c r="G918" s="30"/>
      <c r="H918" s="30"/>
      <c r="I918" s="30"/>
      <c r="J918" s="30"/>
      <c r="K918" s="30"/>
      <c r="L918" s="30"/>
      <c r="M918" s="30"/>
    </row>
    <row r="919" ht="15.75" customHeight="1">
      <c r="A919" s="30"/>
      <c r="B919" s="30"/>
      <c r="C919" s="82"/>
      <c r="D919" s="30"/>
      <c r="E919" s="30"/>
      <c r="F919" s="30"/>
      <c r="G919" s="30"/>
      <c r="H919" s="30"/>
      <c r="I919" s="30"/>
      <c r="J919" s="30"/>
      <c r="K919" s="30"/>
      <c r="L919" s="30"/>
      <c r="M919" s="30"/>
    </row>
    <row r="920" ht="15.75" customHeight="1">
      <c r="A920" s="30"/>
      <c r="B920" s="30"/>
      <c r="C920" s="82"/>
      <c r="D920" s="30"/>
      <c r="E920" s="30"/>
      <c r="F920" s="30"/>
      <c r="G920" s="30"/>
      <c r="H920" s="30"/>
      <c r="I920" s="30"/>
      <c r="J920" s="30"/>
      <c r="K920" s="30"/>
      <c r="L920" s="30"/>
      <c r="M920" s="30"/>
    </row>
    <row r="921" ht="15.75" customHeight="1">
      <c r="A921" s="30"/>
      <c r="B921" s="30"/>
      <c r="C921" s="82"/>
      <c r="D921" s="30"/>
      <c r="E921" s="30"/>
      <c r="F921" s="30"/>
      <c r="G921" s="30"/>
      <c r="H921" s="30"/>
      <c r="I921" s="30"/>
      <c r="J921" s="30"/>
      <c r="K921" s="30"/>
      <c r="L921" s="30"/>
      <c r="M921" s="30"/>
    </row>
    <row r="922" ht="15.75" customHeight="1">
      <c r="A922" s="30"/>
      <c r="B922" s="30"/>
      <c r="C922" s="82"/>
      <c r="D922" s="30"/>
      <c r="E922" s="30"/>
      <c r="F922" s="30"/>
      <c r="G922" s="30"/>
      <c r="H922" s="30"/>
      <c r="I922" s="30"/>
      <c r="J922" s="30"/>
      <c r="K922" s="30"/>
      <c r="L922" s="30"/>
      <c r="M922" s="30"/>
    </row>
    <row r="923" ht="15.75" customHeight="1">
      <c r="A923" s="30"/>
      <c r="B923" s="30"/>
      <c r="C923" s="82"/>
      <c r="D923" s="30"/>
      <c r="E923" s="30"/>
      <c r="F923" s="30"/>
      <c r="G923" s="30"/>
      <c r="H923" s="30"/>
      <c r="I923" s="30"/>
      <c r="J923" s="30"/>
      <c r="K923" s="30"/>
      <c r="L923" s="30"/>
      <c r="M923" s="30"/>
    </row>
    <row r="924" ht="15.75" customHeight="1">
      <c r="A924" s="30"/>
      <c r="B924" s="30"/>
      <c r="C924" s="82"/>
      <c r="D924" s="30"/>
      <c r="E924" s="30"/>
      <c r="F924" s="30"/>
      <c r="G924" s="30"/>
      <c r="H924" s="30"/>
      <c r="I924" s="30"/>
      <c r="J924" s="30"/>
      <c r="K924" s="30"/>
      <c r="L924" s="30"/>
      <c r="M924" s="30"/>
    </row>
    <row r="925" ht="15.75" customHeight="1">
      <c r="A925" s="30"/>
      <c r="B925" s="30"/>
      <c r="C925" s="82"/>
      <c r="D925" s="30"/>
      <c r="E925" s="30"/>
      <c r="F925" s="30"/>
      <c r="G925" s="30"/>
      <c r="H925" s="30"/>
      <c r="I925" s="30"/>
      <c r="J925" s="30"/>
      <c r="K925" s="30"/>
      <c r="L925" s="30"/>
      <c r="M925" s="30"/>
    </row>
    <row r="926" ht="15.75" customHeight="1">
      <c r="A926" s="30"/>
      <c r="B926" s="30"/>
      <c r="C926" s="82"/>
      <c r="D926" s="30"/>
      <c r="E926" s="30"/>
      <c r="F926" s="30"/>
      <c r="G926" s="30"/>
      <c r="H926" s="30"/>
      <c r="I926" s="30"/>
      <c r="J926" s="30"/>
      <c r="K926" s="30"/>
      <c r="L926" s="30"/>
      <c r="M926" s="30"/>
    </row>
    <row r="927" ht="15.75" customHeight="1">
      <c r="A927" s="30"/>
      <c r="B927" s="30"/>
      <c r="C927" s="82"/>
      <c r="D927" s="30"/>
      <c r="E927" s="30"/>
      <c r="F927" s="30"/>
      <c r="G927" s="30"/>
      <c r="H927" s="30"/>
      <c r="I927" s="30"/>
      <c r="J927" s="30"/>
      <c r="K927" s="30"/>
      <c r="L927" s="30"/>
      <c r="M927" s="30"/>
    </row>
    <row r="928" ht="15.75" customHeight="1">
      <c r="A928" s="30"/>
      <c r="B928" s="30"/>
      <c r="C928" s="82"/>
      <c r="D928" s="30"/>
      <c r="E928" s="30"/>
      <c r="F928" s="30"/>
      <c r="G928" s="30"/>
      <c r="H928" s="30"/>
      <c r="I928" s="30"/>
      <c r="J928" s="30"/>
      <c r="K928" s="30"/>
      <c r="L928" s="30"/>
      <c r="M928" s="30"/>
    </row>
    <row r="929" ht="15.75" customHeight="1">
      <c r="A929" s="30"/>
      <c r="B929" s="30"/>
      <c r="C929" s="82"/>
      <c r="D929" s="30"/>
      <c r="E929" s="30"/>
      <c r="F929" s="30"/>
      <c r="G929" s="30"/>
      <c r="H929" s="30"/>
      <c r="I929" s="30"/>
      <c r="J929" s="30"/>
      <c r="K929" s="30"/>
      <c r="L929" s="30"/>
      <c r="M929" s="30"/>
    </row>
    <row r="930" ht="15.75" customHeight="1">
      <c r="A930" s="30"/>
      <c r="B930" s="30"/>
      <c r="C930" s="82"/>
      <c r="D930" s="30"/>
      <c r="E930" s="30"/>
      <c r="F930" s="30"/>
      <c r="G930" s="30"/>
      <c r="H930" s="30"/>
      <c r="I930" s="30"/>
      <c r="J930" s="30"/>
      <c r="K930" s="30"/>
      <c r="L930" s="30"/>
      <c r="M930" s="30"/>
    </row>
    <row r="931" ht="15.75" customHeight="1">
      <c r="A931" s="30"/>
      <c r="B931" s="30"/>
      <c r="C931" s="82"/>
      <c r="D931" s="30"/>
      <c r="E931" s="30"/>
      <c r="F931" s="30"/>
      <c r="G931" s="30"/>
      <c r="H931" s="30"/>
      <c r="I931" s="30"/>
      <c r="J931" s="30"/>
      <c r="K931" s="30"/>
      <c r="L931" s="30"/>
      <c r="M931" s="30"/>
    </row>
    <row r="932" ht="15.75" customHeight="1">
      <c r="A932" s="30"/>
      <c r="B932" s="30"/>
      <c r="C932" s="82"/>
      <c r="D932" s="30"/>
      <c r="E932" s="30"/>
      <c r="F932" s="30"/>
      <c r="G932" s="30"/>
      <c r="H932" s="30"/>
      <c r="I932" s="30"/>
      <c r="J932" s="30"/>
      <c r="K932" s="30"/>
      <c r="L932" s="30"/>
      <c r="M932" s="30"/>
    </row>
    <row r="933" ht="15.75" customHeight="1">
      <c r="A933" s="30"/>
      <c r="B933" s="30"/>
      <c r="C933" s="82"/>
      <c r="D933" s="30"/>
      <c r="E933" s="30"/>
      <c r="F933" s="30"/>
      <c r="G933" s="30"/>
      <c r="H933" s="30"/>
      <c r="I933" s="30"/>
      <c r="J933" s="30"/>
      <c r="K933" s="30"/>
      <c r="L933" s="30"/>
      <c r="M933" s="30"/>
    </row>
    <row r="934" ht="15.75" customHeight="1">
      <c r="A934" s="30"/>
      <c r="B934" s="30"/>
      <c r="C934" s="82"/>
      <c r="D934" s="30"/>
      <c r="E934" s="30"/>
      <c r="F934" s="30"/>
      <c r="G934" s="30"/>
      <c r="H934" s="30"/>
      <c r="I934" s="30"/>
      <c r="J934" s="30"/>
      <c r="K934" s="30"/>
      <c r="L934" s="30"/>
      <c r="M934" s="30"/>
    </row>
    <row r="935" ht="15.75" customHeight="1">
      <c r="A935" s="30"/>
      <c r="B935" s="30"/>
      <c r="C935" s="82"/>
      <c r="D935" s="30"/>
      <c r="E935" s="30"/>
      <c r="F935" s="30"/>
      <c r="G935" s="30"/>
      <c r="H935" s="30"/>
      <c r="I935" s="30"/>
      <c r="J935" s="30"/>
      <c r="K935" s="30"/>
      <c r="L935" s="30"/>
      <c r="M935" s="30"/>
    </row>
    <row r="936" ht="15.75" customHeight="1">
      <c r="A936" s="30"/>
      <c r="B936" s="30"/>
      <c r="C936" s="82"/>
      <c r="D936" s="30"/>
      <c r="E936" s="30"/>
      <c r="F936" s="30"/>
      <c r="G936" s="30"/>
      <c r="H936" s="30"/>
      <c r="I936" s="30"/>
      <c r="J936" s="30"/>
      <c r="K936" s="30"/>
      <c r="L936" s="30"/>
      <c r="M936" s="30"/>
    </row>
    <row r="937" ht="15.75" customHeight="1">
      <c r="A937" s="30"/>
      <c r="B937" s="30"/>
      <c r="C937" s="82"/>
      <c r="D937" s="30"/>
      <c r="E937" s="30"/>
      <c r="F937" s="30"/>
      <c r="G937" s="30"/>
      <c r="H937" s="30"/>
      <c r="I937" s="30"/>
      <c r="J937" s="30"/>
      <c r="K937" s="30"/>
      <c r="L937" s="30"/>
      <c r="M937" s="30"/>
    </row>
    <row r="938" ht="15.75" customHeight="1">
      <c r="A938" s="30"/>
      <c r="B938" s="30"/>
      <c r="C938" s="82"/>
      <c r="D938" s="30"/>
      <c r="E938" s="30"/>
      <c r="F938" s="30"/>
      <c r="G938" s="30"/>
      <c r="H938" s="30"/>
      <c r="I938" s="30"/>
      <c r="J938" s="30"/>
      <c r="K938" s="30"/>
      <c r="L938" s="30"/>
      <c r="M938" s="30"/>
    </row>
    <row r="939" ht="15.75" customHeight="1">
      <c r="A939" s="30"/>
      <c r="B939" s="30"/>
      <c r="C939" s="82"/>
      <c r="D939" s="30"/>
      <c r="E939" s="30"/>
      <c r="F939" s="30"/>
      <c r="G939" s="30"/>
      <c r="H939" s="30"/>
      <c r="I939" s="30"/>
      <c r="J939" s="30"/>
      <c r="K939" s="30"/>
      <c r="L939" s="30"/>
      <c r="M939" s="30"/>
    </row>
    <row r="940" ht="15.75" customHeight="1">
      <c r="A940" s="30"/>
      <c r="B940" s="30"/>
      <c r="C940" s="82"/>
      <c r="D940" s="30"/>
      <c r="E940" s="30"/>
      <c r="F940" s="30"/>
      <c r="G940" s="30"/>
      <c r="H940" s="30"/>
      <c r="I940" s="30"/>
      <c r="J940" s="30"/>
      <c r="K940" s="30"/>
      <c r="L940" s="30"/>
      <c r="M940" s="30"/>
    </row>
    <row r="941" ht="15.75" customHeight="1">
      <c r="A941" s="30"/>
      <c r="B941" s="30"/>
      <c r="C941" s="82"/>
      <c r="D941" s="30"/>
      <c r="E941" s="30"/>
      <c r="F941" s="30"/>
      <c r="G941" s="30"/>
      <c r="H941" s="30"/>
      <c r="I941" s="30"/>
      <c r="J941" s="30"/>
      <c r="K941" s="30"/>
      <c r="L941" s="30"/>
      <c r="M941" s="30"/>
    </row>
    <row r="942" ht="15.75" customHeight="1">
      <c r="A942" s="30"/>
      <c r="B942" s="30"/>
      <c r="C942" s="82"/>
      <c r="D942" s="30"/>
      <c r="E942" s="30"/>
      <c r="F942" s="30"/>
      <c r="G942" s="30"/>
      <c r="H942" s="30"/>
      <c r="I942" s="30"/>
      <c r="J942" s="30"/>
      <c r="K942" s="30"/>
      <c r="L942" s="30"/>
      <c r="M942" s="30"/>
    </row>
    <row r="943" ht="15.75" customHeight="1">
      <c r="A943" s="30"/>
      <c r="B943" s="30"/>
      <c r="C943" s="82"/>
      <c r="D943" s="30"/>
      <c r="E943" s="30"/>
      <c r="F943" s="30"/>
      <c r="G943" s="30"/>
      <c r="H943" s="30"/>
      <c r="I943" s="30"/>
      <c r="J943" s="30"/>
      <c r="K943" s="30"/>
      <c r="L943" s="30"/>
      <c r="M943" s="30"/>
    </row>
    <row r="944" ht="15.75" customHeight="1">
      <c r="A944" s="30"/>
      <c r="B944" s="30"/>
      <c r="C944" s="82"/>
      <c r="D944" s="30"/>
      <c r="E944" s="30"/>
      <c r="F944" s="30"/>
      <c r="G944" s="30"/>
      <c r="H944" s="30"/>
      <c r="I944" s="30"/>
      <c r="J944" s="30"/>
      <c r="K944" s="30"/>
      <c r="L944" s="30"/>
      <c r="M944" s="30"/>
    </row>
    <row r="945" ht="15.75" customHeight="1">
      <c r="A945" s="30"/>
      <c r="B945" s="30"/>
      <c r="C945" s="82"/>
      <c r="D945" s="30"/>
      <c r="E945" s="30"/>
      <c r="F945" s="30"/>
      <c r="G945" s="30"/>
      <c r="H945" s="30"/>
      <c r="I945" s="30"/>
      <c r="J945" s="30"/>
      <c r="K945" s="30"/>
      <c r="L945" s="30"/>
      <c r="M945" s="30"/>
    </row>
    <row r="946" ht="15.75" customHeight="1">
      <c r="A946" s="30"/>
      <c r="B946" s="30"/>
      <c r="C946" s="82"/>
      <c r="D946" s="30"/>
      <c r="E946" s="30"/>
      <c r="F946" s="30"/>
      <c r="G946" s="30"/>
      <c r="H946" s="30"/>
      <c r="I946" s="30"/>
      <c r="J946" s="30"/>
      <c r="K946" s="30"/>
      <c r="L946" s="30"/>
      <c r="M946" s="30"/>
    </row>
    <row r="947" ht="15.75" customHeight="1">
      <c r="A947" s="30"/>
      <c r="B947" s="30"/>
      <c r="C947" s="82"/>
      <c r="D947" s="30"/>
      <c r="E947" s="30"/>
      <c r="F947" s="30"/>
      <c r="G947" s="30"/>
      <c r="H947" s="30"/>
      <c r="I947" s="30"/>
      <c r="J947" s="30"/>
      <c r="K947" s="30"/>
      <c r="L947" s="30"/>
      <c r="M947" s="30"/>
    </row>
    <row r="948" ht="15.75" customHeight="1">
      <c r="A948" s="30"/>
      <c r="B948" s="30"/>
      <c r="C948" s="82"/>
      <c r="D948" s="30"/>
      <c r="E948" s="30"/>
      <c r="F948" s="30"/>
      <c r="G948" s="30"/>
      <c r="H948" s="30"/>
      <c r="I948" s="30"/>
      <c r="J948" s="30"/>
      <c r="K948" s="30"/>
      <c r="L948" s="30"/>
      <c r="M948" s="30"/>
    </row>
    <row r="949" ht="15.75" customHeight="1">
      <c r="A949" s="30"/>
      <c r="B949" s="30"/>
      <c r="C949" s="82"/>
      <c r="D949" s="30"/>
      <c r="E949" s="30"/>
      <c r="F949" s="30"/>
      <c r="G949" s="30"/>
      <c r="H949" s="30"/>
      <c r="I949" s="30"/>
      <c r="J949" s="30"/>
      <c r="K949" s="30"/>
      <c r="L949" s="30"/>
      <c r="M949" s="30"/>
    </row>
    <row r="950" ht="15.75" customHeight="1">
      <c r="A950" s="30"/>
      <c r="B950" s="30"/>
      <c r="C950" s="82"/>
      <c r="D950" s="30"/>
      <c r="E950" s="30"/>
      <c r="F950" s="30"/>
      <c r="G950" s="30"/>
      <c r="H950" s="30"/>
      <c r="I950" s="30"/>
      <c r="J950" s="30"/>
      <c r="K950" s="30"/>
      <c r="L950" s="30"/>
      <c r="M950" s="30"/>
    </row>
    <row r="951" ht="15.75" customHeight="1">
      <c r="A951" s="30"/>
      <c r="B951" s="30"/>
      <c r="C951" s="82"/>
      <c r="D951" s="30"/>
      <c r="E951" s="30"/>
      <c r="F951" s="30"/>
      <c r="G951" s="30"/>
      <c r="H951" s="30"/>
      <c r="I951" s="30"/>
      <c r="J951" s="30"/>
      <c r="K951" s="30"/>
      <c r="L951" s="30"/>
      <c r="M951" s="30"/>
    </row>
    <row r="952" ht="15.75" customHeight="1">
      <c r="A952" s="30"/>
      <c r="B952" s="30"/>
      <c r="C952" s="82"/>
      <c r="D952" s="30"/>
      <c r="E952" s="30"/>
      <c r="F952" s="30"/>
      <c r="G952" s="30"/>
      <c r="H952" s="30"/>
      <c r="I952" s="30"/>
      <c r="J952" s="30"/>
      <c r="K952" s="30"/>
      <c r="L952" s="30"/>
      <c r="M952" s="30"/>
    </row>
    <row r="953" ht="15.75" customHeight="1">
      <c r="A953" s="30"/>
      <c r="B953" s="30"/>
      <c r="C953" s="82"/>
      <c r="D953" s="30"/>
      <c r="E953" s="30"/>
      <c r="F953" s="30"/>
      <c r="G953" s="30"/>
      <c r="H953" s="30"/>
      <c r="I953" s="30"/>
      <c r="J953" s="30"/>
      <c r="K953" s="30"/>
      <c r="L953" s="30"/>
      <c r="M953" s="30"/>
    </row>
    <row r="954" ht="15.75" customHeight="1">
      <c r="A954" s="30"/>
      <c r="B954" s="30"/>
      <c r="C954" s="82"/>
      <c r="D954" s="30"/>
      <c r="E954" s="30"/>
      <c r="F954" s="30"/>
      <c r="G954" s="30"/>
      <c r="H954" s="30"/>
      <c r="I954" s="30"/>
      <c r="J954" s="30"/>
      <c r="K954" s="30"/>
      <c r="L954" s="30"/>
      <c r="M954" s="30"/>
    </row>
    <row r="955" ht="15.75" customHeight="1">
      <c r="A955" s="30"/>
      <c r="B955" s="30"/>
      <c r="C955" s="82"/>
      <c r="D955" s="30"/>
      <c r="E955" s="30"/>
      <c r="F955" s="30"/>
      <c r="G955" s="30"/>
      <c r="H955" s="30"/>
      <c r="I955" s="30"/>
      <c r="J955" s="30"/>
      <c r="K955" s="30"/>
      <c r="L955" s="30"/>
      <c r="M955" s="30"/>
    </row>
    <row r="956" ht="15.75" customHeight="1">
      <c r="A956" s="30"/>
      <c r="B956" s="30"/>
      <c r="C956" s="82"/>
      <c r="D956" s="30"/>
      <c r="E956" s="30"/>
      <c r="F956" s="30"/>
      <c r="G956" s="30"/>
      <c r="H956" s="30"/>
      <c r="I956" s="30"/>
      <c r="J956" s="30"/>
      <c r="K956" s="30"/>
      <c r="L956" s="30"/>
      <c r="M956" s="30"/>
    </row>
    <row r="957" ht="15.75" customHeight="1">
      <c r="A957" s="30"/>
      <c r="B957" s="30"/>
      <c r="C957" s="82"/>
      <c r="D957" s="30"/>
      <c r="E957" s="30"/>
      <c r="F957" s="30"/>
      <c r="G957" s="30"/>
      <c r="H957" s="30"/>
      <c r="I957" s="30"/>
      <c r="J957" s="30"/>
      <c r="K957" s="30"/>
      <c r="L957" s="30"/>
      <c r="M957" s="30"/>
    </row>
    <row r="958" ht="15.75" customHeight="1">
      <c r="A958" s="30"/>
      <c r="B958" s="30"/>
      <c r="C958" s="82"/>
      <c r="D958" s="30"/>
      <c r="E958" s="30"/>
      <c r="F958" s="30"/>
      <c r="G958" s="30"/>
      <c r="H958" s="30"/>
      <c r="I958" s="30"/>
      <c r="J958" s="30"/>
      <c r="K958" s="30"/>
      <c r="L958" s="30"/>
      <c r="M958" s="30"/>
    </row>
    <row r="959" ht="15.75" customHeight="1">
      <c r="A959" s="30"/>
      <c r="B959" s="30"/>
      <c r="C959" s="82"/>
      <c r="D959" s="30"/>
      <c r="E959" s="30"/>
      <c r="F959" s="30"/>
      <c r="G959" s="30"/>
      <c r="H959" s="30"/>
      <c r="I959" s="30"/>
      <c r="J959" s="30"/>
      <c r="K959" s="30"/>
      <c r="L959" s="30"/>
      <c r="M959" s="30"/>
    </row>
    <row r="960" ht="15.75" customHeight="1">
      <c r="A960" s="30"/>
      <c r="B960" s="30"/>
      <c r="C960" s="82"/>
      <c r="D960" s="30"/>
      <c r="E960" s="30"/>
      <c r="F960" s="30"/>
      <c r="G960" s="30"/>
      <c r="H960" s="30"/>
      <c r="I960" s="30"/>
      <c r="J960" s="30"/>
      <c r="K960" s="30"/>
      <c r="L960" s="30"/>
      <c r="M960" s="30"/>
    </row>
    <row r="961" ht="15.75" customHeight="1">
      <c r="A961" s="30"/>
      <c r="B961" s="30"/>
      <c r="C961" s="82"/>
      <c r="D961" s="30"/>
      <c r="E961" s="30"/>
      <c r="F961" s="30"/>
      <c r="G961" s="30"/>
      <c r="H961" s="30"/>
      <c r="I961" s="30"/>
      <c r="J961" s="30"/>
      <c r="K961" s="30"/>
      <c r="L961" s="30"/>
      <c r="M961" s="30"/>
    </row>
    <row r="962" ht="15.75" customHeight="1">
      <c r="A962" s="30"/>
      <c r="B962" s="30"/>
      <c r="C962" s="82"/>
      <c r="D962" s="30"/>
      <c r="E962" s="30"/>
      <c r="F962" s="30"/>
      <c r="G962" s="30"/>
      <c r="H962" s="30"/>
      <c r="I962" s="30"/>
      <c r="J962" s="30"/>
      <c r="K962" s="30"/>
      <c r="L962" s="30"/>
      <c r="M962" s="30"/>
    </row>
    <row r="963" ht="15.75" customHeight="1">
      <c r="A963" s="30"/>
      <c r="B963" s="30"/>
      <c r="C963" s="82"/>
      <c r="D963" s="30"/>
      <c r="E963" s="30"/>
      <c r="F963" s="30"/>
      <c r="G963" s="30"/>
      <c r="H963" s="30"/>
      <c r="I963" s="30"/>
      <c r="J963" s="30"/>
      <c r="K963" s="30"/>
      <c r="L963" s="30"/>
      <c r="M963" s="30"/>
    </row>
    <row r="964" ht="15.75" customHeight="1">
      <c r="A964" s="30"/>
      <c r="B964" s="30"/>
      <c r="C964" s="82"/>
      <c r="D964" s="30"/>
      <c r="E964" s="30"/>
      <c r="F964" s="30"/>
      <c r="G964" s="30"/>
      <c r="H964" s="30"/>
      <c r="I964" s="30"/>
      <c r="J964" s="30"/>
      <c r="K964" s="30"/>
      <c r="L964" s="30"/>
      <c r="M964" s="30"/>
    </row>
    <row r="965" ht="15.75" customHeight="1">
      <c r="A965" s="30"/>
      <c r="B965" s="30"/>
      <c r="C965" s="82"/>
      <c r="D965" s="30"/>
      <c r="E965" s="30"/>
      <c r="F965" s="30"/>
      <c r="G965" s="30"/>
      <c r="H965" s="30"/>
      <c r="I965" s="30"/>
      <c r="J965" s="30"/>
      <c r="K965" s="30"/>
      <c r="L965" s="30"/>
      <c r="M965" s="30"/>
    </row>
    <row r="966" ht="15.75" customHeight="1">
      <c r="A966" s="30"/>
      <c r="B966" s="30"/>
      <c r="C966" s="82"/>
      <c r="D966" s="30"/>
      <c r="E966" s="30"/>
      <c r="F966" s="30"/>
      <c r="G966" s="30"/>
      <c r="H966" s="30"/>
      <c r="I966" s="30"/>
      <c r="J966" s="30"/>
      <c r="K966" s="30"/>
      <c r="L966" s="30"/>
      <c r="M966" s="30"/>
    </row>
    <row r="967" ht="15.75" customHeight="1">
      <c r="A967" s="30"/>
      <c r="B967" s="30"/>
      <c r="C967" s="82"/>
      <c r="D967" s="30"/>
      <c r="E967" s="30"/>
      <c r="F967" s="30"/>
      <c r="G967" s="30"/>
      <c r="H967" s="30"/>
      <c r="I967" s="30"/>
      <c r="J967" s="30"/>
      <c r="K967" s="30"/>
      <c r="L967" s="30"/>
      <c r="M967" s="30"/>
    </row>
    <row r="968" ht="15.75" customHeight="1">
      <c r="A968" s="30"/>
      <c r="B968" s="30"/>
      <c r="C968" s="82"/>
      <c r="D968" s="30"/>
      <c r="E968" s="30"/>
      <c r="F968" s="30"/>
      <c r="G968" s="30"/>
      <c r="H968" s="30"/>
      <c r="I968" s="30"/>
      <c r="J968" s="30"/>
      <c r="K968" s="30"/>
      <c r="L968" s="30"/>
      <c r="M968" s="30"/>
    </row>
    <row r="969" ht="15.75" customHeight="1">
      <c r="A969" s="30"/>
      <c r="B969" s="30"/>
      <c r="C969" s="82"/>
      <c r="D969" s="30"/>
      <c r="E969" s="30"/>
      <c r="F969" s="30"/>
      <c r="G969" s="30"/>
      <c r="H969" s="30"/>
      <c r="I969" s="30"/>
      <c r="J969" s="30"/>
      <c r="K969" s="30"/>
      <c r="L969" s="30"/>
      <c r="M969" s="30"/>
    </row>
    <row r="970" ht="15.75" customHeight="1">
      <c r="A970" s="30"/>
      <c r="B970" s="30"/>
      <c r="C970" s="82"/>
      <c r="D970" s="30"/>
      <c r="E970" s="30"/>
      <c r="F970" s="30"/>
      <c r="G970" s="30"/>
      <c r="H970" s="30"/>
      <c r="I970" s="30"/>
      <c r="J970" s="30"/>
      <c r="K970" s="30"/>
      <c r="L970" s="30"/>
      <c r="M970" s="30"/>
    </row>
    <row r="971" ht="15.75" customHeight="1">
      <c r="A971" s="30"/>
      <c r="B971" s="30"/>
      <c r="C971" s="82"/>
      <c r="D971" s="30"/>
      <c r="E971" s="30"/>
      <c r="F971" s="30"/>
      <c r="G971" s="30"/>
      <c r="H971" s="30"/>
      <c r="I971" s="30"/>
      <c r="J971" s="30"/>
      <c r="K971" s="30"/>
      <c r="L971" s="30"/>
      <c r="M971" s="30"/>
    </row>
    <row r="972" ht="15.75" customHeight="1">
      <c r="A972" s="30"/>
      <c r="B972" s="30"/>
      <c r="C972" s="82"/>
      <c r="D972" s="30"/>
      <c r="E972" s="30"/>
      <c r="F972" s="30"/>
      <c r="G972" s="30"/>
      <c r="H972" s="30"/>
      <c r="I972" s="30"/>
      <c r="J972" s="30"/>
      <c r="K972" s="30"/>
      <c r="L972" s="30"/>
      <c r="M972" s="30"/>
    </row>
    <row r="973" ht="15.75" customHeight="1">
      <c r="A973" s="30"/>
      <c r="B973" s="30"/>
      <c r="C973" s="82"/>
      <c r="D973" s="30"/>
      <c r="E973" s="30"/>
      <c r="F973" s="30"/>
      <c r="G973" s="30"/>
      <c r="H973" s="30"/>
      <c r="I973" s="30"/>
      <c r="J973" s="30"/>
      <c r="K973" s="30"/>
      <c r="L973" s="30"/>
      <c r="M973" s="30"/>
    </row>
    <row r="974" ht="15.75" customHeight="1">
      <c r="A974" s="30"/>
      <c r="B974" s="30"/>
      <c r="C974" s="82"/>
      <c r="D974" s="30"/>
      <c r="E974" s="30"/>
      <c r="F974" s="30"/>
      <c r="G974" s="30"/>
      <c r="H974" s="30"/>
      <c r="I974" s="30"/>
      <c r="J974" s="30"/>
      <c r="K974" s="30"/>
      <c r="L974" s="30"/>
      <c r="M974" s="30"/>
    </row>
    <row r="975" ht="15.75" customHeight="1">
      <c r="A975" s="30"/>
      <c r="B975" s="30"/>
      <c r="C975" s="82"/>
      <c r="D975" s="30"/>
      <c r="E975" s="30"/>
      <c r="F975" s="30"/>
      <c r="G975" s="30"/>
      <c r="H975" s="30"/>
      <c r="I975" s="30"/>
      <c r="J975" s="30"/>
      <c r="K975" s="30"/>
      <c r="L975" s="30"/>
      <c r="M975" s="30"/>
    </row>
    <row r="976" ht="15.75" customHeight="1">
      <c r="A976" s="30"/>
      <c r="B976" s="30"/>
      <c r="C976" s="82"/>
      <c r="D976" s="30"/>
      <c r="E976" s="30"/>
      <c r="F976" s="30"/>
      <c r="G976" s="30"/>
      <c r="H976" s="30"/>
      <c r="I976" s="30"/>
      <c r="J976" s="30"/>
      <c r="K976" s="30"/>
      <c r="L976" s="30"/>
      <c r="M976" s="30"/>
    </row>
    <row r="977" ht="15.75" customHeight="1">
      <c r="A977" s="30"/>
      <c r="B977" s="30"/>
      <c r="C977" s="82"/>
      <c r="D977" s="30"/>
      <c r="E977" s="30"/>
      <c r="F977" s="30"/>
      <c r="G977" s="30"/>
      <c r="H977" s="30"/>
      <c r="I977" s="30"/>
      <c r="J977" s="30"/>
      <c r="K977" s="30"/>
      <c r="L977" s="30"/>
      <c r="M977" s="30"/>
    </row>
    <row r="978" ht="15.75" customHeight="1">
      <c r="A978" s="30"/>
      <c r="B978" s="30"/>
      <c r="C978" s="82"/>
      <c r="D978" s="30"/>
      <c r="E978" s="30"/>
      <c r="F978" s="30"/>
      <c r="G978" s="30"/>
      <c r="H978" s="30"/>
      <c r="I978" s="30"/>
      <c r="J978" s="30"/>
      <c r="K978" s="30"/>
      <c r="L978" s="30"/>
      <c r="M978" s="30"/>
    </row>
    <row r="979" ht="15.75" customHeight="1">
      <c r="A979" s="30"/>
      <c r="B979" s="30"/>
      <c r="C979" s="82"/>
      <c r="D979" s="30"/>
      <c r="E979" s="30"/>
      <c r="F979" s="30"/>
      <c r="G979" s="30"/>
      <c r="H979" s="30"/>
      <c r="I979" s="30"/>
      <c r="J979" s="30"/>
      <c r="K979" s="30"/>
      <c r="L979" s="30"/>
      <c r="M979" s="30"/>
    </row>
    <row r="980" ht="15.75" customHeight="1">
      <c r="A980" s="30"/>
      <c r="B980" s="30"/>
      <c r="C980" s="82"/>
      <c r="D980" s="30"/>
      <c r="E980" s="30"/>
      <c r="F980" s="30"/>
      <c r="G980" s="30"/>
      <c r="H980" s="30"/>
      <c r="I980" s="30"/>
      <c r="J980" s="30"/>
      <c r="K980" s="30"/>
      <c r="L980" s="30"/>
      <c r="M980" s="30"/>
    </row>
    <row r="981" ht="15.75" customHeight="1">
      <c r="A981" s="30"/>
      <c r="B981" s="30"/>
      <c r="C981" s="82"/>
      <c r="D981" s="30"/>
      <c r="E981" s="30"/>
      <c r="F981" s="30"/>
      <c r="G981" s="30"/>
      <c r="H981" s="30"/>
      <c r="I981" s="30"/>
      <c r="J981" s="30"/>
      <c r="K981" s="30"/>
      <c r="L981" s="30"/>
      <c r="M981" s="30"/>
    </row>
    <row r="982" ht="15.75" customHeight="1">
      <c r="A982" s="30"/>
      <c r="B982" s="30"/>
      <c r="C982" s="82"/>
      <c r="D982" s="30"/>
      <c r="E982" s="30"/>
      <c r="F982" s="30"/>
      <c r="G982" s="30"/>
      <c r="H982" s="30"/>
      <c r="I982" s="30"/>
      <c r="J982" s="30"/>
      <c r="K982" s="30"/>
      <c r="L982" s="30"/>
      <c r="M982" s="30"/>
    </row>
    <row r="983" ht="15.75" customHeight="1">
      <c r="A983" s="30"/>
      <c r="B983" s="30"/>
      <c r="C983" s="82"/>
      <c r="D983" s="30"/>
      <c r="E983" s="30"/>
      <c r="F983" s="30"/>
      <c r="G983" s="30"/>
      <c r="H983" s="30"/>
      <c r="I983" s="30"/>
      <c r="J983" s="30"/>
      <c r="K983" s="30"/>
      <c r="L983" s="30"/>
      <c r="M983" s="30"/>
    </row>
    <row r="984" ht="15.75" customHeight="1">
      <c r="A984" s="30"/>
      <c r="B984" s="30"/>
      <c r="C984" s="82"/>
      <c r="D984" s="30"/>
      <c r="E984" s="30"/>
      <c r="F984" s="30"/>
      <c r="G984" s="30"/>
      <c r="H984" s="30"/>
      <c r="I984" s="30"/>
      <c r="J984" s="30"/>
      <c r="K984" s="30"/>
      <c r="L984" s="30"/>
      <c r="M984" s="30"/>
    </row>
    <row r="985" ht="15.75" customHeight="1">
      <c r="A985" s="30"/>
      <c r="B985" s="30"/>
      <c r="C985" s="82"/>
      <c r="D985" s="30"/>
      <c r="E985" s="30"/>
      <c r="F985" s="30"/>
      <c r="G985" s="30"/>
      <c r="H985" s="30"/>
      <c r="I985" s="30"/>
      <c r="J985" s="30"/>
      <c r="K985" s="30"/>
      <c r="L985" s="30"/>
      <c r="M985" s="30"/>
    </row>
    <row r="986" ht="15.75" customHeight="1">
      <c r="A986" s="30"/>
      <c r="B986" s="30"/>
      <c r="C986" s="82"/>
      <c r="D986" s="30"/>
      <c r="E986" s="30"/>
      <c r="F986" s="30"/>
      <c r="G986" s="30"/>
      <c r="H986" s="30"/>
      <c r="I986" s="30"/>
      <c r="J986" s="30"/>
      <c r="K986" s="30"/>
      <c r="L986" s="30"/>
      <c r="M986" s="30"/>
    </row>
    <row r="987" ht="15.75" customHeight="1">
      <c r="A987" s="30"/>
      <c r="B987" s="30"/>
      <c r="C987" s="82"/>
      <c r="D987" s="30"/>
      <c r="E987" s="30"/>
      <c r="F987" s="30"/>
      <c r="G987" s="30"/>
      <c r="H987" s="30"/>
      <c r="I987" s="30"/>
      <c r="J987" s="30"/>
      <c r="K987" s="30"/>
      <c r="L987" s="30"/>
      <c r="M987" s="30"/>
    </row>
    <row r="988" ht="15.75" customHeight="1">
      <c r="A988" s="30"/>
      <c r="B988" s="30"/>
      <c r="C988" s="82"/>
      <c r="D988" s="30"/>
      <c r="E988" s="30"/>
      <c r="F988" s="30"/>
      <c r="G988" s="30"/>
      <c r="H988" s="30"/>
      <c r="I988" s="30"/>
      <c r="J988" s="30"/>
      <c r="K988" s="30"/>
      <c r="L988" s="30"/>
      <c r="M988" s="30"/>
    </row>
    <row r="989" ht="15.75" customHeight="1">
      <c r="A989" s="30"/>
      <c r="B989" s="30"/>
      <c r="C989" s="82"/>
      <c r="D989" s="30"/>
      <c r="E989" s="30"/>
      <c r="F989" s="30"/>
      <c r="G989" s="30"/>
      <c r="H989" s="30"/>
      <c r="I989" s="30"/>
      <c r="J989" s="30"/>
      <c r="K989" s="30"/>
      <c r="L989" s="30"/>
      <c r="M989" s="30"/>
    </row>
    <row r="990" ht="15.75" customHeight="1">
      <c r="A990" s="30"/>
      <c r="B990" s="30"/>
      <c r="C990" s="82"/>
      <c r="D990" s="30"/>
      <c r="E990" s="30"/>
      <c r="F990" s="30"/>
      <c r="G990" s="30"/>
      <c r="H990" s="30"/>
      <c r="I990" s="30"/>
      <c r="J990" s="30"/>
      <c r="K990" s="30"/>
      <c r="L990" s="30"/>
      <c r="M990" s="30"/>
    </row>
    <row r="991" ht="15.75" customHeight="1">
      <c r="A991" s="30"/>
      <c r="B991" s="30"/>
      <c r="C991" s="82"/>
      <c r="D991" s="30"/>
      <c r="E991" s="30"/>
      <c r="F991" s="30"/>
      <c r="G991" s="30"/>
      <c r="H991" s="30"/>
      <c r="I991" s="30"/>
      <c r="J991" s="30"/>
      <c r="K991" s="30"/>
      <c r="L991" s="30"/>
      <c r="M991" s="30"/>
    </row>
    <row r="992" ht="15.75" customHeight="1">
      <c r="A992" s="30"/>
      <c r="B992" s="30"/>
      <c r="C992" s="82"/>
      <c r="D992" s="30"/>
      <c r="E992" s="30"/>
      <c r="F992" s="30"/>
      <c r="G992" s="30"/>
      <c r="H992" s="30"/>
      <c r="I992" s="30"/>
      <c r="J992" s="30"/>
      <c r="K992" s="30"/>
      <c r="L992" s="30"/>
      <c r="M992" s="30"/>
    </row>
    <row r="993" ht="15.75" customHeight="1">
      <c r="A993" s="30"/>
      <c r="B993" s="30"/>
      <c r="C993" s="82"/>
      <c r="D993" s="30"/>
      <c r="E993" s="30"/>
      <c r="F993" s="30"/>
      <c r="G993" s="30"/>
      <c r="H993" s="30"/>
      <c r="I993" s="30"/>
      <c r="J993" s="30"/>
      <c r="K993" s="30"/>
      <c r="L993" s="30"/>
      <c r="M993" s="30"/>
    </row>
    <row r="994" ht="15.75" customHeight="1">
      <c r="A994" s="30"/>
      <c r="B994" s="30"/>
      <c r="C994" s="82"/>
      <c r="D994" s="30"/>
      <c r="E994" s="30"/>
      <c r="F994" s="30"/>
      <c r="G994" s="30"/>
      <c r="H994" s="30"/>
      <c r="I994" s="30"/>
      <c r="J994" s="30"/>
      <c r="K994" s="30"/>
      <c r="L994" s="30"/>
      <c r="M994" s="30"/>
    </row>
    <row r="995" ht="15.75" customHeight="1">
      <c r="A995" s="30"/>
      <c r="B995" s="30"/>
      <c r="C995" s="82"/>
      <c r="D995" s="30"/>
      <c r="E995" s="30"/>
      <c r="F995" s="30"/>
      <c r="G995" s="30"/>
      <c r="H995" s="30"/>
      <c r="I995" s="30"/>
      <c r="J995" s="30"/>
      <c r="K995" s="30"/>
      <c r="L995" s="30"/>
      <c r="M995" s="30"/>
    </row>
    <row r="996" ht="15.75" customHeight="1">
      <c r="A996" s="30"/>
      <c r="B996" s="30"/>
      <c r="C996" s="82"/>
      <c r="D996" s="30"/>
      <c r="E996" s="30"/>
      <c r="F996" s="30"/>
      <c r="G996" s="30"/>
      <c r="H996" s="30"/>
      <c r="I996" s="30"/>
      <c r="J996" s="30"/>
      <c r="K996" s="30"/>
      <c r="L996" s="30"/>
      <c r="M996" s="30"/>
    </row>
    <row r="997" ht="15.75" customHeight="1">
      <c r="A997" s="30"/>
      <c r="B997" s="30"/>
      <c r="C997" s="82"/>
      <c r="D997" s="30"/>
      <c r="E997" s="30"/>
      <c r="F997" s="30"/>
      <c r="G997" s="30"/>
      <c r="H997" s="30"/>
      <c r="I997" s="30"/>
      <c r="J997" s="30"/>
      <c r="K997" s="30"/>
      <c r="L997" s="30"/>
      <c r="M997" s="30"/>
    </row>
    <row r="998" ht="15.75" customHeight="1">
      <c r="A998" s="30"/>
      <c r="B998" s="30"/>
      <c r="C998" s="82"/>
      <c r="D998" s="30"/>
      <c r="E998" s="30"/>
      <c r="F998" s="30"/>
      <c r="G998" s="30"/>
      <c r="H998" s="30"/>
      <c r="I998" s="30"/>
      <c r="J998" s="30"/>
      <c r="K998" s="30"/>
      <c r="L998" s="30"/>
      <c r="M998" s="30"/>
    </row>
    <row r="999" ht="15.75" customHeight="1">
      <c r="A999" s="30"/>
      <c r="B999" s="30"/>
      <c r="C999" s="82"/>
      <c r="D999" s="30"/>
      <c r="E999" s="30"/>
      <c r="F999" s="30"/>
      <c r="G999" s="30"/>
      <c r="H999" s="30"/>
      <c r="I999" s="30"/>
      <c r="J999" s="30"/>
      <c r="K999" s="30"/>
      <c r="L999" s="30"/>
      <c r="M999" s="30"/>
    </row>
    <row r="1000" ht="15.75" customHeight="1">
      <c r="A1000" s="30"/>
      <c r="B1000" s="30"/>
      <c r="C1000" s="82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</row>
  </sheetData>
  <mergeCells count="2">
    <mergeCell ref="A1:M1"/>
    <mergeCell ref="A2:M2"/>
  </mergeCells>
  <conditionalFormatting sqref="K4:K203">
    <cfRule type="expression" dxfId="0" priority="1">
      <formula>K4="✓ BAGUS"</formula>
    </cfRule>
  </conditionalFormatting>
  <conditionalFormatting sqref="K4:K203">
    <cfRule type="expression" dxfId="2" priority="2">
      <formula>K4="⚠ PERHATIAN"</formula>
    </cfRule>
  </conditionalFormatting>
  <conditionalFormatting sqref="K4:K203">
    <cfRule type="expression" dxfId="3" priority="3">
      <formula>K4="🚨 ESKALASI"</formula>
    </cfRule>
  </conditionalFormatting>
  <conditionalFormatting sqref="M4:M203">
    <cfRule type="expression" dxfId="3" priority="4">
      <formula>AND(ISNUMBER(M4),M4&lt;0)</formula>
    </cfRule>
  </conditionalFormatting>
  <dataValidations>
    <dataValidation type="list" allowBlank="1" showInputMessage="1" showErrorMessage="1" prompt="Input Tidak Valid - Pilih dari daftar yang tersedia" sqref="B3:B202">
      <formula1>PRODUK!$A$4:$A$52</formula1>
    </dataValidation>
    <dataValidation type="date" operator="greaterThan" allowBlank="1" showInputMessage="1" showErrorMessage="1" prompt="Tanggal Tidak Valid - Masukkan tanggal yang valid (format: YYYY-MM-DD)" sqref="F3:G202">
      <formula1>"2020-01-01"</formula1>
    </dataValidation>
    <dataValidation type="list" allowBlank="1" showInputMessage="1" showErrorMessage="1" prompt="Input Tidak Valid - Status: Planning, Produksi, Sample, Selesai, Hold, atau Cancel" sqref="H3:H202">
      <formula1>"Planning,Produksi,Sample,Selesai,Hold,Cancel"</formula1>
    </dataValidation>
    <dataValidation type="decimal" allowBlank="1" showInputMessage="1" showErrorMessage="1" prompt="Angka Tidak Valid - QTY / Tanggal tidak valid" sqref="D3:E202">
      <formula1>0.0</formula1>
      <formula2>100000.0</formula2>
    </dataValidation>
    <dataValidation type="decimal" allowBlank="1" showInputMessage="1" showErrorMessage="1" prompt="Angka Tidak Valid - Reject total tidak valid (0 - 100.000)" sqref="I3:I202">
      <formula1>0.0</formula1>
      <formula2>100000.0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8F77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0.14"/>
    <col customWidth="1" min="4" max="4" width="22.0"/>
    <col customWidth="1" min="5" max="5" width="18.71"/>
    <col customWidth="1" min="6" max="6" width="21.0"/>
    <col customWidth="1" min="7" max="7" width="24.57"/>
    <col customWidth="1" min="8" max="9" width="20.0"/>
    <col customWidth="1" min="10" max="10" width="20.86"/>
    <col customWidth="1" min="11" max="11" width="15.86"/>
    <col customWidth="1" min="12" max="22" width="8.71"/>
  </cols>
  <sheetData>
    <row r="1" ht="36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5" t="s">
        <v>406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A3" s="132" t="s">
        <v>407</v>
      </c>
      <c r="B3" s="72" t="s">
        <v>144</v>
      </c>
      <c r="C3" s="72" t="s">
        <v>166</v>
      </c>
      <c r="D3" s="112" t="s">
        <v>167</v>
      </c>
      <c r="E3" s="72" t="s">
        <v>408</v>
      </c>
      <c r="F3" s="115" t="s">
        <v>171</v>
      </c>
      <c r="G3" s="114" t="s">
        <v>409</v>
      </c>
      <c r="H3" s="114" t="s">
        <v>358</v>
      </c>
      <c r="I3" s="114" t="s">
        <v>410</v>
      </c>
      <c r="J3" s="114" t="s">
        <v>411</v>
      </c>
      <c r="K3" s="133" t="s">
        <v>150</v>
      </c>
    </row>
    <row r="4" ht="18.0" customHeight="1">
      <c r="A4" s="134" t="s">
        <v>394</v>
      </c>
      <c r="B4" s="77" t="s">
        <v>364</v>
      </c>
      <c r="C4" s="77" t="s">
        <v>186</v>
      </c>
      <c r="D4" s="135" t="str">
        <f t="array" ref="D4">IFERROR(IF(C4="","",INDEX(PRODUK!$B:$B,MATCH(C4,PRODUK!$A:$A,0))),"")</f>
        <v>Tunik Casual Linen</v>
      </c>
      <c r="E4" s="117">
        <v>120.0</v>
      </c>
      <c r="F4" s="119">
        <f t="array" ref="F4">IFERROR(IF(C4="",0,INDEX(PRODUK!$F:$F,MATCH(C4,PRODUK!$A:$A,0))),0)</f>
        <v>225000</v>
      </c>
      <c r="G4" s="118">
        <f t="shared" ref="G4:G1003" si="1">IFERROR(IF(OR(B4="",E4=0),0,E4*F4),0)</f>
        <v>27000000</v>
      </c>
      <c r="H4" s="118">
        <f t="array" ref="H4">IFERROR(IF(B4="",0,INDEX(HPP_ENGINE!$J:$J,MATCH(B4,HPP_ENGINE!$A:$A,0))),0)</f>
        <v>124150</v>
      </c>
      <c r="I4" s="118">
        <f t="shared" ref="I4:I1003" si="2">IFERROR(IF(OR(B4="",E4=0),0,E4*H4),0)</f>
        <v>14898000</v>
      </c>
      <c r="J4" s="118">
        <f t="shared" ref="J4:J1003" si="3">IFERROR(IF(B4="",0,G4-I4),0)</f>
        <v>12102000</v>
      </c>
      <c r="K4" s="136">
        <f t="shared" ref="K4:K1003" si="4">IFERROR(IF(OR(B4="",G4=0),0,J4/G4),0)</f>
        <v>0.4482222222</v>
      </c>
    </row>
    <row r="5" ht="18.0" customHeight="1">
      <c r="A5" s="132" t="s">
        <v>412</v>
      </c>
      <c r="B5" s="72" t="s">
        <v>361</v>
      </c>
      <c r="C5" s="72" t="s">
        <v>174</v>
      </c>
      <c r="D5" s="137" t="str">
        <f t="array" ref="D5">IFERROR(IF(C5="","",INDEX(PRODUK!$B:$B,MATCH(C5,PRODUK!$A:$A,0))),"")</f>
        <v>Abaya Premium Linen</v>
      </c>
      <c r="E5" s="113">
        <v>80.0</v>
      </c>
      <c r="F5" s="115">
        <f t="array" ref="F5">IFERROR(IF(C5="",0,INDEX(PRODUK!$F:$F,MATCH(C5,PRODUK!$A:$A,0))),0)</f>
        <v>350000</v>
      </c>
      <c r="G5" s="114">
        <f t="shared" si="1"/>
        <v>28000000</v>
      </c>
      <c r="H5" s="114">
        <f t="array" ref="H5">IFERROR(IF(B5="",0,INDEX(HPP_ENGINE!$J:$J,MATCH(B5,HPP_ENGINE!$A:$A,0))),0)</f>
        <v>194277.027</v>
      </c>
      <c r="I5" s="114">
        <f t="shared" si="2"/>
        <v>15542162.16</v>
      </c>
      <c r="J5" s="114">
        <f t="shared" si="3"/>
        <v>12457837.84</v>
      </c>
      <c r="K5" s="133">
        <f t="shared" si="4"/>
        <v>0.4449227799</v>
      </c>
    </row>
    <row r="6" ht="18.0" customHeight="1">
      <c r="A6" s="134" t="s">
        <v>413</v>
      </c>
      <c r="B6" s="77" t="s">
        <v>361</v>
      </c>
      <c r="C6" s="77" t="s">
        <v>174</v>
      </c>
      <c r="D6" s="135" t="str">
        <f t="array" ref="D6">IFERROR(IF(C6="","",INDEX(PRODUK!$B:$B,MATCH(C6,PRODUK!$A:$A,0))),"")</f>
        <v>Abaya Premium Linen</v>
      </c>
      <c r="E6" s="117">
        <v>68.0</v>
      </c>
      <c r="F6" s="119">
        <f t="array" ref="F6">IFERROR(IF(C6="",0,INDEX(PRODUK!$F:$F,MATCH(C6,PRODUK!$A:$A,0))),0)</f>
        <v>350000</v>
      </c>
      <c r="G6" s="118">
        <f t="shared" si="1"/>
        <v>23800000</v>
      </c>
      <c r="H6" s="118">
        <f t="array" ref="H6">IFERROR(IF(B6="",0,INDEX(HPP_ENGINE!$J:$J,MATCH(B6,HPP_ENGINE!$A:$A,0))),0)</f>
        <v>194277.027</v>
      </c>
      <c r="I6" s="118">
        <f t="shared" si="2"/>
        <v>13210837.84</v>
      </c>
      <c r="J6" s="118">
        <f t="shared" si="3"/>
        <v>10589162.16</v>
      </c>
      <c r="K6" s="136">
        <f t="shared" si="4"/>
        <v>0.4449227799</v>
      </c>
    </row>
    <row r="7" ht="18.0" customHeight="1">
      <c r="A7" s="132" t="s">
        <v>414</v>
      </c>
      <c r="B7" s="72" t="s">
        <v>366</v>
      </c>
      <c r="C7" s="72" t="s">
        <v>174</v>
      </c>
      <c r="D7" s="137" t="str">
        <f t="array" ref="D7">IFERROR(IF(C7="","",INDEX(PRODUK!$B:$B,MATCH(C7,PRODUK!$A:$A,0))),"")</f>
        <v>Abaya Premium Linen</v>
      </c>
      <c r="E7" s="113">
        <v>100.0</v>
      </c>
      <c r="F7" s="115">
        <f t="array" ref="F7">IFERROR(IF(C7="",0,INDEX(PRODUK!$F:$F,MATCH(C7,PRODUK!$A:$A,0))),0)</f>
        <v>350000</v>
      </c>
      <c r="G7" s="114">
        <f t="shared" si="1"/>
        <v>35000000</v>
      </c>
      <c r="H7" s="114">
        <f t="array" ref="H7">IFERROR(IF(B7="",0,INDEX(HPP_ENGINE!$J:$J,MATCH(B7,HPP_ENGINE!$A:$A,0))),0)</f>
        <v>198812.5</v>
      </c>
      <c r="I7" s="114">
        <f t="shared" si="2"/>
        <v>19881250</v>
      </c>
      <c r="J7" s="114">
        <f t="shared" si="3"/>
        <v>15118750</v>
      </c>
      <c r="K7" s="133">
        <f t="shared" si="4"/>
        <v>0.4319642857</v>
      </c>
    </row>
    <row r="8" ht="18.0" customHeight="1">
      <c r="A8" s="134"/>
      <c r="B8" s="77"/>
      <c r="C8" s="77"/>
      <c r="D8" s="135" t="str">
        <f t="array" ref="D8">IFERROR(IF(C8="","",INDEX(PRODUK!$B:$B,MATCH(C8,PRODUK!$A:$A,0))),"")</f>
        <v/>
      </c>
      <c r="E8" s="117"/>
      <c r="F8" s="119">
        <f t="array" ref="F8">IFERROR(IF(C8="",0,INDEX(PRODUK!$F:$F,MATCH(C8,PRODUK!$A:$A,0))),0)</f>
        <v>0</v>
      </c>
      <c r="G8" s="118">
        <f t="shared" si="1"/>
        <v>0</v>
      </c>
      <c r="H8" s="118">
        <f t="array" ref="H8">IFERROR(IF(B8="",0,INDEX(HPP_ENGINE!$J:$J,MATCH(B8,HPP_ENGINE!$A:$A,0))),0)</f>
        <v>0</v>
      </c>
      <c r="I8" s="118">
        <f t="shared" si="2"/>
        <v>0</v>
      </c>
      <c r="J8" s="118">
        <f t="shared" si="3"/>
        <v>0</v>
      </c>
      <c r="K8" s="136">
        <f t="shared" si="4"/>
        <v>0</v>
      </c>
    </row>
    <row r="9" ht="18.0" customHeight="1">
      <c r="A9" s="132"/>
      <c r="B9" s="72"/>
      <c r="C9" s="72"/>
      <c r="D9" s="137" t="str">
        <f t="array" ref="D9">IFERROR(IF(C9="","",INDEX(PRODUK!$B:$B,MATCH(C9,PRODUK!$A:$A,0))),"")</f>
        <v/>
      </c>
      <c r="E9" s="113"/>
      <c r="F9" s="115">
        <f t="array" ref="F9">IFERROR(IF(C9="",0,INDEX(PRODUK!$F:$F,MATCH(C9,PRODUK!$A:$A,0))),0)</f>
        <v>0</v>
      </c>
      <c r="G9" s="114">
        <f t="shared" si="1"/>
        <v>0</v>
      </c>
      <c r="H9" s="114">
        <f t="array" ref="H9">IFERROR(IF(B9="",0,INDEX(HPP_ENGINE!$J:$J,MATCH(B9,HPP_ENGINE!$A:$A,0))),0)</f>
        <v>0</v>
      </c>
      <c r="I9" s="114">
        <f t="shared" si="2"/>
        <v>0</v>
      </c>
      <c r="J9" s="114">
        <f t="shared" si="3"/>
        <v>0</v>
      </c>
      <c r="K9" s="133">
        <f t="shared" si="4"/>
        <v>0</v>
      </c>
    </row>
    <row r="10" ht="18.0" customHeight="1">
      <c r="A10" s="134"/>
      <c r="B10" s="77"/>
      <c r="C10" s="77"/>
      <c r="D10" s="135" t="str">
        <f t="array" ref="D10">IFERROR(IF(C10="","",INDEX(PRODUK!$B:$B,MATCH(C10,PRODUK!$A:$A,0))),"")</f>
        <v/>
      </c>
      <c r="E10" s="117"/>
      <c r="F10" s="119">
        <f t="array" ref="F10">IFERROR(IF(C10="",0,INDEX(PRODUK!$F:$F,MATCH(C10,PRODUK!$A:$A,0))),0)</f>
        <v>0</v>
      </c>
      <c r="G10" s="118">
        <f t="shared" si="1"/>
        <v>0</v>
      </c>
      <c r="H10" s="118">
        <f t="array" ref="H10">IFERROR(IF(B10="",0,INDEX(HPP_ENGINE!$J:$J,MATCH(B10,HPP_ENGINE!$A:$A,0))),0)</f>
        <v>0</v>
      </c>
      <c r="I10" s="118">
        <f t="shared" si="2"/>
        <v>0</v>
      </c>
      <c r="J10" s="118">
        <f t="shared" si="3"/>
        <v>0</v>
      </c>
      <c r="K10" s="136">
        <f t="shared" si="4"/>
        <v>0</v>
      </c>
    </row>
    <row r="11" ht="18.0" customHeight="1">
      <c r="A11" s="132"/>
      <c r="B11" s="72"/>
      <c r="C11" s="72"/>
      <c r="D11" s="137" t="str">
        <f t="array" ref="D11">IFERROR(IF(C11="","",INDEX(PRODUK!$B:$B,MATCH(C11,PRODUK!$A:$A,0))),"")</f>
        <v/>
      </c>
      <c r="E11" s="113"/>
      <c r="F11" s="115">
        <f t="array" ref="F11">IFERROR(IF(C11="",0,INDEX(PRODUK!$F:$F,MATCH(C11,PRODUK!$A:$A,0))),0)</f>
        <v>0</v>
      </c>
      <c r="G11" s="114">
        <f t="shared" si="1"/>
        <v>0</v>
      </c>
      <c r="H11" s="114">
        <f t="array" ref="H11">IFERROR(IF(B11="",0,INDEX(HPP_ENGINE!$J:$J,MATCH(B11,HPP_ENGINE!$A:$A,0))),0)</f>
        <v>0</v>
      </c>
      <c r="I11" s="114">
        <f t="shared" si="2"/>
        <v>0</v>
      </c>
      <c r="J11" s="114">
        <f t="shared" si="3"/>
        <v>0</v>
      </c>
      <c r="K11" s="133">
        <f t="shared" si="4"/>
        <v>0</v>
      </c>
    </row>
    <row r="12" ht="18.0" customHeight="1">
      <c r="A12" s="134"/>
      <c r="B12" s="77"/>
      <c r="C12" s="77"/>
      <c r="D12" s="135" t="str">
        <f t="array" ref="D12">IFERROR(IF(C12="","",INDEX(PRODUK!$B:$B,MATCH(C12,PRODUK!$A:$A,0))),"")</f>
        <v/>
      </c>
      <c r="E12" s="117"/>
      <c r="F12" s="119">
        <f t="array" ref="F12">IFERROR(IF(C12="",0,INDEX(PRODUK!$F:$F,MATCH(C12,PRODUK!$A:$A,0))),0)</f>
        <v>0</v>
      </c>
      <c r="G12" s="118">
        <f t="shared" si="1"/>
        <v>0</v>
      </c>
      <c r="H12" s="118">
        <f t="array" ref="H12">IFERROR(IF(B12="",0,INDEX(HPP_ENGINE!$J:$J,MATCH(B12,HPP_ENGINE!$A:$A,0))),0)</f>
        <v>0</v>
      </c>
      <c r="I12" s="118">
        <f t="shared" si="2"/>
        <v>0</v>
      </c>
      <c r="J12" s="118">
        <f t="shared" si="3"/>
        <v>0</v>
      </c>
      <c r="K12" s="136">
        <f t="shared" si="4"/>
        <v>0</v>
      </c>
    </row>
    <row r="13" ht="18.0" customHeight="1">
      <c r="A13" s="132"/>
      <c r="B13" s="72"/>
      <c r="C13" s="72"/>
      <c r="D13" s="137" t="str">
        <f t="array" ref="D13">IFERROR(IF(C13="","",INDEX(PRODUK!$B:$B,MATCH(C13,PRODUK!$A:$A,0))),"")</f>
        <v/>
      </c>
      <c r="E13" s="113"/>
      <c r="F13" s="115">
        <f t="array" ref="F13">IFERROR(IF(C13="",0,INDEX(PRODUK!$F:$F,MATCH(C13,PRODUK!$A:$A,0))),0)</f>
        <v>0</v>
      </c>
      <c r="G13" s="114">
        <f t="shared" si="1"/>
        <v>0</v>
      </c>
      <c r="H13" s="114">
        <f t="array" ref="H13">IFERROR(IF(B13="",0,INDEX(HPP_ENGINE!$J:$J,MATCH(B13,HPP_ENGINE!$A:$A,0))),0)</f>
        <v>0</v>
      </c>
      <c r="I13" s="114">
        <f t="shared" si="2"/>
        <v>0</v>
      </c>
      <c r="J13" s="114">
        <f t="shared" si="3"/>
        <v>0</v>
      </c>
      <c r="K13" s="133">
        <f t="shared" si="4"/>
        <v>0</v>
      </c>
    </row>
    <row r="14" ht="18.0" customHeight="1">
      <c r="A14" s="134"/>
      <c r="B14" s="77"/>
      <c r="C14" s="77"/>
      <c r="D14" s="135" t="str">
        <f t="array" ref="D14">IFERROR(IF(C14="","",INDEX(PRODUK!$B:$B,MATCH(C14,PRODUK!$A:$A,0))),"")</f>
        <v/>
      </c>
      <c r="E14" s="117"/>
      <c r="F14" s="119">
        <f t="array" ref="F14">IFERROR(IF(C14="",0,INDEX(PRODUK!$F:$F,MATCH(C14,PRODUK!$A:$A,0))),0)</f>
        <v>0</v>
      </c>
      <c r="G14" s="118">
        <f t="shared" si="1"/>
        <v>0</v>
      </c>
      <c r="H14" s="118">
        <f t="array" ref="H14">IFERROR(IF(B14="",0,INDEX(HPP_ENGINE!$J:$J,MATCH(B14,HPP_ENGINE!$A:$A,0))),0)</f>
        <v>0</v>
      </c>
      <c r="I14" s="118">
        <f t="shared" si="2"/>
        <v>0</v>
      </c>
      <c r="J14" s="118">
        <f t="shared" si="3"/>
        <v>0</v>
      </c>
      <c r="K14" s="136">
        <f t="shared" si="4"/>
        <v>0</v>
      </c>
    </row>
    <row r="15" ht="18.0" customHeight="1">
      <c r="A15" s="132"/>
      <c r="B15" s="72"/>
      <c r="C15" s="72"/>
      <c r="D15" s="137" t="str">
        <f t="array" ref="D15">IFERROR(IF(C15="","",INDEX(PRODUK!$B:$B,MATCH(C15,PRODUK!$A:$A,0))),"")</f>
        <v/>
      </c>
      <c r="E15" s="113"/>
      <c r="F15" s="115">
        <f t="array" ref="F15">IFERROR(IF(C15="",0,INDEX(PRODUK!$F:$F,MATCH(C15,PRODUK!$A:$A,0))),0)</f>
        <v>0</v>
      </c>
      <c r="G15" s="114">
        <f t="shared" si="1"/>
        <v>0</v>
      </c>
      <c r="H15" s="114">
        <f t="array" ref="H15">IFERROR(IF(B15="",0,INDEX(HPP_ENGINE!$J:$J,MATCH(B15,HPP_ENGINE!$A:$A,0))),0)</f>
        <v>0</v>
      </c>
      <c r="I15" s="114">
        <f t="shared" si="2"/>
        <v>0</v>
      </c>
      <c r="J15" s="114">
        <f t="shared" si="3"/>
        <v>0</v>
      </c>
      <c r="K15" s="133">
        <f t="shared" si="4"/>
        <v>0</v>
      </c>
    </row>
    <row r="16" ht="18.0" customHeight="1">
      <c r="A16" s="134"/>
      <c r="B16" s="77"/>
      <c r="C16" s="77"/>
      <c r="D16" s="135" t="str">
        <f t="array" ref="D16">IFERROR(IF(C16="","",INDEX(PRODUK!$B:$B,MATCH(C16,PRODUK!$A:$A,0))),"")</f>
        <v/>
      </c>
      <c r="E16" s="117"/>
      <c r="F16" s="119">
        <f t="array" ref="F16">IFERROR(IF(C16="",0,INDEX(PRODUK!$F:$F,MATCH(C16,PRODUK!$A:$A,0))),0)</f>
        <v>0</v>
      </c>
      <c r="G16" s="118">
        <f t="shared" si="1"/>
        <v>0</v>
      </c>
      <c r="H16" s="118">
        <f t="array" ref="H16">IFERROR(IF(B16="",0,INDEX(HPP_ENGINE!$J:$J,MATCH(B16,HPP_ENGINE!$A:$A,0))),0)</f>
        <v>0</v>
      </c>
      <c r="I16" s="118">
        <f t="shared" si="2"/>
        <v>0</v>
      </c>
      <c r="J16" s="118">
        <f t="shared" si="3"/>
        <v>0</v>
      </c>
      <c r="K16" s="136">
        <f t="shared" si="4"/>
        <v>0</v>
      </c>
    </row>
    <row r="17" ht="18.0" customHeight="1">
      <c r="A17" s="132"/>
      <c r="B17" s="72"/>
      <c r="C17" s="72"/>
      <c r="D17" s="137" t="str">
        <f t="array" ref="D17">IFERROR(IF(C17="","",INDEX(PRODUK!$B:$B,MATCH(C17,PRODUK!$A:$A,0))),"")</f>
        <v/>
      </c>
      <c r="E17" s="113"/>
      <c r="F17" s="115">
        <f t="array" ref="F17">IFERROR(IF(C17="",0,INDEX(PRODUK!$F:$F,MATCH(C17,PRODUK!$A:$A,0))),0)</f>
        <v>0</v>
      </c>
      <c r="G17" s="114">
        <f t="shared" si="1"/>
        <v>0</v>
      </c>
      <c r="H17" s="114">
        <f t="array" ref="H17">IFERROR(IF(B17="",0,INDEX(HPP_ENGINE!$J:$J,MATCH(B17,HPP_ENGINE!$A:$A,0))),0)</f>
        <v>0</v>
      </c>
      <c r="I17" s="114">
        <f t="shared" si="2"/>
        <v>0</v>
      </c>
      <c r="J17" s="114">
        <f t="shared" si="3"/>
        <v>0</v>
      </c>
      <c r="K17" s="133">
        <f t="shared" si="4"/>
        <v>0</v>
      </c>
    </row>
    <row r="18" ht="18.0" customHeight="1">
      <c r="A18" s="134"/>
      <c r="B18" s="77"/>
      <c r="C18" s="77"/>
      <c r="D18" s="135" t="str">
        <f t="array" ref="D18">IFERROR(IF(C18="","",INDEX(PRODUK!$B:$B,MATCH(C18,PRODUK!$A:$A,0))),"")</f>
        <v/>
      </c>
      <c r="E18" s="117"/>
      <c r="F18" s="119">
        <f t="array" ref="F18">IFERROR(IF(C18="",0,INDEX(PRODUK!$F:$F,MATCH(C18,PRODUK!$A:$A,0))),0)</f>
        <v>0</v>
      </c>
      <c r="G18" s="118">
        <f t="shared" si="1"/>
        <v>0</v>
      </c>
      <c r="H18" s="118">
        <f t="array" ref="H18">IFERROR(IF(B18="",0,INDEX(HPP_ENGINE!$J:$J,MATCH(B18,HPP_ENGINE!$A:$A,0))),0)</f>
        <v>0</v>
      </c>
      <c r="I18" s="118">
        <f t="shared" si="2"/>
        <v>0</v>
      </c>
      <c r="J18" s="118">
        <f t="shared" si="3"/>
        <v>0</v>
      </c>
      <c r="K18" s="136">
        <f t="shared" si="4"/>
        <v>0</v>
      </c>
    </row>
    <row r="19" ht="18.0" customHeight="1">
      <c r="A19" s="132"/>
      <c r="B19" s="72"/>
      <c r="C19" s="72"/>
      <c r="D19" s="137" t="str">
        <f t="array" ref="D19">IFERROR(IF(C19="","",INDEX(PRODUK!$B:$B,MATCH(C19,PRODUK!$A:$A,0))),"")</f>
        <v/>
      </c>
      <c r="E19" s="113"/>
      <c r="F19" s="115">
        <f t="array" ref="F19">IFERROR(IF(C19="",0,INDEX(PRODUK!$F:$F,MATCH(C19,PRODUK!$A:$A,0))),0)</f>
        <v>0</v>
      </c>
      <c r="G19" s="114">
        <f t="shared" si="1"/>
        <v>0</v>
      </c>
      <c r="H19" s="114">
        <f t="array" ref="H19">IFERROR(IF(B19="",0,INDEX(HPP_ENGINE!$J:$J,MATCH(B19,HPP_ENGINE!$A:$A,0))),0)</f>
        <v>0</v>
      </c>
      <c r="I19" s="114">
        <f t="shared" si="2"/>
        <v>0</v>
      </c>
      <c r="J19" s="114">
        <f t="shared" si="3"/>
        <v>0</v>
      </c>
      <c r="K19" s="133">
        <f t="shared" si="4"/>
        <v>0</v>
      </c>
    </row>
    <row r="20" ht="18.0" customHeight="1">
      <c r="A20" s="134"/>
      <c r="B20" s="77"/>
      <c r="C20" s="77"/>
      <c r="D20" s="135" t="str">
        <f t="array" ref="D20">IFERROR(IF(C20="","",INDEX(PRODUK!$B:$B,MATCH(C20,PRODUK!$A:$A,0))),"")</f>
        <v/>
      </c>
      <c r="E20" s="117"/>
      <c r="F20" s="119">
        <f t="array" ref="F20">IFERROR(IF(C20="",0,INDEX(PRODUK!$F:$F,MATCH(C20,PRODUK!$A:$A,0))),0)</f>
        <v>0</v>
      </c>
      <c r="G20" s="118">
        <f t="shared" si="1"/>
        <v>0</v>
      </c>
      <c r="H20" s="118">
        <f t="array" ref="H20">IFERROR(IF(B20="",0,INDEX(HPP_ENGINE!$J:$J,MATCH(B20,HPP_ENGINE!$A:$A,0))),0)</f>
        <v>0</v>
      </c>
      <c r="I20" s="118">
        <f t="shared" si="2"/>
        <v>0</v>
      </c>
      <c r="J20" s="118">
        <f t="shared" si="3"/>
        <v>0</v>
      </c>
      <c r="K20" s="136">
        <f t="shared" si="4"/>
        <v>0</v>
      </c>
    </row>
    <row r="21" ht="18.0" customHeight="1">
      <c r="A21" s="132"/>
      <c r="B21" s="72"/>
      <c r="C21" s="72"/>
      <c r="D21" s="137" t="str">
        <f t="array" ref="D21">IFERROR(IF(C21="","",INDEX(PRODUK!$B:$B,MATCH(C21,PRODUK!$A:$A,0))),"")</f>
        <v/>
      </c>
      <c r="E21" s="113"/>
      <c r="F21" s="115">
        <f t="array" ref="F21">IFERROR(IF(C21="",0,INDEX(PRODUK!$F:$F,MATCH(C21,PRODUK!$A:$A,0))),0)</f>
        <v>0</v>
      </c>
      <c r="G21" s="114">
        <f t="shared" si="1"/>
        <v>0</v>
      </c>
      <c r="H21" s="114">
        <f t="array" ref="H21">IFERROR(IF(B21="",0,INDEX(HPP_ENGINE!$J:$J,MATCH(B21,HPP_ENGINE!$A:$A,0))),0)</f>
        <v>0</v>
      </c>
      <c r="I21" s="114">
        <f t="shared" si="2"/>
        <v>0</v>
      </c>
      <c r="J21" s="114">
        <f t="shared" si="3"/>
        <v>0</v>
      </c>
      <c r="K21" s="133">
        <f t="shared" si="4"/>
        <v>0</v>
      </c>
    </row>
    <row r="22" ht="18.0" customHeight="1">
      <c r="A22" s="134"/>
      <c r="B22" s="77"/>
      <c r="C22" s="77"/>
      <c r="D22" s="135" t="str">
        <f t="array" ref="D22">IFERROR(IF(C22="","",INDEX(PRODUK!$B:$B,MATCH(C22,PRODUK!$A:$A,0))),"")</f>
        <v/>
      </c>
      <c r="E22" s="117"/>
      <c r="F22" s="119">
        <f t="array" ref="F22">IFERROR(IF(C22="",0,INDEX(PRODUK!$F:$F,MATCH(C22,PRODUK!$A:$A,0))),0)</f>
        <v>0</v>
      </c>
      <c r="G22" s="118">
        <f t="shared" si="1"/>
        <v>0</v>
      </c>
      <c r="H22" s="118">
        <f t="array" ref="H22">IFERROR(IF(B22="",0,INDEX(HPP_ENGINE!$J:$J,MATCH(B22,HPP_ENGINE!$A:$A,0))),0)</f>
        <v>0</v>
      </c>
      <c r="I22" s="118">
        <f t="shared" si="2"/>
        <v>0</v>
      </c>
      <c r="J22" s="118">
        <f t="shared" si="3"/>
        <v>0</v>
      </c>
      <c r="K22" s="136">
        <f t="shared" si="4"/>
        <v>0</v>
      </c>
    </row>
    <row r="23" ht="18.0" customHeight="1">
      <c r="A23" s="132"/>
      <c r="B23" s="72"/>
      <c r="C23" s="72"/>
      <c r="D23" s="137" t="str">
        <f t="array" ref="D23">IFERROR(IF(C23="","",INDEX(PRODUK!$B:$B,MATCH(C23,PRODUK!$A:$A,0))),"")</f>
        <v/>
      </c>
      <c r="E23" s="113"/>
      <c r="F23" s="115">
        <f t="array" ref="F23">IFERROR(IF(C23="",0,INDEX(PRODUK!$F:$F,MATCH(C23,PRODUK!$A:$A,0))),0)</f>
        <v>0</v>
      </c>
      <c r="G23" s="114">
        <f t="shared" si="1"/>
        <v>0</v>
      </c>
      <c r="H23" s="114">
        <f t="array" ref="H23">IFERROR(IF(B23="",0,INDEX(HPP_ENGINE!$J:$J,MATCH(B23,HPP_ENGINE!$A:$A,0))),0)</f>
        <v>0</v>
      </c>
      <c r="I23" s="114">
        <f t="shared" si="2"/>
        <v>0</v>
      </c>
      <c r="J23" s="114">
        <f t="shared" si="3"/>
        <v>0</v>
      </c>
      <c r="K23" s="133">
        <f t="shared" si="4"/>
        <v>0</v>
      </c>
    </row>
    <row r="24" ht="18.0" customHeight="1">
      <c r="A24" s="134"/>
      <c r="B24" s="77"/>
      <c r="C24" s="77"/>
      <c r="D24" s="135" t="str">
        <f t="array" ref="D24">IFERROR(IF(C24="","",INDEX(PRODUK!$B:$B,MATCH(C24,PRODUK!$A:$A,0))),"")</f>
        <v/>
      </c>
      <c r="E24" s="117"/>
      <c r="F24" s="119">
        <f t="array" ref="F24">IFERROR(IF(C24="",0,INDEX(PRODUK!$F:$F,MATCH(C24,PRODUK!$A:$A,0))),0)</f>
        <v>0</v>
      </c>
      <c r="G24" s="118">
        <f t="shared" si="1"/>
        <v>0</v>
      </c>
      <c r="H24" s="118">
        <f t="array" ref="H24">IFERROR(IF(B24="",0,INDEX(HPP_ENGINE!$J:$J,MATCH(B24,HPP_ENGINE!$A:$A,0))),0)</f>
        <v>0</v>
      </c>
      <c r="I24" s="118">
        <f t="shared" si="2"/>
        <v>0</v>
      </c>
      <c r="J24" s="118">
        <f t="shared" si="3"/>
        <v>0</v>
      </c>
      <c r="K24" s="136">
        <f t="shared" si="4"/>
        <v>0</v>
      </c>
    </row>
    <row r="25" ht="18.0" customHeight="1">
      <c r="A25" s="132"/>
      <c r="B25" s="72"/>
      <c r="C25" s="72"/>
      <c r="D25" s="137" t="str">
        <f t="array" ref="D25">IFERROR(IF(C25="","",INDEX(PRODUK!$B:$B,MATCH(C25,PRODUK!$A:$A,0))),"")</f>
        <v/>
      </c>
      <c r="E25" s="113"/>
      <c r="F25" s="115">
        <f t="array" ref="F25">IFERROR(IF(C25="",0,INDEX(PRODUK!$F:$F,MATCH(C25,PRODUK!$A:$A,0))),0)</f>
        <v>0</v>
      </c>
      <c r="G25" s="114">
        <f t="shared" si="1"/>
        <v>0</v>
      </c>
      <c r="H25" s="114">
        <f t="array" ref="H25">IFERROR(IF(B25="",0,INDEX(HPP_ENGINE!$J:$J,MATCH(B25,HPP_ENGINE!$A:$A,0))),0)</f>
        <v>0</v>
      </c>
      <c r="I25" s="114">
        <f t="shared" si="2"/>
        <v>0</v>
      </c>
      <c r="J25" s="114">
        <f t="shared" si="3"/>
        <v>0</v>
      </c>
      <c r="K25" s="133">
        <f t="shared" si="4"/>
        <v>0</v>
      </c>
    </row>
    <row r="26" ht="18.0" customHeight="1">
      <c r="A26" s="134"/>
      <c r="B26" s="77"/>
      <c r="C26" s="77"/>
      <c r="D26" s="135" t="str">
        <f t="array" ref="D26">IFERROR(IF(C26="","",INDEX(PRODUK!$B:$B,MATCH(C26,PRODUK!$A:$A,0))),"")</f>
        <v/>
      </c>
      <c r="E26" s="117"/>
      <c r="F26" s="119">
        <f t="array" ref="F26">IFERROR(IF(C26="",0,INDEX(PRODUK!$F:$F,MATCH(C26,PRODUK!$A:$A,0))),0)</f>
        <v>0</v>
      </c>
      <c r="G26" s="118">
        <f t="shared" si="1"/>
        <v>0</v>
      </c>
      <c r="H26" s="118">
        <f t="array" ref="H26">IFERROR(IF(B26="",0,INDEX(HPP_ENGINE!$J:$J,MATCH(B26,HPP_ENGINE!$A:$A,0))),0)</f>
        <v>0</v>
      </c>
      <c r="I26" s="118">
        <f t="shared" si="2"/>
        <v>0</v>
      </c>
      <c r="J26" s="118">
        <f t="shared" si="3"/>
        <v>0</v>
      </c>
      <c r="K26" s="136">
        <f t="shared" si="4"/>
        <v>0</v>
      </c>
    </row>
    <row r="27" ht="18.0" customHeight="1">
      <c r="A27" s="132"/>
      <c r="B27" s="72"/>
      <c r="C27" s="72"/>
      <c r="D27" s="137" t="str">
        <f t="array" ref="D27">IFERROR(IF(C27="","",INDEX(PRODUK!$B:$B,MATCH(C27,PRODUK!$A:$A,0))),"")</f>
        <v/>
      </c>
      <c r="E27" s="113"/>
      <c r="F27" s="115">
        <f t="array" ref="F27">IFERROR(IF(C27="",0,INDEX(PRODUK!$F:$F,MATCH(C27,PRODUK!$A:$A,0))),0)</f>
        <v>0</v>
      </c>
      <c r="G27" s="114">
        <f t="shared" si="1"/>
        <v>0</v>
      </c>
      <c r="H27" s="114">
        <f t="array" ref="H27">IFERROR(IF(B27="",0,INDEX(HPP_ENGINE!$J:$J,MATCH(B27,HPP_ENGINE!$A:$A,0))),0)</f>
        <v>0</v>
      </c>
      <c r="I27" s="114">
        <f t="shared" si="2"/>
        <v>0</v>
      </c>
      <c r="J27" s="114">
        <f t="shared" si="3"/>
        <v>0</v>
      </c>
      <c r="K27" s="133">
        <f t="shared" si="4"/>
        <v>0</v>
      </c>
    </row>
    <row r="28" ht="18.0" customHeight="1">
      <c r="A28" s="134"/>
      <c r="B28" s="77"/>
      <c r="C28" s="77"/>
      <c r="D28" s="135" t="str">
        <f t="array" ref="D28">IFERROR(IF(C28="","",INDEX(PRODUK!$B:$B,MATCH(C28,PRODUK!$A:$A,0))),"")</f>
        <v/>
      </c>
      <c r="E28" s="117"/>
      <c r="F28" s="119">
        <f t="array" ref="F28">IFERROR(IF(C28="",0,INDEX(PRODUK!$F:$F,MATCH(C28,PRODUK!$A:$A,0))),0)</f>
        <v>0</v>
      </c>
      <c r="G28" s="118">
        <f t="shared" si="1"/>
        <v>0</v>
      </c>
      <c r="H28" s="118">
        <f t="array" ref="H28">IFERROR(IF(B28="",0,INDEX(HPP_ENGINE!$J:$J,MATCH(B28,HPP_ENGINE!$A:$A,0))),0)</f>
        <v>0</v>
      </c>
      <c r="I28" s="118">
        <f t="shared" si="2"/>
        <v>0</v>
      </c>
      <c r="J28" s="118">
        <f t="shared" si="3"/>
        <v>0</v>
      </c>
      <c r="K28" s="136">
        <f t="shared" si="4"/>
        <v>0</v>
      </c>
    </row>
    <row r="29" ht="18.0" customHeight="1">
      <c r="A29" s="132"/>
      <c r="B29" s="72"/>
      <c r="C29" s="72"/>
      <c r="D29" s="137" t="str">
        <f t="array" ref="D29">IFERROR(IF(C29="","",INDEX(PRODUK!$B:$B,MATCH(C29,PRODUK!$A:$A,0))),"")</f>
        <v/>
      </c>
      <c r="E29" s="113"/>
      <c r="F29" s="115">
        <f t="array" ref="F29">IFERROR(IF(C29="",0,INDEX(PRODUK!$F:$F,MATCH(C29,PRODUK!$A:$A,0))),0)</f>
        <v>0</v>
      </c>
      <c r="G29" s="114">
        <f t="shared" si="1"/>
        <v>0</v>
      </c>
      <c r="H29" s="114">
        <f t="array" ref="H29">IFERROR(IF(B29="",0,INDEX(HPP_ENGINE!$J:$J,MATCH(B29,HPP_ENGINE!$A:$A,0))),0)</f>
        <v>0</v>
      </c>
      <c r="I29" s="114">
        <f t="shared" si="2"/>
        <v>0</v>
      </c>
      <c r="J29" s="114">
        <f t="shared" si="3"/>
        <v>0</v>
      </c>
      <c r="K29" s="133">
        <f t="shared" si="4"/>
        <v>0</v>
      </c>
    </row>
    <row r="30" ht="18.0" customHeight="1">
      <c r="A30" s="134"/>
      <c r="B30" s="77"/>
      <c r="C30" s="77"/>
      <c r="D30" s="135" t="str">
        <f t="array" ref="D30">IFERROR(IF(C30="","",INDEX(PRODUK!$B:$B,MATCH(C30,PRODUK!$A:$A,0))),"")</f>
        <v/>
      </c>
      <c r="E30" s="117"/>
      <c r="F30" s="119">
        <f t="array" ref="F30">IFERROR(IF(C30="",0,INDEX(PRODUK!$F:$F,MATCH(C30,PRODUK!$A:$A,0))),0)</f>
        <v>0</v>
      </c>
      <c r="G30" s="118">
        <f t="shared" si="1"/>
        <v>0</v>
      </c>
      <c r="H30" s="118">
        <f t="array" ref="H30">IFERROR(IF(B30="",0,INDEX(HPP_ENGINE!$J:$J,MATCH(B30,HPP_ENGINE!$A:$A,0))),0)</f>
        <v>0</v>
      </c>
      <c r="I30" s="118">
        <f t="shared" si="2"/>
        <v>0</v>
      </c>
      <c r="J30" s="118">
        <f t="shared" si="3"/>
        <v>0</v>
      </c>
      <c r="K30" s="136">
        <f t="shared" si="4"/>
        <v>0</v>
      </c>
    </row>
    <row r="31" ht="18.0" customHeight="1">
      <c r="A31" s="132"/>
      <c r="B31" s="72"/>
      <c r="C31" s="72"/>
      <c r="D31" s="137" t="str">
        <f t="array" ref="D31">IFERROR(IF(C31="","",INDEX(PRODUK!$B:$B,MATCH(C31,PRODUK!$A:$A,0))),"")</f>
        <v/>
      </c>
      <c r="E31" s="113"/>
      <c r="F31" s="115">
        <f t="array" ref="F31">IFERROR(IF(C31="",0,INDEX(PRODUK!$F:$F,MATCH(C31,PRODUK!$A:$A,0))),0)</f>
        <v>0</v>
      </c>
      <c r="G31" s="114">
        <f t="shared" si="1"/>
        <v>0</v>
      </c>
      <c r="H31" s="114">
        <f t="array" ref="H31">IFERROR(IF(B31="",0,INDEX(HPP_ENGINE!$J:$J,MATCH(B31,HPP_ENGINE!$A:$A,0))),0)</f>
        <v>0</v>
      </c>
      <c r="I31" s="114">
        <f t="shared" si="2"/>
        <v>0</v>
      </c>
      <c r="J31" s="114">
        <f t="shared" si="3"/>
        <v>0</v>
      </c>
      <c r="K31" s="133">
        <f t="shared" si="4"/>
        <v>0</v>
      </c>
    </row>
    <row r="32" ht="18.0" customHeight="1">
      <c r="A32" s="134"/>
      <c r="B32" s="77"/>
      <c r="C32" s="77"/>
      <c r="D32" s="135" t="str">
        <f t="array" ref="D32">IFERROR(IF(C32="","",INDEX(PRODUK!$B:$B,MATCH(C32,PRODUK!$A:$A,0))),"")</f>
        <v/>
      </c>
      <c r="E32" s="117"/>
      <c r="F32" s="119">
        <f t="array" ref="F32">IFERROR(IF(C32="",0,INDEX(PRODUK!$F:$F,MATCH(C32,PRODUK!$A:$A,0))),0)</f>
        <v>0</v>
      </c>
      <c r="G32" s="118">
        <f t="shared" si="1"/>
        <v>0</v>
      </c>
      <c r="H32" s="118">
        <f t="array" ref="H32">IFERROR(IF(B32="",0,INDEX(HPP_ENGINE!$J:$J,MATCH(B32,HPP_ENGINE!$A:$A,0))),0)</f>
        <v>0</v>
      </c>
      <c r="I32" s="118">
        <f t="shared" si="2"/>
        <v>0</v>
      </c>
      <c r="J32" s="118">
        <f t="shared" si="3"/>
        <v>0</v>
      </c>
      <c r="K32" s="136">
        <f t="shared" si="4"/>
        <v>0</v>
      </c>
    </row>
    <row r="33" ht="18.0" customHeight="1">
      <c r="A33" s="132"/>
      <c r="B33" s="72"/>
      <c r="C33" s="72"/>
      <c r="D33" s="137" t="str">
        <f t="array" ref="D33">IFERROR(IF(C33="","",INDEX(PRODUK!$B:$B,MATCH(C33,PRODUK!$A:$A,0))),"")</f>
        <v/>
      </c>
      <c r="E33" s="113"/>
      <c r="F33" s="115">
        <f t="array" ref="F33">IFERROR(IF(C33="",0,INDEX(PRODUK!$F:$F,MATCH(C33,PRODUK!$A:$A,0))),0)</f>
        <v>0</v>
      </c>
      <c r="G33" s="114">
        <f t="shared" si="1"/>
        <v>0</v>
      </c>
      <c r="H33" s="114">
        <f t="array" ref="H33">IFERROR(IF(B33="",0,INDEX(HPP_ENGINE!$J:$J,MATCH(B33,HPP_ENGINE!$A:$A,0))),0)</f>
        <v>0</v>
      </c>
      <c r="I33" s="114">
        <f t="shared" si="2"/>
        <v>0</v>
      </c>
      <c r="J33" s="114">
        <f t="shared" si="3"/>
        <v>0</v>
      </c>
      <c r="K33" s="133">
        <f t="shared" si="4"/>
        <v>0</v>
      </c>
    </row>
    <row r="34" ht="18.0" customHeight="1">
      <c r="A34" s="134"/>
      <c r="B34" s="77"/>
      <c r="C34" s="77"/>
      <c r="D34" s="135" t="str">
        <f t="array" ref="D34">IFERROR(IF(C34="","",INDEX(PRODUK!$B:$B,MATCH(C34,PRODUK!$A:$A,0))),"")</f>
        <v/>
      </c>
      <c r="E34" s="117"/>
      <c r="F34" s="119">
        <f t="array" ref="F34">IFERROR(IF(C34="",0,INDEX(PRODUK!$F:$F,MATCH(C34,PRODUK!$A:$A,0))),0)</f>
        <v>0</v>
      </c>
      <c r="G34" s="118">
        <f t="shared" si="1"/>
        <v>0</v>
      </c>
      <c r="H34" s="118">
        <f t="array" ref="H34">IFERROR(IF(B34="",0,INDEX(HPP_ENGINE!$J:$J,MATCH(B34,HPP_ENGINE!$A:$A,0))),0)</f>
        <v>0</v>
      </c>
      <c r="I34" s="118">
        <f t="shared" si="2"/>
        <v>0</v>
      </c>
      <c r="J34" s="118">
        <f t="shared" si="3"/>
        <v>0</v>
      </c>
      <c r="K34" s="136">
        <f t="shared" si="4"/>
        <v>0</v>
      </c>
    </row>
    <row r="35" ht="18.0" customHeight="1">
      <c r="A35" s="132"/>
      <c r="B35" s="72"/>
      <c r="C35" s="72"/>
      <c r="D35" s="137" t="str">
        <f t="array" ref="D35">IFERROR(IF(C35="","",INDEX(PRODUK!$B:$B,MATCH(C35,PRODUK!$A:$A,0))),"")</f>
        <v/>
      </c>
      <c r="E35" s="113"/>
      <c r="F35" s="115">
        <f t="array" ref="F35">IFERROR(IF(C35="",0,INDEX(PRODUK!$F:$F,MATCH(C35,PRODUK!$A:$A,0))),0)</f>
        <v>0</v>
      </c>
      <c r="G35" s="114">
        <f t="shared" si="1"/>
        <v>0</v>
      </c>
      <c r="H35" s="114">
        <f t="array" ref="H35">IFERROR(IF(B35="",0,INDEX(HPP_ENGINE!$J:$J,MATCH(B35,HPP_ENGINE!$A:$A,0))),0)</f>
        <v>0</v>
      </c>
      <c r="I35" s="114">
        <f t="shared" si="2"/>
        <v>0</v>
      </c>
      <c r="J35" s="114">
        <f t="shared" si="3"/>
        <v>0</v>
      </c>
      <c r="K35" s="133">
        <f t="shared" si="4"/>
        <v>0</v>
      </c>
    </row>
    <row r="36" ht="18.0" customHeight="1">
      <c r="A36" s="134"/>
      <c r="B36" s="77"/>
      <c r="C36" s="77"/>
      <c r="D36" s="135" t="str">
        <f t="array" ref="D36">IFERROR(IF(C36="","",INDEX(PRODUK!$B:$B,MATCH(C36,PRODUK!$A:$A,0))),"")</f>
        <v/>
      </c>
      <c r="E36" s="117"/>
      <c r="F36" s="119">
        <f t="array" ref="F36">IFERROR(IF(C36="",0,INDEX(PRODUK!$F:$F,MATCH(C36,PRODUK!$A:$A,0))),0)</f>
        <v>0</v>
      </c>
      <c r="G36" s="118">
        <f t="shared" si="1"/>
        <v>0</v>
      </c>
      <c r="H36" s="118">
        <f t="array" ref="H36">IFERROR(IF(B36="",0,INDEX(HPP_ENGINE!$J:$J,MATCH(B36,HPP_ENGINE!$A:$A,0))),0)</f>
        <v>0</v>
      </c>
      <c r="I36" s="118">
        <f t="shared" si="2"/>
        <v>0</v>
      </c>
      <c r="J36" s="118">
        <f t="shared" si="3"/>
        <v>0</v>
      </c>
      <c r="K36" s="136">
        <f t="shared" si="4"/>
        <v>0</v>
      </c>
    </row>
    <row r="37" ht="18.0" customHeight="1">
      <c r="A37" s="132"/>
      <c r="B37" s="72"/>
      <c r="C37" s="72"/>
      <c r="D37" s="137" t="str">
        <f t="array" ref="D37">IFERROR(IF(C37="","",INDEX(PRODUK!$B:$B,MATCH(C37,PRODUK!$A:$A,0))),"")</f>
        <v/>
      </c>
      <c r="E37" s="113"/>
      <c r="F37" s="115">
        <f t="array" ref="F37">IFERROR(IF(C37="",0,INDEX(PRODUK!$F:$F,MATCH(C37,PRODUK!$A:$A,0))),0)</f>
        <v>0</v>
      </c>
      <c r="G37" s="114">
        <f t="shared" si="1"/>
        <v>0</v>
      </c>
      <c r="H37" s="114">
        <f t="array" ref="H37">IFERROR(IF(B37="",0,INDEX(HPP_ENGINE!$J:$J,MATCH(B37,HPP_ENGINE!$A:$A,0))),0)</f>
        <v>0</v>
      </c>
      <c r="I37" s="114">
        <f t="shared" si="2"/>
        <v>0</v>
      </c>
      <c r="J37" s="114">
        <f t="shared" si="3"/>
        <v>0</v>
      </c>
      <c r="K37" s="133">
        <f t="shared" si="4"/>
        <v>0</v>
      </c>
    </row>
    <row r="38" ht="18.0" customHeight="1">
      <c r="A38" s="134"/>
      <c r="B38" s="77"/>
      <c r="C38" s="77"/>
      <c r="D38" s="135" t="str">
        <f t="array" ref="D38">IFERROR(IF(C38="","",INDEX(PRODUK!$B:$B,MATCH(C38,PRODUK!$A:$A,0))),"")</f>
        <v/>
      </c>
      <c r="E38" s="117"/>
      <c r="F38" s="119">
        <f t="array" ref="F38">IFERROR(IF(C38="",0,INDEX(PRODUK!$F:$F,MATCH(C38,PRODUK!$A:$A,0))),0)</f>
        <v>0</v>
      </c>
      <c r="G38" s="118">
        <f t="shared" si="1"/>
        <v>0</v>
      </c>
      <c r="H38" s="118">
        <f t="array" ref="H38">IFERROR(IF(B38="",0,INDEX(HPP_ENGINE!$J:$J,MATCH(B38,HPP_ENGINE!$A:$A,0))),0)</f>
        <v>0</v>
      </c>
      <c r="I38" s="118">
        <f t="shared" si="2"/>
        <v>0</v>
      </c>
      <c r="J38" s="118">
        <f t="shared" si="3"/>
        <v>0</v>
      </c>
      <c r="K38" s="136">
        <f t="shared" si="4"/>
        <v>0</v>
      </c>
    </row>
    <row r="39" ht="18.0" customHeight="1">
      <c r="A39" s="132"/>
      <c r="B39" s="72"/>
      <c r="C39" s="72"/>
      <c r="D39" s="137" t="str">
        <f t="array" ref="D39">IFERROR(IF(C39="","",INDEX(PRODUK!$B:$B,MATCH(C39,PRODUK!$A:$A,0))),"")</f>
        <v/>
      </c>
      <c r="E39" s="113"/>
      <c r="F39" s="115">
        <f t="array" ref="F39">IFERROR(IF(C39="",0,INDEX(PRODUK!$F:$F,MATCH(C39,PRODUK!$A:$A,0))),0)</f>
        <v>0</v>
      </c>
      <c r="G39" s="114">
        <f t="shared" si="1"/>
        <v>0</v>
      </c>
      <c r="H39" s="114">
        <f t="array" ref="H39">IFERROR(IF(B39="",0,INDEX(HPP_ENGINE!$J:$J,MATCH(B39,HPP_ENGINE!$A:$A,0))),0)</f>
        <v>0</v>
      </c>
      <c r="I39" s="114">
        <f t="shared" si="2"/>
        <v>0</v>
      </c>
      <c r="J39" s="114">
        <f t="shared" si="3"/>
        <v>0</v>
      </c>
      <c r="K39" s="133">
        <f t="shared" si="4"/>
        <v>0</v>
      </c>
    </row>
    <row r="40" ht="18.0" customHeight="1">
      <c r="A40" s="134"/>
      <c r="B40" s="77"/>
      <c r="C40" s="77"/>
      <c r="D40" s="135" t="str">
        <f t="array" ref="D40">IFERROR(IF(C40="","",INDEX(PRODUK!$B:$B,MATCH(C40,PRODUK!$A:$A,0))),"")</f>
        <v/>
      </c>
      <c r="E40" s="117"/>
      <c r="F40" s="119">
        <f t="array" ref="F40">IFERROR(IF(C40="",0,INDEX(PRODUK!$F:$F,MATCH(C40,PRODUK!$A:$A,0))),0)</f>
        <v>0</v>
      </c>
      <c r="G40" s="118">
        <f t="shared" si="1"/>
        <v>0</v>
      </c>
      <c r="H40" s="118">
        <f t="array" ref="H40">IFERROR(IF(B40="",0,INDEX(HPP_ENGINE!$J:$J,MATCH(B40,HPP_ENGINE!$A:$A,0))),0)</f>
        <v>0</v>
      </c>
      <c r="I40" s="118">
        <f t="shared" si="2"/>
        <v>0</v>
      </c>
      <c r="J40" s="118">
        <f t="shared" si="3"/>
        <v>0</v>
      </c>
      <c r="K40" s="136">
        <f t="shared" si="4"/>
        <v>0</v>
      </c>
    </row>
    <row r="41" ht="18.0" customHeight="1">
      <c r="A41" s="132"/>
      <c r="B41" s="72"/>
      <c r="C41" s="72"/>
      <c r="D41" s="137" t="str">
        <f t="array" ref="D41">IFERROR(IF(C41="","",INDEX(PRODUK!$B:$B,MATCH(C41,PRODUK!$A:$A,0))),"")</f>
        <v/>
      </c>
      <c r="E41" s="113"/>
      <c r="F41" s="115">
        <f t="array" ref="F41">IFERROR(IF(C41="",0,INDEX(PRODUK!$F:$F,MATCH(C41,PRODUK!$A:$A,0))),0)</f>
        <v>0</v>
      </c>
      <c r="G41" s="114">
        <f t="shared" si="1"/>
        <v>0</v>
      </c>
      <c r="H41" s="114">
        <f t="array" ref="H41">IFERROR(IF(B41="",0,INDEX(HPP_ENGINE!$J:$J,MATCH(B41,HPP_ENGINE!$A:$A,0))),0)</f>
        <v>0</v>
      </c>
      <c r="I41" s="114">
        <f t="shared" si="2"/>
        <v>0</v>
      </c>
      <c r="J41" s="114">
        <f t="shared" si="3"/>
        <v>0</v>
      </c>
      <c r="K41" s="133">
        <f t="shared" si="4"/>
        <v>0</v>
      </c>
    </row>
    <row r="42" ht="18.0" customHeight="1">
      <c r="A42" s="134"/>
      <c r="B42" s="77"/>
      <c r="C42" s="77"/>
      <c r="D42" s="135" t="str">
        <f t="array" ref="D42">IFERROR(IF(C42="","",INDEX(PRODUK!$B:$B,MATCH(C42,PRODUK!$A:$A,0))),"")</f>
        <v/>
      </c>
      <c r="E42" s="117"/>
      <c r="F42" s="119">
        <f t="array" ref="F42">IFERROR(IF(C42="",0,INDEX(PRODUK!$F:$F,MATCH(C42,PRODUK!$A:$A,0))),0)</f>
        <v>0</v>
      </c>
      <c r="G42" s="118">
        <f t="shared" si="1"/>
        <v>0</v>
      </c>
      <c r="H42" s="118">
        <f t="array" ref="H42">IFERROR(IF(B42="",0,INDEX(HPP_ENGINE!$J:$J,MATCH(B42,HPP_ENGINE!$A:$A,0))),0)</f>
        <v>0</v>
      </c>
      <c r="I42" s="118">
        <f t="shared" si="2"/>
        <v>0</v>
      </c>
      <c r="J42" s="118">
        <f t="shared" si="3"/>
        <v>0</v>
      </c>
      <c r="K42" s="136">
        <f t="shared" si="4"/>
        <v>0</v>
      </c>
    </row>
    <row r="43" ht="18.0" customHeight="1">
      <c r="A43" s="132"/>
      <c r="B43" s="72"/>
      <c r="C43" s="72"/>
      <c r="D43" s="137" t="str">
        <f t="array" ref="D43">IFERROR(IF(C43="","",INDEX(PRODUK!$B:$B,MATCH(C43,PRODUK!$A:$A,0))),"")</f>
        <v/>
      </c>
      <c r="E43" s="113"/>
      <c r="F43" s="115">
        <f t="array" ref="F43">IFERROR(IF(C43="",0,INDEX(PRODUK!$F:$F,MATCH(C43,PRODUK!$A:$A,0))),0)</f>
        <v>0</v>
      </c>
      <c r="G43" s="114">
        <f t="shared" si="1"/>
        <v>0</v>
      </c>
      <c r="H43" s="114">
        <f t="array" ref="H43">IFERROR(IF(B43="",0,INDEX(HPP_ENGINE!$J:$J,MATCH(B43,HPP_ENGINE!$A:$A,0))),0)</f>
        <v>0</v>
      </c>
      <c r="I43" s="114">
        <f t="shared" si="2"/>
        <v>0</v>
      </c>
      <c r="J43" s="114">
        <f t="shared" si="3"/>
        <v>0</v>
      </c>
      <c r="K43" s="133">
        <f t="shared" si="4"/>
        <v>0</v>
      </c>
    </row>
    <row r="44" ht="18.0" customHeight="1">
      <c r="A44" s="134"/>
      <c r="B44" s="77"/>
      <c r="C44" s="77"/>
      <c r="D44" s="135" t="str">
        <f t="array" ref="D44">IFERROR(IF(C44="","",INDEX(PRODUK!$B:$B,MATCH(C44,PRODUK!$A:$A,0))),"")</f>
        <v/>
      </c>
      <c r="E44" s="117"/>
      <c r="F44" s="119">
        <f t="array" ref="F44">IFERROR(IF(C44="",0,INDEX(PRODUK!$F:$F,MATCH(C44,PRODUK!$A:$A,0))),0)</f>
        <v>0</v>
      </c>
      <c r="G44" s="118">
        <f t="shared" si="1"/>
        <v>0</v>
      </c>
      <c r="H44" s="118">
        <f t="array" ref="H44">IFERROR(IF(B44="",0,INDEX(HPP_ENGINE!$J:$J,MATCH(B44,HPP_ENGINE!$A:$A,0))),0)</f>
        <v>0</v>
      </c>
      <c r="I44" s="118">
        <f t="shared" si="2"/>
        <v>0</v>
      </c>
      <c r="J44" s="118">
        <f t="shared" si="3"/>
        <v>0</v>
      </c>
      <c r="K44" s="136">
        <f t="shared" si="4"/>
        <v>0</v>
      </c>
    </row>
    <row r="45" ht="18.0" customHeight="1">
      <c r="A45" s="132"/>
      <c r="B45" s="72"/>
      <c r="C45" s="72"/>
      <c r="D45" s="137" t="str">
        <f t="array" ref="D45">IFERROR(IF(C45="","",INDEX(PRODUK!$B:$B,MATCH(C45,PRODUK!$A:$A,0))),"")</f>
        <v/>
      </c>
      <c r="E45" s="113"/>
      <c r="F45" s="115">
        <f t="array" ref="F45">IFERROR(IF(C45="",0,INDEX(PRODUK!$F:$F,MATCH(C45,PRODUK!$A:$A,0))),0)</f>
        <v>0</v>
      </c>
      <c r="G45" s="114">
        <f t="shared" si="1"/>
        <v>0</v>
      </c>
      <c r="H45" s="114">
        <f t="array" ref="H45">IFERROR(IF(B45="",0,INDEX(HPP_ENGINE!$J:$J,MATCH(B45,HPP_ENGINE!$A:$A,0))),0)</f>
        <v>0</v>
      </c>
      <c r="I45" s="114">
        <f t="shared" si="2"/>
        <v>0</v>
      </c>
      <c r="J45" s="114">
        <f t="shared" si="3"/>
        <v>0</v>
      </c>
      <c r="K45" s="133">
        <f t="shared" si="4"/>
        <v>0</v>
      </c>
    </row>
    <row r="46" ht="18.0" customHeight="1">
      <c r="A46" s="134"/>
      <c r="B46" s="77"/>
      <c r="C46" s="77"/>
      <c r="D46" s="135" t="str">
        <f t="array" ref="D46">IFERROR(IF(C46="","",INDEX(PRODUK!$B:$B,MATCH(C46,PRODUK!$A:$A,0))),"")</f>
        <v/>
      </c>
      <c r="E46" s="117"/>
      <c r="F46" s="119">
        <f t="array" ref="F46">IFERROR(IF(C46="",0,INDEX(PRODUK!$F:$F,MATCH(C46,PRODUK!$A:$A,0))),0)</f>
        <v>0</v>
      </c>
      <c r="G46" s="118">
        <f t="shared" si="1"/>
        <v>0</v>
      </c>
      <c r="H46" s="118">
        <f t="array" ref="H46">IFERROR(IF(B46="",0,INDEX(HPP_ENGINE!$J:$J,MATCH(B46,HPP_ENGINE!$A:$A,0))),0)</f>
        <v>0</v>
      </c>
      <c r="I46" s="118">
        <f t="shared" si="2"/>
        <v>0</v>
      </c>
      <c r="J46" s="118">
        <f t="shared" si="3"/>
        <v>0</v>
      </c>
      <c r="K46" s="136">
        <f t="shared" si="4"/>
        <v>0</v>
      </c>
    </row>
    <row r="47" ht="18.0" customHeight="1">
      <c r="A47" s="132"/>
      <c r="B47" s="72"/>
      <c r="C47" s="72"/>
      <c r="D47" s="137" t="str">
        <f t="array" ref="D47">IFERROR(IF(C47="","",INDEX(PRODUK!$B:$B,MATCH(C47,PRODUK!$A:$A,0))),"")</f>
        <v/>
      </c>
      <c r="E47" s="113"/>
      <c r="F47" s="115">
        <f t="array" ref="F47">IFERROR(IF(C47="",0,INDEX(PRODUK!$F:$F,MATCH(C47,PRODUK!$A:$A,0))),0)</f>
        <v>0</v>
      </c>
      <c r="G47" s="114">
        <f t="shared" si="1"/>
        <v>0</v>
      </c>
      <c r="H47" s="114">
        <f t="array" ref="H47">IFERROR(IF(B47="",0,INDEX(HPP_ENGINE!$J:$J,MATCH(B47,HPP_ENGINE!$A:$A,0))),0)</f>
        <v>0</v>
      </c>
      <c r="I47" s="114">
        <f t="shared" si="2"/>
        <v>0</v>
      </c>
      <c r="J47" s="114">
        <f t="shared" si="3"/>
        <v>0</v>
      </c>
      <c r="K47" s="133">
        <f t="shared" si="4"/>
        <v>0</v>
      </c>
    </row>
    <row r="48" ht="18.0" customHeight="1">
      <c r="A48" s="134"/>
      <c r="B48" s="77"/>
      <c r="C48" s="77"/>
      <c r="D48" s="135" t="str">
        <f t="array" ref="D48">IFERROR(IF(C48="","",INDEX(PRODUK!$B:$B,MATCH(C48,PRODUK!$A:$A,0))),"")</f>
        <v/>
      </c>
      <c r="E48" s="117"/>
      <c r="F48" s="119">
        <f t="array" ref="F48">IFERROR(IF(C48="",0,INDEX(PRODUK!$F:$F,MATCH(C48,PRODUK!$A:$A,0))),0)</f>
        <v>0</v>
      </c>
      <c r="G48" s="118">
        <f t="shared" si="1"/>
        <v>0</v>
      </c>
      <c r="H48" s="118">
        <f t="array" ref="H48">IFERROR(IF(B48="",0,INDEX(HPP_ENGINE!$J:$J,MATCH(B48,HPP_ENGINE!$A:$A,0))),0)</f>
        <v>0</v>
      </c>
      <c r="I48" s="118">
        <f t="shared" si="2"/>
        <v>0</v>
      </c>
      <c r="J48" s="118">
        <f t="shared" si="3"/>
        <v>0</v>
      </c>
      <c r="K48" s="136">
        <f t="shared" si="4"/>
        <v>0</v>
      </c>
    </row>
    <row r="49" ht="18.0" customHeight="1">
      <c r="A49" s="132"/>
      <c r="B49" s="72"/>
      <c r="C49" s="72"/>
      <c r="D49" s="137" t="str">
        <f t="array" ref="D49">IFERROR(IF(C49="","",INDEX(PRODUK!$B:$B,MATCH(C49,PRODUK!$A:$A,0))),"")</f>
        <v/>
      </c>
      <c r="E49" s="113"/>
      <c r="F49" s="115">
        <f t="array" ref="F49">IFERROR(IF(C49="",0,INDEX(PRODUK!$F:$F,MATCH(C49,PRODUK!$A:$A,0))),0)</f>
        <v>0</v>
      </c>
      <c r="G49" s="114">
        <f t="shared" si="1"/>
        <v>0</v>
      </c>
      <c r="H49" s="114">
        <f t="array" ref="H49">IFERROR(IF(B49="",0,INDEX(HPP_ENGINE!$J:$J,MATCH(B49,HPP_ENGINE!$A:$A,0))),0)</f>
        <v>0</v>
      </c>
      <c r="I49" s="114">
        <f t="shared" si="2"/>
        <v>0</v>
      </c>
      <c r="J49" s="114">
        <f t="shared" si="3"/>
        <v>0</v>
      </c>
      <c r="K49" s="133">
        <f t="shared" si="4"/>
        <v>0</v>
      </c>
    </row>
    <row r="50" ht="18.0" customHeight="1">
      <c r="A50" s="134"/>
      <c r="B50" s="77"/>
      <c r="C50" s="77"/>
      <c r="D50" s="135" t="str">
        <f t="array" ref="D50">IFERROR(IF(C50="","",INDEX(PRODUK!$B:$B,MATCH(C50,PRODUK!$A:$A,0))),"")</f>
        <v/>
      </c>
      <c r="E50" s="117"/>
      <c r="F50" s="119">
        <f t="array" ref="F50">IFERROR(IF(C50="",0,INDEX(PRODUK!$F:$F,MATCH(C50,PRODUK!$A:$A,0))),0)</f>
        <v>0</v>
      </c>
      <c r="G50" s="118">
        <f t="shared" si="1"/>
        <v>0</v>
      </c>
      <c r="H50" s="118">
        <f t="array" ref="H50">IFERROR(IF(B50="",0,INDEX(HPP_ENGINE!$J:$J,MATCH(B50,HPP_ENGINE!$A:$A,0))),0)</f>
        <v>0</v>
      </c>
      <c r="I50" s="118">
        <f t="shared" si="2"/>
        <v>0</v>
      </c>
      <c r="J50" s="118">
        <f t="shared" si="3"/>
        <v>0</v>
      </c>
      <c r="K50" s="136">
        <f t="shared" si="4"/>
        <v>0</v>
      </c>
    </row>
    <row r="51" ht="18.0" customHeight="1">
      <c r="A51" s="132"/>
      <c r="B51" s="72"/>
      <c r="C51" s="72"/>
      <c r="D51" s="137" t="str">
        <f t="array" ref="D51">IFERROR(IF(C51="","",INDEX(PRODUK!$B:$B,MATCH(C51,PRODUK!$A:$A,0))),"")</f>
        <v/>
      </c>
      <c r="E51" s="113"/>
      <c r="F51" s="115">
        <f t="array" ref="F51">IFERROR(IF(C51="",0,INDEX(PRODUK!$F:$F,MATCH(C51,PRODUK!$A:$A,0))),0)</f>
        <v>0</v>
      </c>
      <c r="G51" s="114">
        <f t="shared" si="1"/>
        <v>0</v>
      </c>
      <c r="H51" s="114">
        <f t="array" ref="H51">IFERROR(IF(B51="",0,INDEX(HPP_ENGINE!$J:$J,MATCH(B51,HPP_ENGINE!$A:$A,0))),0)</f>
        <v>0</v>
      </c>
      <c r="I51" s="114">
        <f t="shared" si="2"/>
        <v>0</v>
      </c>
      <c r="J51" s="114">
        <f t="shared" si="3"/>
        <v>0</v>
      </c>
      <c r="K51" s="133">
        <f t="shared" si="4"/>
        <v>0</v>
      </c>
    </row>
    <row r="52" ht="18.0" customHeight="1">
      <c r="A52" s="134"/>
      <c r="B52" s="77"/>
      <c r="C52" s="77"/>
      <c r="D52" s="135" t="str">
        <f t="array" ref="D52">IFERROR(IF(C52="","",INDEX(PRODUK!$B:$B,MATCH(C52,PRODUK!$A:$A,0))),"")</f>
        <v/>
      </c>
      <c r="E52" s="117"/>
      <c r="F52" s="119">
        <f t="array" ref="F52">IFERROR(IF(C52="",0,INDEX(PRODUK!$F:$F,MATCH(C52,PRODUK!$A:$A,0))),0)</f>
        <v>0</v>
      </c>
      <c r="G52" s="118">
        <f t="shared" si="1"/>
        <v>0</v>
      </c>
      <c r="H52" s="118">
        <f t="array" ref="H52">IFERROR(IF(B52="",0,INDEX(HPP_ENGINE!$J:$J,MATCH(B52,HPP_ENGINE!$A:$A,0))),0)</f>
        <v>0</v>
      </c>
      <c r="I52" s="118">
        <f t="shared" si="2"/>
        <v>0</v>
      </c>
      <c r="J52" s="118">
        <f t="shared" si="3"/>
        <v>0</v>
      </c>
      <c r="K52" s="136">
        <f t="shared" si="4"/>
        <v>0</v>
      </c>
    </row>
    <row r="53" ht="18.0" customHeight="1">
      <c r="A53" s="132"/>
      <c r="B53" s="72"/>
      <c r="C53" s="72"/>
      <c r="D53" s="137" t="str">
        <f t="array" ref="D53">IFERROR(IF(C53="","",INDEX(PRODUK!$B:$B,MATCH(C53,PRODUK!$A:$A,0))),"")</f>
        <v/>
      </c>
      <c r="E53" s="113"/>
      <c r="F53" s="115">
        <f t="array" ref="F53">IFERROR(IF(C53="",0,INDEX(PRODUK!$F:$F,MATCH(C53,PRODUK!$A:$A,0))),0)</f>
        <v>0</v>
      </c>
      <c r="G53" s="114">
        <f t="shared" si="1"/>
        <v>0</v>
      </c>
      <c r="H53" s="114">
        <f t="array" ref="H53">IFERROR(IF(B53="",0,INDEX(HPP_ENGINE!$J:$J,MATCH(B53,HPP_ENGINE!$A:$A,0))),0)</f>
        <v>0</v>
      </c>
      <c r="I53" s="114">
        <f t="shared" si="2"/>
        <v>0</v>
      </c>
      <c r="J53" s="114">
        <f t="shared" si="3"/>
        <v>0</v>
      </c>
      <c r="K53" s="133">
        <f t="shared" si="4"/>
        <v>0</v>
      </c>
    </row>
    <row r="54" ht="18.0" customHeight="1">
      <c r="A54" s="134"/>
      <c r="B54" s="77"/>
      <c r="C54" s="77"/>
      <c r="D54" s="135" t="str">
        <f t="array" ref="D54">IFERROR(IF(C54="","",INDEX(PRODUK!$B:$B,MATCH(C54,PRODUK!$A:$A,0))),"")</f>
        <v/>
      </c>
      <c r="E54" s="117"/>
      <c r="F54" s="119">
        <f t="array" ref="F54">IFERROR(IF(C54="",0,INDEX(PRODUK!$F:$F,MATCH(C54,PRODUK!$A:$A,0))),0)</f>
        <v>0</v>
      </c>
      <c r="G54" s="118">
        <f t="shared" si="1"/>
        <v>0</v>
      </c>
      <c r="H54" s="118">
        <f t="array" ref="H54">IFERROR(IF(B54="",0,INDEX(HPP_ENGINE!$J:$J,MATCH(B54,HPP_ENGINE!$A:$A,0))),0)</f>
        <v>0</v>
      </c>
      <c r="I54" s="118">
        <f t="shared" si="2"/>
        <v>0</v>
      </c>
      <c r="J54" s="118">
        <f t="shared" si="3"/>
        <v>0</v>
      </c>
      <c r="K54" s="136">
        <f t="shared" si="4"/>
        <v>0</v>
      </c>
    </row>
    <row r="55" ht="18.0" customHeight="1">
      <c r="A55" s="132"/>
      <c r="B55" s="72"/>
      <c r="C55" s="72"/>
      <c r="D55" s="137" t="str">
        <f t="array" ref="D55">IFERROR(IF(C55="","",INDEX(PRODUK!$B:$B,MATCH(C55,PRODUK!$A:$A,0))),"")</f>
        <v/>
      </c>
      <c r="E55" s="113"/>
      <c r="F55" s="115">
        <f t="array" ref="F55">IFERROR(IF(C55="",0,INDEX(PRODUK!$F:$F,MATCH(C55,PRODUK!$A:$A,0))),0)</f>
        <v>0</v>
      </c>
      <c r="G55" s="114">
        <f t="shared" si="1"/>
        <v>0</v>
      </c>
      <c r="H55" s="114">
        <f t="array" ref="H55">IFERROR(IF(B55="",0,INDEX(HPP_ENGINE!$J:$J,MATCH(B55,HPP_ENGINE!$A:$A,0))),0)</f>
        <v>0</v>
      </c>
      <c r="I55" s="114">
        <f t="shared" si="2"/>
        <v>0</v>
      </c>
      <c r="J55" s="114">
        <f t="shared" si="3"/>
        <v>0</v>
      </c>
      <c r="K55" s="133">
        <f t="shared" si="4"/>
        <v>0</v>
      </c>
    </row>
    <row r="56" ht="18.0" customHeight="1">
      <c r="A56" s="134"/>
      <c r="B56" s="77"/>
      <c r="C56" s="77"/>
      <c r="D56" s="135" t="str">
        <f t="array" ref="D56">IFERROR(IF(C56="","",INDEX(PRODUK!$B:$B,MATCH(C56,PRODUK!$A:$A,0))),"")</f>
        <v/>
      </c>
      <c r="E56" s="117"/>
      <c r="F56" s="119">
        <f t="array" ref="F56">IFERROR(IF(C56="",0,INDEX(PRODUK!$F:$F,MATCH(C56,PRODUK!$A:$A,0))),0)</f>
        <v>0</v>
      </c>
      <c r="G56" s="118">
        <f t="shared" si="1"/>
        <v>0</v>
      </c>
      <c r="H56" s="118">
        <f t="array" ref="H56">IFERROR(IF(B56="",0,INDEX(HPP_ENGINE!$J:$J,MATCH(B56,HPP_ENGINE!$A:$A,0))),0)</f>
        <v>0</v>
      </c>
      <c r="I56" s="118">
        <f t="shared" si="2"/>
        <v>0</v>
      </c>
      <c r="J56" s="118">
        <f t="shared" si="3"/>
        <v>0</v>
      </c>
      <c r="K56" s="136">
        <f t="shared" si="4"/>
        <v>0</v>
      </c>
    </row>
    <row r="57" ht="18.0" customHeight="1">
      <c r="A57" s="132"/>
      <c r="B57" s="72"/>
      <c r="C57" s="72"/>
      <c r="D57" s="137" t="str">
        <f t="array" ref="D57">IFERROR(IF(C57="","",INDEX(PRODUK!$B:$B,MATCH(C57,PRODUK!$A:$A,0))),"")</f>
        <v/>
      </c>
      <c r="E57" s="113"/>
      <c r="F57" s="115">
        <f t="array" ref="F57">IFERROR(IF(C57="",0,INDEX(PRODUK!$F:$F,MATCH(C57,PRODUK!$A:$A,0))),0)</f>
        <v>0</v>
      </c>
      <c r="G57" s="114">
        <f t="shared" si="1"/>
        <v>0</v>
      </c>
      <c r="H57" s="114">
        <f t="array" ref="H57">IFERROR(IF(B57="",0,INDEX(HPP_ENGINE!$J:$J,MATCH(B57,HPP_ENGINE!$A:$A,0))),0)</f>
        <v>0</v>
      </c>
      <c r="I57" s="114">
        <f t="shared" si="2"/>
        <v>0</v>
      </c>
      <c r="J57" s="114">
        <f t="shared" si="3"/>
        <v>0</v>
      </c>
      <c r="K57" s="133">
        <f t="shared" si="4"/>
        <v>0</v>
      </c>
    </row>
    <row r="58" ht="18.0" customHeight="1">
      <c r="A58" s="134"/>
      <c r="B58" s="77"/>
      <c r="C58" s="77"/>
      <c r="D58" s="135" t="str">
        <f t="array" ref="D58">IFERROR(IF(C58="","",INDEX(PRODUK!$B:$B,MATCH(C58,PRODUK!$A:$A,0))),"")</f>
        <v/>
      </c>
      <c r="E58" s="117"/>
      <c r="F58" s="119">
        <f t="array" ref="F58">IFERROR(IF(C58="",0,INDEX(PRODUK!$F:$F,MATCH(C58,PRODUK!$A:$A,0))),0)</f>
        <v>0</v>
      </c>
      <c r="G58" s="118">
        <f t="shared" si="1"/>
        <v>0</v>
      </c>
      <c r="H58" s="118">
        <f t="array" ref="H58">IFERROR(IF(B58="",0,INDEX(HPP_ENGINE!$J:$J,MATCH(B58,HPP_ENGINE!$A:$A,0))),0)</f>
        <v>0</v>
      </c>
      <c r="I58" s="118">
        <f t="shared" si="2"/>
        <v>0</v>
      </c>
      <c r="J58" s="118">
        <f t="shared" si="3"/>
        <v>0</v>
      </c>
      <c r="K58" s="136">
        <f t="shared" si="4"/>
        <v>0</v>
      </c>
    </row>
    <row r="59" ht="18.0" customHeight="1">
      <c r="A59" s="132"/>
      <c r="B59" s="72"/>
      <c r="C59" s="72"/>
      <c r="D59" s="137" t="str">
        <f t="array" ref="D59">IFERROR(IF(C59="","",INDEX(PRODUK!$B:$B,MATCH(C59,PRODUK!$A:$A,0))),"")</f>
        <v/>
      </c>
      <c r="E59" s="113"/>
      <c r="F59" s="115">
        <f t="array" ref="F59">IFERROR(IF(C59="",0,INDEX(PRODUK!$F:$F,MATCH(C59,PRODUK!$A:$A,0))),0)</f>
        <v>0</v>
      </c>
      <c r="G59" s="114">
        <f t="shared" si="1"/>
        <v>0</v>
      </c>
      <c r="H59" s="114">
        <f t="array" ref="H59">IFERROR(IF(B59="",0,INDEX(HPP_ENGINE!$J:$J,MATCH(B59,HPP_ENGINE!$A:$A,0))),0)</f>
        <v>0</v>
      </c>
      <c r="I59" s="114">
        <f t="shared" si="2"/>
        <v>0</v>
      </c>
      <c r="J59" s="114">
        <f t="shared" si="3"/>
        <v>0</v>
      </c>
      <c r="K59" s="133">
        <f t="shared" si="4"/>
        <v>0</v>
      </c>
    </row>
    <row r="60" ht="18.0" customHeight="1">
      <c r="A60" s="134"/>
      <c r="B60" s="77"/>
      <c r="C60" s="77"/>
      <c r="D60" s="135" t="str">
        <f t="array" ref="D60">IFERROR(IF(C60="","",INDEX(PRODUK!$B:$B,MATCH(C60,PRODUK!$A:$A,0))),"")</f>
        <v/>
      </c>
      <c r="E60" s="117"/>
      <c r="F60" s="119">
        <f t="array" ref="F60">IFERROR(IF(C60="",0,INDEX(PRODUK!$F:$F,MATCH(C60,PRODUK!$A:$A,0))),0)</f>
        <v>0</v>
      </c>
      <c r="G60" s="118">
        <f t="shared" si="1"/>
        <v>0</v>
      </c>
      <c r="H60" s="118">
        <f t="array" ref="H60">IFERROR(IF(B60="",0,INDEX(HPP_ENGINE!$J:$J,MATCH(B60,HPP_ENGINE!$A:$A,0))),0)</f>
        <v>0</v>
      </c>
      <c r="I60" s="118">
        <f t="shared" si="2"/>
        <v>0</v>
      </c>
      <c r="J60" s="118">
        <f t="shared" si="3"/>
        <v>0</v>
      </c>
      <c r="K60" s="136">
        <f t="shared" si="4"/>
        <v>0</v>
      </c>
    </row>
    <row r="61" ht="18.0" customHeight="1">
      <c r="A61" s="132"/>
      <c r="B61" s="72"/>
      <c r="C61" s="72"/>
      <c r="D61" s="137" t="str">
        <f t="array" ref="D61">IFERROR(IF(C61="","",INDEX(PRODUK!$B:$B,MATCH(C61,PRODUK!$A:$A,0))),"")</f>
        <v/>
      </c>
      <c r="E61" s="113"/>
      <c r="F61" s="115">
        <f t="array" ref="F61">IFERROR(IF(C61="",0,INDEX(PRODUK!$F:$F,MATCH(C61,PRODUK!$A:$A,0))),0)</f>
        <v>0</v>
      </c>
      <c r="G61" s="114">
        <f t="shared" si="1"/>
        <v>0</v>
      </c>
      <c r="H61" s="114">
        <f t="array" ref="H61">IFERROR(IF(B61="",0,INDEX(HPP_ENGINE!$J:$J,MATCH(B61,HPP_ENGINE!$A:$A,0))),0)</f>
        <v>0</v>
      </c>
      <c r="I61" s="114">
        <f t="shared" si="2"/>
        <v>0</v>
      </c>
      <c r="J61" s="114">
        <f t="shared" si="3"/>
        <v>0</v>
      </c>
      <c r="K61" s="133">
        <f t="shared" si="4"/>
        <v>0</v>
      </c>
    </row>
    <row r="62" ht="18.0" customHeight="1">
      <c r="A62" s="134"/>
      <c r="B62" s="77"/>
      <c r="C62" s="77"/>
      <c r="D62" s="135" t="str">
        <f t="array" ref="D62">IFERROR(IF(C62="","",INDEX(PRODUK!$B:$B,MATCH(C62,PRODUK!$A:$A,0))),"")</f>
        <v/>
      </c>
      <c r="E62" s="117"/>
      <c r="F62" s="119">
        <f t="array" ref="F62">IFERROR(IF(C62="",0,INDEX(PRODUK!$F:$F,MATCH(C62,PRODUK!$A:$A,0))),0)</f>
        <v>0</v>
      </c>
      <c r="G62" s="118">
        <f t="shared" si="1"/>
        <v>0</v>
      </c>
      <c r="H62" s="118">
        <f t="array" ref="H62">IFERROR(IF(B62="",0,INDEX(HPP_ENGINE!$J:$J,MATCH(B62,HPP_ENGINE!$A:$A,0))),0)</f>
        <v>0</v>
      </c>
      <c r="I62" s="118">
        <f t="shared" si="2"/>
        <v>0</v>
      </c>
      <c r="J62" s="118">
        <f t="shared" si="3"/>
        <v>0</v>
      </c>
      <c r="K62" s="136">
        <f t="shared" si="4"/>
        <v>0</v>
      </c>
    </row>
    <row r="63" ht="18.0" customHeight="1">
      <c r="A63" s="132"/>
      <c r="B63" s="72"/>
      <c r="C63" s="72"/>
      <c r="D63" s="137" t="str">
        <f t="array" ref="D63">IFERROR(IF(C63="","",INDEX(PRODUK!$B:$B,MATCH(C63,PRODUK!$A:$A,0))),"")</f>
        <v/>
      </c>
      <c r="E63" s="113"/>
      <c r="F63" s="115">
        <f t="array" ref="F63">IFERROR(IF(C63="",0,INDEX(PRODUK!$F:$F,MATCH(C63,PRODUK!$A:$A,0))),0)</f>
        <v>0</v>
      </c>
      <c r="G63" s="114">
        <f t="shared" si="1"/>
        <v>0</v>
      </c>
      <c r="H63" s="114">
        <f t="array" ref="H63">IFERROR(IF(B63="",0,INDEX(HPP_ENGINE!$J:$J,MATCH(B63,HPP_ENGINE!$A:$A,0))),0)</f>
        <v>0</v>
      </c>
      <c r="I63" s="114">
        <f t="shared" si="2"/>
        <v>0</v>
      </c>
      <c r="J63" s="114">
        <f t="shared" si="3"/>
        <v>0</v>
      </c>
      <c r="K63" s="133">
        <f t="shared" si="4"/>
        <v>0</v>
      </c>
    </row>
    <row r="64" ht="18.0" customHeight="1">
      <c r="A64" s="134"/>
      <c r="B64" s="77"/>
      <c r="C64" s="77"/>
      <c r="D64" s="135" t="str">
        <f t="array" ref="D64">IFERROR(IF(C64="","",INDEX(PRODUK!$B:$B,MATCH(C64,PRODUK!$A:$A,0))),"")</f>
        <v/>
      </c>
      <c r="E64" s="117"/>
      <c r="F64" s="119">
        <f t="array" ref="F64">IFERROR(IF(C64="",0,INDEX(PRODUK!$F:$F,MATCH(C64,PRODUK!$A:$A,0))),0)</f>
        <v>0</v>
      </c>
      <c r="G64" s="118">
        <f t="shared" si="1"/>
        <v>0</v>
      </c>
      <c r="H64" s="118">
        <f t="array" ref="H64">IFERROR(IF(B64="",0,INDEX(HPP_ENGINE!$J:$J,MATCH(B64,HPP_ENGINE!$A:$A,0))),0)</f>
        <v>0</v>
      </c>
      <c r="I64" s="118">
        <f t="shared" si="2"/>
        <v>0</v>
      </c>
      <c r="J64" s="118">
        <f t="shared" si="3"/>
        <v>0</v>
      </c>
      <c r="K64" s="136">
        <f t="shared" si="4"/>
        <v>0</v>
      </c>
    </row>
    <row r="65" ht="18.0" customHeight="1">
      <c r="A65" s="132"/>
      <c r="B65" s="72"/>
      <c r="C65" s="72"/>
      <c r="D65" s="137" t="str">
        <f t="array" ref="D65">IFERROR(IF(C65="","",INDEX(PRODUK!$B:$B,MATCH(C65,PRODUK!$A:$A,0))),"")</f>
        <v/>
      </c>
      <c r="E65" s="113"/>
      <c r="F65" s="115">
        <f t="array" ref="F65">IFERROR(IF(C65="",0,INDEX(PRODUK!$F:$F,MATCH(C65,PRODUK!$A:$A,0))),0)</f>
        <v>0</v>
      </c>
      <c r="G65" s="114">
        <f t="shared" si="1"/>
        <v>0</v>
      </c>
      <c r="H65" s="114">
        <f t="array" ref="H65">IFERROR(IF(B65="",0,INDEX(HPP_ENGINE!$J:$J,MATCH(B65,HPP_ENGINE!$A:$A,0))),0)</f>
        <v>0</v>
      </c>
      <c r="I65" s="114">
        <f t="shared" si="2"/>
        <v>0</v>
      </c>
      <c r="J65" s="114">
        <f t="shared" si="3"/>
        <v>0</v>
      </c>
      <c r="K65" s="133">
        <f t="shared" si="4"/>
        <v>0</v>
      </c>
    </row>
    <row r="66" ht="18.0" customHeight="1">
      <c r="A66" s="134"/>
      <c r="B66" s="77"/>
      <c r="C66" s="77"/>
      <c r="D66" s="135" t="str">
        <f t="array" ref="D66">IFERROR(IF(C66="","",INDEX(PRODUK!$B:$B,MATCH(C66,PRODUK!$A:$A,0))),"")</f>
        <v/>
      </c>
      <c r="E66" s="117"/>
      <c r="F66" s="119">
        <f t="array" ref="F66">IFERROR(IF(C66="",0,INDEX(PRODUK!$F:$F,MATCH(C66,PRODUK!$A:$A,0))),0)</f>
        <v>0</v>
      </c>
      <c r="G66" s="118">
        <f t="shared" si="1"/>
        <v>0</v>
      </c>
      <c r="H66" s="118">
        <f t="array" ref="H66">IFERROR(IF(B66="",0,INDEX(HPP_ENGINE!$J:$J,MATCH(B66,HPP_ENGINE!$A:$A,0))),0)</f>
        <v>0</v>
      </c>
      <c r="I66" s="118">
        <f t="shared" si="2"/>
        <v>0</v>
      </c>
      <c r="J66" s="118">
        <f t="shared" si="3"/>
        <v>0</v>
      </c>
      <c r="K66" s="136">
        <f t="shared" si="4"/>
        <v>0</v>
      </c>
    </row>
    <row r="67" ht="18.0" customHeight="1">
      <c r="A67" s="132"/>
      <c r="B67" s="72"/>
      <c r="C67" s="72"/>
      <c r="D67" s="137" t="str">
        <f t="array" ref="D67">IFERROR(IF(C67="","",INDEX(PRODUK!$B:$B,MATCH(C67,PRODUK!$A:$A,0))),"")</f>
        <v/>
      </c>
      <c r="E67" s="113"/>
      <c r="F67" s="115">
        <f t="array" ref="F67">IFERROR(IF(C67="",0,INDEX(PRODUK!$F:$F,MATCH(C67,PRODUK!$A:$A,0))),0)</f>
        <v>0</v>
      </c>
      <c r="G67" s="114">
        <f t="shared" si="1"/>
        <v>0</v>
      </c>
      <c r="H67" s="114">
        <f t="array" ref="H67">IFERROR(IF(B67="",0,INDEX(HPP_ENGINE!$J:$J,MATCH(B67,HPP_ENGINE!$A:$A,0))),0)</f>
        <v>0</v>
      </c>
      <c r="I67" s="114">
        <f t="shared" si="2"/>
        <v>0</v>
      </c>
      <c r="J67" s="114">
        <f t="shared" si="3"/>
        <v>0</v>
      </c>
      <c r="K67" s="133">
        <f t="shared" si="4"/>
        <v>0</v>
      </c>
    </row>
    <row r="68" ht="18.0" customHeight="1">
      <c r="A68" s="134"/>
      <c r="B68" s="77"/>
      <c r="C68" s="77"/>
      <c r="D68" s="135" t="str">
        <f t="array" ref="D68">IFERROR(IF(C68="","",INDEX(PRODUK!$B:$B,MATCH(C68,PRODUK!$A:$A,0))),"")</f>
        <v/>
      </c>
      <c r="E68" s="117"/>
      <c r="F68" s="119">
        <f t="array" ref="F68">IFERROR(IF(C68="",0,INDEX(PRODUK!$F:$F,MATCH(C68,PRODUK!$A:$A,0))),0)</f>
        <v>0</v>
      </c>
      <c r="G68" s="118">
        <f t="shared" si="1"/>
        <v>0</v>
      </c>
      <c r="H68" s="118">
        <f t="array" ref="H68">IFERROR(IF(B68="",0,INDEX(HPP_ENGINE!$J:$J,MATCH(B68,HPP_ENGINE!$A:$A,0))),0)</f>
        <v>0</v>
      </c>
      <c r="I68" s="118">
        <f t="shared" si="2"/>
        <v>0</v>
      </c>
      <c r="J68" s="118">
        <f t="shared" si="3"/>
        <v>0</v>
      </c>
      <c r="K68" s="136">
        <f t="shared" si="4"/>
        <v>0</v>
      </c>
    </row>
    <row r="69" ht="18.0" customHeight="1">
      <c r="A69" s="132"/>
      <c r="B69" s="72"/>
      <c r="C69" s="72"/>
      <c r="D69" s="137" t="str">
        <f t="array" ref="D69">IFERROR(IF(C69="","",INDEX(PRODUK!$B:$B,MATCH(C69,PRODUK!$A:$A,0))),"")</f>
        <v/>
      </c>
      <c r="E69" s="113"/>
      <c r="F69" s="115">
        <f t="array" ref="F69">IFERROR(IF(C69="",0,INDEX(PRODUK!$F:$F,MATCH(C69,PRODUK!$A:$A,0))),0)</f>
        <v>0</v>
      </c>
      <c r="G69" s="114">
        <f t="shared" si="1"/>
        <v>0</v>
      </c>
      <c r="H69" s="114">
        <f t="array" ref="H69">IFERROR(IF(B69="",0,INDEX(HPP_ENGINE!$J:$J,MATCH(B69,HPP_ENGINE!$A:$A,0))),0)</f>
        <v>0</v>
      </c>
      <c r="I69" s="114">
        <f t="shared" si="2"/>
        <v>0</v>
      </c>
      <c r="J69" s="114">
        <f t="shared" si="3"/>
        <v>0</v>
      </c>
      <c r="K69" s="133">
        <f t="shared" si="4"/>
        <v>0</v>
      </c>
    </row>
    <row r="70" ht="18.0" customHeight="1">
      <c r="A70" s="134"/>
      <c r="B70" s="77"/>
      <c r="C70" s="77"/>
      <c r="D70" s="135" t="str">
        <f t="array" ref="D70">IFERROR(IF(C70="","",INDEX(PRODUK!$B:$B,MATCH(C70,PRODUK!$A:$A,0))),"")</f>
        <v/>
      </c>
      <c r="E70" s="117"/>
      <c r="F70" s="119">
        <f t="array" ref="F70">IFERROR(IF(C70="",0,INDEX(PRODUK!$F:$F,MATCH(C70,PRODUK!$A:$A,0))),0)</f>
        <v>0</v>
      </c>
      <c r="G70" s="118">
        <f t="shared" si="1"/>
        <v>0</v>
      </c>
      <c r="H70" s="118">
        <f t="array" ref="H70">IFERROR(IF(B70="",0,INDEX(HPP_ENGINE!$J:$J,MATCH(B70,HPP_ENGINE!$A:$A,0))),0)</f>
        <v>0</v>
      </c>
      <c r="I70" s="118">
        <f t="shared" si="2"/>
        <v>0</v>
      </c>
      <c r="J70" s="118">
        <f t="shared" si="3"/>
        <v>0</v>
      </c>
      <c r="K70" s="136">
        <f t="shared" si="4"/>
        <v>0</v>
      </c>
    </row>
    <row r="71" ht="18.0" customHeight="1">
      <c r="A71" s="132"/>
      <c r="B71" s="72"/>
      <c r="C71" s="72"/>
      <c r="D71" s="137" t="str">
        <f t="array" ref="D71">IFERROR(IF(C71="","",INDEX(PRODUK!$B:$B,MATCH(C71,PRODUK!$A:$A,0))),"")</f>
        <v/>
      </c>
      <c r="E71" s="113"/>
      <c r="F71" s="115">
        <f t="array" ref="F71">IFERROR(IF(C71="",0,INDEX(PRODUK!$F:$F,MATCH(C71,PRODUK!$A:$A,0))),0)</f>
        <v>0</v>
      </c>
      <c r="G71" s="114">
        <f t="shared" si="1"/>
        <v>0</v>
      </c>
      <c r="H71" s="114">
        <f t="array" ref="H71">IFERROR(IF(B71="",0,INDEX(HPP_ENGINE!$J:$J,MATCH(B71,HPP_ENGINE!$A:$A,0))),0)</f>
        <v>0</v>
      </c>
      <c r="I71" s="114">
        <f t="shared" si="2"/>
        <v>0</v>
      </c>
      <c r="J71" s="114">
        <f t="shared" si="3"/>
        <v>0</v>
      </c>
      <c r="K71" s="133">
        <f t="shared" si="4"/>
        <v>0</v>
      </c>
    </row>
    <row r="72" ht="18.0" customHeight="1">
      <c r="A72" s="134"/>
      <c r="B72" s="77"/>
      <c r="C72" s="77"/>
      <c r="D72" s="135" t="str">
        <f t="array" ref="D72">IFERROR(IF(C72="","",INDEX(PRODUK!$B:$B,MATCH(C72,PRODUK!$A:$A,0))),"")</f>
        <v/>
      </c>
      <c r="E72" s="117"/>
      <c r="F72" s="119">
        <f t="array" ref="F72">IFERROR(IF(C72="",0,INDEX(PRODUK!$F:$F,MATCH(C72,PRODUK!$A:$A,0))),0)</f>
        <v>0</v>
      </c>
      <c r="G72" s="118">
        <f t="shared" si="1"/>
        <v>0</v>
      </c>
      <c r="H72" s="118">
        <f t="array" ref="H72">IFERROR(IF(B72="",0,INDEX(HPP_ENGINE!$J:$J,MATCH(B72,HPP_ENGINE!$A:$A,0))),0)</f>
        <v>0</v>
      </c>
      <c r="I72" s="118">
        <f t="shared" si="2"/>
        <v>0</v>
      </c>
      <c r="J72" s="118">
        <f t="shared" si="3"/>
        <v>0</v>
      </c>
      <c r="K72" s="136">
        <f t="shared" si="4"/>
        <v>0</v>
      </c>
    </row>
    <row r="73" ht="18.0" customHeight="1">
      <c r="A73" s="132"/>
      <c r="B73" s="72"/>
      <c r="C73" s="72"/>
      <c r="D73" s="137" t="str">
        <f t="array" ref="D73">IFERROR(IF(C73="","",INDEX(PRODUK!$B:$B,MATCH(C73,PRODUK!$A:$A,0))),"")</f>
        <v/>
      </c>
      <c r="E73" s="113"/>
      <c r="F73" s="115">
        <f t="array" ref="F73">IFERROR(IF(C73="",0,INDEX(PRODUK!$F:$F,MATCH(C73,PRODUK!$A:$A,0))),0)</f>
        <v>0</v>
      </c>
      <c r="G73" s="114">
        <f t="shared" si="1"/>
        <v>0</v>
      </c>
      <c r="H73" s="114">
        <f t="array" ref="H73">IFERROR(IF(B73="",0,INDEX(HPP_ENGINE!$J:$J,MATCH(B73,HPP_ENGINE!$A:$A,0))),0)</f>
        <v>0</v>
      </c>
      <c r="I73" s="114">
        <f t="shared" si="2"/>
        <v>0</v>
      </c>
      <c r="J73" s="114">
        <f t="shared" si="3"/>
        <v>0</v>
      </c>
      <c r="K73" s="133">
        <f t="shared" si="4"/>
        <v>0</v>
      </c>
    </row>
    <row r="74" ht="18.0" customHeight="1">
      <c r="A74" s="134"/>
      <c r="B74" s="77"/>
      <c r="C74" s="77"/>
      <c r="D74" s="135" t="str">
        <f t="array" ref="D74">IFERROR(IF(C74="","",INDEX(PRODUK!$B:$B,MATCH(C74,PRODUK!$A:$A,0))),"")</f>
        <v/>
      </c>
      <c r="E74" s="117"/>
      <c r="F74" s="119">
        <f t="array" ref="F74">IFERROR(IF(C74="",0,INDEX(PRODUK!$F:$F,MATCH(C74,PRODUK!$A:$A,0))),0)</f>
        <v>0</v>
      </c>
      <c r="G74" s="118">
        <f t="shared" si="1"/>
        <v>0</v>
      </c>
      <c r="H74" s="118">
        <f t="array" ref="H74">IFERROR(IF(B74="",0,INDEX(HPP_ENGINE!$J:$J,MATCH(B74,HPP_ENGINE!$A:$A,0))),0)</f>
        <v>0</v>
      </c>
      <c r="I74" s="118">
        <f t="shared" si="2"/>
        <v>0</v>
      </c>
      <c r="J74" s="118">
        <f t="shared" si="3"/>
        <v>0</v>
      </c>
      <c r="K74" s="136">
        <f t="shared" si="4"/>
        <v>0</v>
      </c>
    </row>
    <row r="75" ht="18.0" customHeight="1">
      <c r="A75" s="132"/>
      <c r="B75" s="72"/>
      <c r="C75" s="72"/>
      <c r="D75" s="137" t="str">
        <f t="array" ref="D75">IFERROR(IF(C75="","",INDEX(PRODUK!$B:$B,MATCH(C75,PRODUK!$A:$A,0))),"")</f>
        <v/>
      </c>
      <c r="E75" s="113"/>
      <c r="F75" s="115">
        <f t="array" ref="F75">IFERROR(IF(C75="",0,INDEX(PRODUK!$F:$F,MATCH(C75,PRODUK!$A:$A,0))),0)</f>
        <v>0</v>
      </c>
      <c r="G75" s="114">
        <f t="shared" si="1"/>
        <v>0</v>
      </c>
      <c r="H75" s="114">
        <f t="array" ref="H75">IFERROR(IF(B75="",0,INDEX(HPP_ENGINE!$J:$J,MATCH(B75,HPP_ENGINE!$A:$A,0))),0)</f>
        <v>0</v>
      </c>
      <c r="I75" s="114">
        <f t="shared" si="2"/>
        <v>0</v>
      </c>
      <c r="J75" s="114">
        <f t="shared" si="3"/>
        <v>0</v>
      </c>
      <c r="K75" s="133">
        <f t="shared" si="4"/>
        <v>0</v>
      </c>
    </row>
    <row r="76" ht="18.0" customHeight="1">
      <c r="A76" s="134"/>
      <c r="B76" s="77"/>
      <c r="C76" s="77"/>
      <c r="D76" s="135" t="str">
        <f t="array" ref="D76">IFERROR(IF(C76="","",INDEX(PRODUK!$B:$B,MATCH(C76,PRODUK!$A:$A,0))),"")</f>
        <v/>
      </c>
      <c r="E76" s="117"/>
      <c r="F76" s="119">
        <f t="array" ref="F76">IFERROR(IF(C76="",0,INDEX(PRODUK!$F:$F,MATCH(C76,PRODUK!$A:$A,0))),0)</f>
        <v>0</v>
      </c>
      <c r="G76" s="118">
        <f t="shared" si="1"/>
        <v>0</v>
      </c>
      <c r="H76" s="118">
        <f t="array" ref="H76">IFERROR(IF(B76="",0,INDEX(HPP_ENGINE!$J:$J,MATCH(B76,HPP_ENGINE!$A:$A,0))),0)</f>
        <v>0</v>
      </c>
      <c r="I76" s="118">
        <f t="shared" si="2"/>
        <v>0</v>
      </c>
      <c r="J76" s="118">
        <f t="shared" si="3"/>
        <v>0</v>
      </c>
      <c r="K76" s="136">
        <f t="shared" si="4"/>
        <v>0</v>
      </c>
    </row>
    <row r="77" ht="18.0" customHeight="1">
      <c r="A77" s="132"/>
      <c r="B77" s="72"/>
      <c r="C77" s="72"/>
      <c r="D77" s="137" t="str">
        <f t="array" ref="D77">IFERROR(IF(C77="","",INDEX(PRODUK!$B:$B,MATCH(C77,PRODUK!$A:$A,0))),"")</f>
        <v/>
      </c>
      <c r="E77" s="113"/>
      <c r="F77" s="115">
        <f t="array" ref="F77">IFERROR(IF(C77="",0,INDEX(PRODUK!$F:$F,MATCH(C77,PRODUK!$A:$A,0))),0)</f>
        <v>0</v>
      </c>
      <c r="G77" s="114">
        <f t="shared" si="1"/>
        <v>0</v>
      </c>
      <c r="H77" s="114">
        <f t="array" ref="H77">IFERROR(IF(B77="",0,INDEX(HPP_ENGINE!$J:$J,MATCH(B77,HPP_ENGINE!$A:$A,0))),0)</f>
        <v>0</v>
      </c>
      <c r="I77" s="114">
        <f t="shared" si="2"/>
        <v>0</v>
      </c>
      <c r="J77" s="114">
        <f t="shared" si="3"/>
        <v>0</v>
      </c>
      <c r="K77" s="133">
        <f t="shared" si="4"/>
        <v>0</v>
      </c>
    </row>
    <row r="78" ht="18.0" customHeight="1">
      <c r="A78" s="134"/>
      <c r="B78" s="77"/>
      <c r="C78" s="77"/>
      <c r="D78" s="135" t="str">
        <f t="array" ref="D78">IFERROR(IF(C78="","",INDEX(PRODUK!$B:$B,MATCH(C78,PRODUK!$A:$A,0))),"")</f>
        <v/>
      </c>
      <c r="E78" s="117"/>
      <c r="F78" s="119">
        <f t="array" ref="F78">IFERROR(IF(C78="",0,INDEX(PRODUK!$F:$F,MATCH(C78,PRODUK!$A:$A,0))),0)</f>
        <v>0</v>
      </c>
      <c r="G78" s="118">
        <f t="shared" si="1"/>
        <v>0</v>
      </c>
      <c r="H78" s="118">
        <f t="array" ref="H78">IFERROR(IF(B78="",0,INDEX(HPP_ENGINE!$J:$J,MATCH(B78,HPP_ENGINE!$A:$A,0))),0)</f>
        <v>0</v>
      </c>
      <c r="I78" s="118">
        <f t="shared" si="2"/>
        <v>0</v>
      </c>
      <c r="J78" s="118">
        <f t="shared" si="3"/>
        <v>0</v>
      </c>
      <c r="K78" s="136">
        <f t="shared" si="4"/>
        <v>0</v>
      </c>
    </row>
    <row r="79" ht="18.0" customHeight="1">
      <c r="A79" s="132"/>
      <c r="B79" s="72"/>
      <c r="C79" s="72"/>
      <c r="D79" s="137" t="str">
        <f t="array" ref="D79">IFERROR(IF(C79="","",INDEX(PRODUK!$B:$B,MATCH(C79,PRODUK!$A:$A,0))),"")</f>
        <v/>
      </c>
      <c r="E79" s="113"/>
      <c r="F79" s="115">
        <f t="array" ref="F79">IFERROR(IF(C79="",0,INDEX(PRODUK!$F:$F,MATCH(C79,PRODUK!$A:$A,0))),0)</f>
        <v>0</v>
      </c>
      <c r="G79" s="114">
        <f t="shared" si="1"/>
        <v>0</v>
      </c>
      <c r="H79" s="114">
        <f t="array" ref="H79">IFERROR(IF(B79="",0,INDEX(HPP_ENGINE!$J:$J,MATCH(B79,HPP_ENGINE!$A:$A,0))),0)</f>
        <v>0</v>
      </c>
      <c r="I79" s="114">
        <f t="shared" si="2"/>
        <v>0</v>
      </c>
      <c r="J79" s="114">
        <f t="shared" si="3"/>
        <v>0</v>
      </c>
      <c r="K79" s="133">
        <f t="shared" si="4"/>
        <v>0</v>
      </c>
    </row>
    <row r="80" ht="18.0" customHeight="1">
      <c r="A80" s="134"/>
      <c r="B80" s="77"/>
      <c r="C80" s="77"/>
      <c r="D80" s="135" t="str">
        <f t="array" ref="D80">IFERROR(IF(C80="","",INDEX(PRODUK!$B:$B,MATCH(C80,PRODUK!$A:$A,0))),"")</f>
        <v/>
      </c>
      <c r="E80" s="117"/>
      <c r="F80" s="119">
        <f t="array" ref="F80">IFERROR(IF(C80="",0,INDEX(PRODUK!$F:$F,MATCH(C80,PRODUK!$A:$A,0))),0)</f>
        <v>0</v>
      </c>
      <c r="G80" s="118">
        <f t="shared" si="1"/>
        <v>0</v>
      </c>
      <c r="H80" s="118">
        <f t="array" ref="H80">IFERROR(IF(B80="",0,INDEX(HPP_ENGINE!$J:$J,MATCH(B80,HPP_ENGINE!$A:$A,0))),0)</f>
        <v>0</v>
      </c>
      <c r="I80" s="118">
        <f t="shared" si="2"/>
        <v>0</v>
      </c>
      <c r="J80" s="118">
        <f t="shared" si="3"/>
        <v>0</v>
      </c>
      <c r="K80" s="136">
        <f t="shared" si="4"/>
        <v>0</v>
      </c>
    </row>
    <row r="81" ht="18.0" customHeight="1">
      <c r="A81" s="132"/>
      <c r="B81" s="72"/>
      <c r="C81" s="72"/>
      <c r="D81" s="137" t="str">
        <f t="array" ref="D81">IFERROR(IF(C81="","",INDEX(PRODUK!$B:$B,MATCH(C81,PRODUK!$A:$A,0))),"")</f>
        <v/>
      </c>
      <c r="E81" s="113"/>
      <c r="F81" s="115">
        <f t="array" ref="F81">IFERROR(IF(C81="",0,INDEX(PRODUK!$F:$F,MATCH(C81,PRODUK!$A:$A,0))),0)</f>
        <v>0</v>
      </c>
      <c r="G81" s="114">
        <f t="shared" si="1"/>
        <v>0</v>
      </c>
      <c r="H81" s="114">
        <f t="array" ref="H81">IFERROR(IF(B81="",0,INDEX(HPP_ENGINE!$J:$J,MATCH(B81,HPP_ENGINE!$A:$A,0))),0)</f>
        <v>0</v>
      </c>
      <c r="I81" s="114">
        <f t="shared" si="2"/>
        <v>0</v>
      </c>
      <c r="J81" s="114">
        <f t="shared" si="3"/>
        <v>0</v>
      </c>
      <c r="K81" s="133">
        <f t="shared" si="4"/>
        <v>0</v>
      </c>
    </row>
    <row r="82" ht="18.0" customHeight="1">
      <c r="A82" s="134"/>
      <c r="B82" s="77"/>
      <c r="C82" s="77"/>
      <c r="D82" s="135" t="str">
        <f t="array" ref="D82">IFERROR(IF(C82="","",INDEX(PRODUK!$B:$B,MATCH(C82,PRODUK!$A:$A,0))),"")</f>
        <v/>
      </c>
      <c r="E82" s="117"/>
      <c r="F82" s="119">
        <f t="array" ref="F82">IFERROR(IF(C82="",0,INDEX(PRODUK!$F:$F,MATCH(C82,PRODUK!$A:$A,0))),0)</f>
        <v>0</v>
      </c>
      <c r="G82" s="118">
        <f t="shared" si="1"/>
        <v>0</v>
      </c>
      <c r="H82" s="118">
        <f t="array" ref="H82">IFERROR(IF(B82="",0,INDEX(HPP_ENGINE!$J:$J,MATCH(B82,HPP_ENGINE!$A:$A,0))),0)</f>
        <v>0</v>
      </c>
      <c r="I82" s="118">
        <f t="shared" si="2"/>
        <v>0</v>
      </c>
      <c r="J82" s="118">
        <f t="shared" si="3"/>
        <v>0</v>
      </c>
      <c r="K82" s="136">
        <f t="shared" si="4"/>
        <v>0</v>
      </c>
    </row>
    <row r="83" ht="18.0" customHeight="1">
      <c r="A83" s="132"/>
      <c r="B83" s="72"/>
      <c r="C83" s="72"/>
      <c r="D83" s="137" t="str">
        <f t="array" ref="D83">IFERROR(IF(C83="","",INDEX(PRODUK!$B:$B,MATCH(C83,PRODUK!$A:$A,0))),"")</f>
        <v/>
      </c>
      <c r="E83" s="113"/>
      <c r="F83" s="115">
        <f t="array" ref="F83">IFERROR(IF(C83="",0,INDEX(PRODUK!$F:$F,MATCH(C83,PRODUK!$A:$A,0))),0)</f>
        <v>0</v>
      </c>
      <c r="G83" s="114">
        <f t="shared" si="1"/>
        <v>0</v>
      </c>
      <c r="H83" s="114">
        <f t="array" ref="H83">IFERROR(IF(B83="",0,INDEX(HPP_ENGINE!$J:$J,MATCH(B83,HPP_ENGINE!$A:$A,0))),0)</f>
        <v>0</v>
      </c>
      <c r="I83" s="114">
        <f t="shared" si="2"/>
        <v>0</v>
      </c>
      <c r="J83" s="114">
        <f t="shared" si="3"/>
        <v>0</v>
      </c>
      <c r="K83" s="133">
        <f t="shared" si="4"/>
        <v>0</v>
      </c>
    </row>
    <row r="84" ht="18.0" customHeight="1">
      <c r="A84" s="134"/>
      <c r="B84" s="77"/>
      <c r="C84" s="77"/>
      <c r="D84" s="135" t="str">
        <f t="array" ref="D84">IFERROR(IF(C84="","",INDEX(PRODUK!$B:$B,MATCH(C84,PRODUK!$A:$A,0))),"")</f>
        <v/>
      </c>
      <c r="E84" s="117"/>
      <c r="F84" s="119">
        <f t="array" ref="F84">IFERROR(IF(C84="",0,INDEX(PRODUK!$F:$F,MATCH(C84,PRODUK!$A:$A,0))),0)</f>
        <v>0</v>
      </c>
      <c r="G84" s="118">
        <f t="shared" si="1"/>
        <v>0</v>
      </c>
      <c r="H84" s="118">
        <f t="array" ref="H84">IFERROR(IF(B84="",0,INDEX(HPP_ENGINE!$J:$J,MATCH(B84,HPP_ENGINE!$A:$A,0))),0)</f>
        <v>0</v>
      </c>
      <c r="I84" s="118">
        <f t="shared" si="2"/>
        <v>0</v>
      </c>
      <c r="J84" s="118">
        <f t="shared" si="3"/>
        <v>0</v>
      </c>
      <c r="K84" s="136">
        <f t="shared" si="4"/>
        <v>0</v>
      </c>
    </row>
    <row r="85" ht="18.0" customHeight="1">
      <c r="A85" s="132"/>
      <c r="B85" s="72"/>
      <c r="C85" s="72"/>
      <c r="D85" s="137" t="str">
        <f t="array" ref="D85">IFERROR(IF(C85="","",INDEX(PRODUK!$B:$B,MATCH(C85,PRODUK!$A:$A,0))),"")</f>
        <v/>
      </c>
      <c r="E85" s="113"/>
      <c r="F85" s="115">
        <f t="array" ref="F85">IFERROR(IF(C85="",0,INDEX(PRODUK!$F:$F,MATCH(C85,PRODUK!$A:$A,0))),0)</f>
        <v>0</v>
      </c>
      <c r="G85" s="114">
        <f t="shared" si="1"/>
        <v>0</v>
      </c>
      <c r="H85" s="114">
        <f t="array" ref="H85">IFERROR(IF(B85="",0,INDEX(HPP_ENGINE!$J:$J,MATCH(B85,HPP_ENGINE!$A:$A,0))),0)</f>
        <v>0</v>
      </c>
      <c r="I85" s="114">
        <f t="shared" si="2"/>
        <v>0</v>
      </c>
      <c r="J85" s="114">
        <f t="shared" si="3"/>
        <v>0</v>
      </c>
      <c r="K85" s="133">
        <f t="shared" si="4"/>
        <v>0</v>
      </c>
    </row>
    <row r="86" ht="18.0" customHeight="1">
      <c r="A86" s="134"/>
      <c r="B86" s="77"/>
      <c r="C86" s="77"/>
      <c r="D86" s="135" t="str">
        <f t="array" ref="D86">IFERROR(IF(C86="","",INDEX(PRODUK!$B:$B,MATCH(C86,PRODUK!$A:$A,0))),"")</f>
        <v/>
      </c>
      <c r="E86" s="117"/>
      <c r="F86" s="119">
        <f t="array" ref="F86">IFERROR(IF(C86="",0,INDEX(PRODUK!$F:$F,MATCH(C86,PRODUK!$A:$A,0))),0)</f>
        <v>0</v>
      </c>
      <c r="G86" s="118">
        <f t="shared" si="1"/>
        <v>0</v>
      </c>
      <c r="H86" s="118">
        <f t="array" ref="H86">IFERROR(IF(B86="",0,INDEX(HPP_ENGINE!$J:$J,MATCH(B86,HPP_ENGINE!$A:$A,0))),0)</f>
        <v>0</v>
      </c>
      <c r="I86" s="118">
        <f t="shared" si="2"/>
        <v>0</v>
      </c>
      <c r="J86" s="118">
        <f t="shared" si="3"/>
        <v>0</v>
      </c>
      <c r="K86" s="136">
        <f t="shared" si="4"/>
        <v>0</v>
      </c>
    </row>
    <row r="87" ht="18.0" customHeight="1">
      <c r="A87" s="132"/>
      <c r="B87" s="72"/>
      <c r="C87" s="72"/>
      <c r="D87" s="137" t="str">
        <f t="array" ref="D87">IFERROR(IF(C87="","",INDEX(PRODUK!$B:$B,MATCH(C87,PRODUK!$A:$A,0))),"")</f>
        <v/>
      </c>
      <c r="E87" s="113"/>
      <c r="F87" s="115">
        <f t="array" ref="F87">IFERROR(IF(C87="",0,INDEX(PRODUK!$F:$F,MATCH(C87,PRODUK!$A:$A,0))),0)</f>
        <v>0</v>
      </c>
      <c r="G87" s="114">
        <f t="shared" si="1"/>
        <v>0</v>
      </c>
      <c r="H87" s="114">
        <f t="array" ref="H87">IFERROR(IF(B87="",0,INDEX(HPP_ENGINE!$J:$J,MATCH(B87,HPP_ENGINE!$A:$A,0))),0)</f>
        <v>0</v>
      </c>
      <c r="I87" s="114">
        <f t="shared" si="2"/>
        <v>0</v>
      </c>
      <c r="J87" s="114">
        <f t="shared" si="3"/>
        <v>0</v>
      </c>
      <c r="K87" s="133">
        <f t="shared" si="4"/>
        <v>0</v>
      </c>
    </row>
    <row r="88" ht="18.0" customHeight="1">
      <c r="A88" s="134"/>
      <c r="B88" s="77"/>
      <c r="C88" s="77"/>
      <c r="D88" s="135" t="str">
        <f t="array" ref="D88">IFERROR(IF(C88="","",INDEX(PRODUK!$B:$B,MATCH(C88,PRODUK!$A:$A,0))),"")</f>
        <v/>
      </c>
      <c r="E88" s="117"/>
      <c r="F88" s="119">
        <f t="array" ref="F88">IFERROR(IF(C88="",0,INDEX(PRODUK!$F:$F,MATCH(C88,PRODUK!$A:$A,0))),0)</f>
        <v>0</v>
      </c>
      <c r="G88" s="118">
        <f t="shared" si="1"/>
        <v>0</v>
      </c>
      <c r="H88" s="118">
        <f t="array" ref="H88">IFERROR(IF(B88="",0,INDEX(HPP_ENGINE!$J:$J,MATCH(B88,HPP_ENGINE!$A:$A,0))),0)</f>
        <v>0</v>
      </c>
      <c r="I88" s="118">
        <f t="shared" si="2"/>
        <v>0</v>
      </c>
      <c r="J88" s="118">
        <f t="shared" si="3"/>
        <v>0</v>
      </c>
      <c r="K88" s="136">
        <f t="shared" si="4"/>
        <v>0</v>
      </c>
    </row>
    <row r="89" ht="18.0" customHeight="1">
      <c r="A89" s="132"/>
      <c r="B89" s="72"/>
      <c r="C89" s="72"/>
      <c r="D89" s="137" t="str">
        <f t="array" ref="D89">IFERROR(IF(C89="","",INDEX(PRODUK!$B:$B,MATCH(C89,PRODUK!$A:$A,0))),"")</f>
        <v/>
      </c>
      <c r="E89" s="113"/>
      <c r="F89" s="115">
        <f t="array" ref="F89">IFERROR(IF(C89="",0,INDEX(PRODUK!$F:$F,MATCH(C89,PRODUK!$A:$A,0))),0)</f>
        <v>0</v>
      </c>
      <c r="G89" s="114">
        <f t="shared" si="1"/>
        <v>0</v>
      </c>
      <c r="H89" s="114">
        <f t="array" ref="H89">IFERROR(IF(B89="",0,INDEX(HPP_ENGINE!$J:$J,MATCH(B89,HPP_ENGINE!$A:$A,0))),0)</f>
        <v>0</v>
      </c>
      <c r="I89" s="114">
        <f t="shared" si="2"/>
        <v>0</v>
      </c>
      <c r="J89" s="114">
        <f t="shared" si="3"/>
        <v>0</v>
      </c>
      <c r="K89" s="133">
        <f t="shared" si="4"/>
        <v>0</v>
      </c>
    </row>
    <row r="90" ht="18.0" customHeight="1">
      <c r="A90" s="134"/>
      <c r="B90" s="77"/>
      <c r="C90" s="77"/>
      <c r="D90" s="135" t="str">
        <f t="array" ref="D90">IFERROR(IF(C90="","",INDEX(PRODUK!$B:$B,MATCH(C90,PRODUK!$A:$A,0))),"")</f>
        <v/>
      </c>
      <c r="E90" s="117"/>
      <c r="F90" s="119">
        <f t="array" ref="F90">IFERROR(IF(C90="",0,INDEX(PRODUK!$F:$F,MATCH(C90,PRODUK!$A:$A,0))),0)</f>
        <v>0</v>
      </c>
      <c r="G90" s="118">
        <f t="shared" si="1"/>
        <v>0</v>
      </c>
      <c r="H90" s="118">
        <f t="array" ref="H90">IFERROR(IF(B90="",0,INDEX(HPP_ENGINE!$J:$J,MATCH(B90,HPP_ENGINE!$A:$A,0))),0)</f>
        <v>0</v>
      </c>
      <c r="I90" s="118">
        <f t="shared" si="2"/>
        <v>0</v>
      </c>
      <c r="J90" s="118">
        <f t="shared" si="3"/>
        <v>0</v>
      </c>
      <c r="K90" s="136">
        <f t="shared" si="4"/>
        <v>0</v>
      </c>
    </row>
    <row r="91" ht="18.0" customHeight="1">
      <c r="A91" s="132"/>
      <c r="B91" s="72"/>
      <c r="C91" s="72"/>
      <c r="D91" s="137" t="str">
        <f t="array" ref="D91">IFERROR(IF(C91="","",INDEX(PRODUK!$B:$B,MATCH(C91,PRODUK!$A:$A,0))),"")</f>
        <v/>
      </c>
      <c r="E91" s="113"/>
      <c r="F91" s="115">
        <f t="array" ref="F91">IFERROR(IF(C91="",0,INDEX(PRODUK!$F:$F,MATCH(C91,PRODUK!$A:$A,0))),0)</f>
        <v>0</v>
      </c>
      <c r="G91" s="114">
        <f t="shared" si="1"/>
        <v>0</v>
      </c>
      <c r="H91" s="114">
        <f t="array" ref="H91">IFERROR(IF(B91="",0,INDEX(HPP_ENGINE!$J:$J,MATCH(B91,HPP_ENGINE!$A:$A,0))),0)</f>
        <v>0</v>
      </c>
      <c r="I91" s="114">
        <f t="shared" si="2"/>
        <v>0</v>
      </c>
      <c r="J91" s="114">
        <f t="shared" si="3"/>
        <v>0</v>
      </c>
      <c r="K91" s="133">
        <f t="shared" si="4"/>
        <v>0</v>
      </c>
    </row>
    <row r="92" ht="18.0" customHeight="1">
      <c r="A92" s="134"/>
      <c r="B92" s="77"/>
      <c r="C92" s="77"/>
      <c r="D92" s="135" t="str">
        <f t="array" ref="D92">IFERROR(IF(C92="","",INDEX(PRODUK!$B:$B,MATCH(C92,PRODUK!$A:$A,0))),"")</f>
        <v/>
      </c>
      <c r="E92" s="117"/>
      <c r="F92" s="119">
        <f t="array" ref="F92">IFERROR(IF(C92="",0,INDEX(PRODUK!$F:$F,MATCH(C92,PRODUK!$A:$A,0))),0)</f>
        <v>0</v>
      </c>
      <c r="G92" s="118">
        <f t="shared" si="1"/>
        <v>0</v>
      </c>
      <c r="H92" s="118">
        <f t="array" ref="H92">IFERROR(IF(B92="",0,INDEX(HPP_ENGINE!$J:$J,MATCH(B92,HPP_ENGINE!$A:$A,0))),0)</f>
        <v>0</v>
      </c>
      <c r="I92" s="118">
        <f t="shared" si="2"/>
        <v>0</v>
      </c>
      <c r="J92" s="118">
        <f t="shared" si="3"/>
        <v>0</v>
      </c>
      <c r="K92" s="136">
        <f t="shared" si="4"/>
        <v>0</v>
      </c>
    </row>
    <row r="93" ht="18.0" customHeight="1">
      <c r="A93" s="132"/>
      <c r="B93" s="72"/>
      <c r="C93" s="72"/>
      <c r="D93" s="137" t="str">
        <f t="array" ref="D93">IFERROR(IF(C93="","",INDEX(PRODUK!$B:$B,MATCH(C93,PRODUK!$A:$A,0))),"")</f>
        <v/>
      </c>
      <c r="E93" s="113"/>
      <c r="F93" s="115">
        <f t="array" ref="F93">IFERROR(IF(C93="",0,INDEX(PRODUK!$F:$F,MATCH(C93,PRODUK!$A:$A,0))),0)</f>
        <v>0</v>
      </c>
      <c r="G93" s="114">
        <f t="shared" si="1"/>
        <v>0</v>
      </c>
      <c r="H93" s="114">
        <f t="array" ref="H93">IFERROR(IF(B93="",0,INDEX(HPP_ENGINE!$J:$J,MATCH(B93,HPP_ENGINE!$A:$A,0))),0)</f>
        <v>0</v>
      </c>
      <c r="I93" s="114">
        <f t="shared" si="2"/>
        <v>0</v>
      </c>
      <c r="J93" s="114">
        <f t="shared" si="3"/>
        <v>0</v>
      </c>
      <c r="K93" s="133">
        <f t="shared" si="4"/>
        <v>0</v>
      </c>
    </row>
    <row r="94" ht="18.0" customHeight="1">
      <c r="A94" s="134"/>
      <c r="B94" s="77"/>
      <c r="C94" s="77"/>
      <c r="D94" s="135" t="str">
        <f t="array" ref="D94">IFERROR(IF(C94="","",INDEX(PRODUK!$B:$B,MATCH(C94,PRODUK!$A:$A,0))),"")</f>
        <v/>
      </c>
      <c r="E94" s="117"/>
      <c r="F94" s="119">
        <f t="array" ref="F94">IFERROR(IF(C94="",0,INDEX(PRODUK!$F:$F,MATCH(C94,PRODUK!$A:$A,0))),0)</f>
        <v>0</v>
      </c>
      <c r="G94" s="118">
        <f t="shared" si="1"/>
        <v>0</v>
      </c>
      <c r="H94" s="118">
        <f t="array" ref="H94">IFERROR(IF(B94="",0,INDEX(HPP_ENGINE!$J:$J,MATCH(B94,HPP_ENGINE!$A:$A,0))),0)</f>
        <v>0</v>
      </c>
      <c r="I94" s="118">
        <f t="shared" si="2"/>
        <v>0</v>
      </c>
      <c r="J94" s="118">
        <f t="shared" si="3"/>
        <v>0</v>
      </c>
      <c r="K94" s="136">
        <f t="shared" si="4"/>
        <v>0</v>
      </c>
    </row>
    <row r="95" ht="18.0" customHeight="1">
      <c r="A95" s="132"/>
      <c r="B95" s="72"/>
      <c r="C95" s="72"/>
      <c r="D95" s="137" t="str">
        <f t="array" ref="D95">IFERROR(IF(C95="","",INDEX(PRODUK!$B:$B,MATCH(C95,PRODUK!$A:$A,0))),"")</f>
        <v/>
      </c>
      <c r="E95" s="113"/>
      <c r="F95" s="115">
        <f t="array" ref="F95">IFERROR(IF(C95="",0,INDEX(PRODUK!$F:$F,MATCH(C95,PRODUK!$A:$A,0))),0)</f>
        <v>0</v>
      </c>
      <c r="G95" s="114">
        <f t="shared" si="1"/>
        <v>0</v>
      </c>
      <c r="H95" s="114">
        <f t="array" ref="H95">IFERROR(IF(B95="",0,INDEX(HPP_ENGINE!$J:$J,MATCH(B95,HPP_ENGINE!$A:$A,0))),0)</f>
        <v>0</v>
      </c>
      <c r="I95" s="114">
        <f t="shared" si="2"/>
        <v>0</v>
      </c>
      <c r="J95" s="114">
        <f t="shared" si="3"/>
        <v>0</v>
      </c>
      <c r="K95" s="133">
        <f t="shared" si="4"/>
        <v>0</v>
      </c>
    </row>
    <row r="96" ht="18.0" customHeight="1">
      <c r="A96" s="134"/>
      <c r="B96" s="77"/>
      <c r="C96" s="77"/>
      <c r="D96" s="135" t="str">
        <f t="array" ref="D96">IFERROR(IF(C96="","",INDEX(PRODUK!$B:$B,MATCH(C96,PRODUK!$A:$A,0))),"")</f>
        <v/>
      </c>
      <c r="E96" s="117"/>
      <c r="F96" s="119">
        <f t="array" ref="F96">IFERROR(IF(C96="",0,INDEX(PRODUK!$F:$F,MATCH(C96,PRODUK!$A:$A,0))),0)</f>
        <v>0</v>
      </c>
      <c r="G96" s="118">
        <f t="shared" si="1"/>
        <v>0</v>
      </c>
      <c r="H96" s="118">
        <f t="array" ref="H96">IFERROR(IF(B96="",0,INDEX(HPP_ENGINE!$J:$J,MATCH(B96,HPP_ENGINE!$A:$A,0))),0)</f>
        <v>0</v>
      </c>
      <c r="I96" s="118">
        <f t="shared" si="2"/>
        <v>0</v>
      </c>
      <c r="J96" s="118">
        <f t="shared" si="3"/>
        <v>0</v>
      </c>
      <c r="K96" s="136">
        <f t="shared" si="4"/>
        <v>0</v>
      </c>
    </row>
    <row r="97" ht="18.0" customHeight="1">
      <c r="A97" s="132"/>
      <c r="B97" s="72"/>
      <c r="C97" s="72"/>
      <c r="D97" s="137" t="str">
        <f t="array" ref="D97">IFERROR(IF(C97="","",INDEX(PRODUK!$B:$B,MATCH(C97,PRODUK!$A:$A,0))),"")</f>
        <v/>
      </c>
      <c r="E97" s="113"/>
      <c r="F97" s="115">
        <f t="array" ref="F97">IFERROR(IF(C97="",0,INDEX(PRODUK!$F:$F,MATCH(C97,PRODUK!$A:$A,0))),0)</f>
        <v>0</v>
      </c>
      <c r="G97" s="114">
        <f t="shared" si="1"/>
        <v>0</v>
      </c>
      <c r="H97" s="114">
        <f t="array" ref="H97">IFERROR(IF(B97="",0,INDEX(HPP_ENGINE!$J:$J,MATCH(B97,HPP_ENGINE!$A:$A,0))),0)</f>
        <v>0</v>
      </c>
      <c r="I97" s="114">
        <f t="shared" si="2"/>
        <v>0</v>
      </c>
      <c r="J97" s="114">
        <f t="shared" si="3"/>
        <v>0</v>
      </c>
      <c r="K97" s="133">
        <f t="shared" si="4"/>
        <v>0</v>
      </c>
    </row>
    <row r="98" ht="18.0" customHeight="1">
      <c r="A98" s="134"/>
      <c r="B98" s="77"/>
      <c r="C98" s="77"/>
      <c r="D98" s="135" t="str">
        <f t="array" ref="D98">IFERROR(IF(C98="","",INDEX(PRODUK!$B:$B,MATCH(C98,PRODUK!$A:$A,0))),"")</f>
        <v/>
      </c>
      <c r="E98" s="117"/>
      <c r="F98" s="119">
        <f t="array" ref="F98">IFERROR(IF(C98="",0,INDEX(PRODUK!$F:$F,MATCH(C98,PRODUK!$A:$A,0))),0)</f>
        <v>0</v>
      </c>
      <c r="G98" s="118">
        <f t="shared" si="1"/>
        <v>0</v>
      </c>
      <c r="H98" s="118">
        <f t="array" ref="H98">IFERROR(IF(B98="",0,INDEX(HPP_ENGINE!$J:$J,MATCH(B98,HPP_ENGINE!$A:$A,0))),0)</f>
        <v>0</v>
      </c>
      <c r="I98" s="118">
        <f t="shared" si="2"/>
        <v>0</v>
      </c>
      <c r="J98" s="118">
        <f t="shared" si="3"/>
        <v>0</v>
      </c>
      <c r="K98" s="136">
        <f t="shared" si="4"/>
        <v>0</v>
      </c>
    </row>
    <row r="99" ht="18.0" customHeight="1">
      <c r="A99" s="132"/>
      <c r="B99" s="72"/>
      <c r="C99" s="72"/>
      <c r="D99" s="137" t="str">
        <f t="array" ref="D99">IFERROR(IF(C99="","",INDEX(PRODUK!$B:$B,MATCH(C99,PRODUK!$A:$A,0))),"")</f>
        <v/>
      </c>
      <c r="E99" s="113"/>
      <c r="F99" s="115">
        <f t="array" ref="F99">IFERROR(IF(C99="",0,INDEX(PRODUK!$F:$F,MATCH(C99,PRODUK!$A:$A,0))),0)</f>
        <v>0</v>
      </c>
      <c r="G99" s="114">
        <f t="shared" si="1"/>
        <v>0</v>
      </c>
      <c r="H99" s="114">
        <f t="array" ref="H99">IFERROR(IF(B99="",0,INDEX(HPP_ENGINE!$J:$J,MATCH(B99,HPP_ENGINE!$A:$A,0))),0)</f>
        <v>0</v>
      </c>
      <c r="I99" s="114">
        <f t="shared" si="2"/>
        <v>0</v>
      </c>
      <c r="J99" s="114">
        <f t="shared" si="3"/>
        <v>0</v>
      </c>
      <c r="K99" s="133">
        <f t="shared" si="4"/>
        <v>0</v>
      </c>
    </row>
    <row r="100" ht="18.0" customHeight="1">
      <c r="A100" s="134"/>
      <c r="B100" s="77"/>
      <c r="C100" s="77"/>
      <c r="D100" s="135" t="str">
        <f t="array" ref="D100">IFERROR(IF(C100="","",INDEX(PRODUK!$B:$B,MATCH(C100,PRODUK!$A:$A,0))),"")</f>
        <v/>
      </c>
      <c r="E100" s="117"/>
      <c r="F100" s="119">
        <f t="array" ref="F100">IFERROR(IF(C100="",0,INDEX(PRODUK!$F:$F,MATCH(C100,PRODUK!$A:$A,0))),0)</f>
        <v>0</v>
      </c>
      <c r="G100" s="118">
        <f t="shared" si="1"/>
        <v>0</v>
      </c>
      <c r="H100" s="118">
        <f t="array" ref="H100">IFERROR(IF(B100="",0,INDEX(HPP_ENGINE!$J:$J,MATCH(B100,HPP_ENGINE!$A:$A,0))),0)</f>
        <v>0</v>
      </c>
      <c r="I100" s="118">
        <f t="shared" si="2"/>
        <v>0</v>
      </c>
      <c r="J100" s="118">
        <f t="shared" si="3"/>
        <v>0</v>
      </c>
      <c r="K100" s="136">
        <f t="shared" si="4"/>
        <v>0</v>
      </c>
    </row>
    <row r="101" ht="18.0" customHeight="1">
      <c r="A101" s="132"/>
      <c r="B101" s="72"/>
      <c r="C101" s="72"/>
      <c r="D101" s="137" t="str">
        <f t="array" ref="D101">IFERROR(IF(C101="","",INDEX(PRODUK!$B:$B,MATCH(C101,PRODUK!$A:$A,0))),"")</f>
        <v/>
      </c>
      <c r="E101" s="113"/>
      <c r="F101" s="115">
        <f t="array" ref="F101">IFERROR(IF(C101="",0,INDEX(PRODUK!$F:$F,MATCH(C101,PRODUK!$A:$A,0))),0)</f>
        <v>0</v>
      </c>
      <c r="G101" s="114">
        <f t="shared" si="1"/>
        <v>0</v>
      </c>
      <c r="H101" s="114">
        <f t="array" ref="H101">IFERROR(IF(B101="",0,INDEX(HPP_ENGINE!$J:$J,MATCH(B101,HPP_ENGINE!$A:$A,0))),0)</f>
        <v>0</v>
      </c>
      <c r="I101" s="114">
        <f t="shared" si="2"/>
        <v>0</v>
      </c>
      <c r="J101" s="114">
        <f t="shared" si="3"/>
        <v>0</v>
      </c>
      <c r="K101" s="133">
        <f t="shared" si="4"/>
        <v>0</v>
      </c>
    </row>
    <row r="102" ht="18.0" customHeight="1">
      <c r="A102" s="134"/>
      <c r="B102" s="77"/>
      <c r="C102" s="77"/>
      <c r="D102" s="135" t="str">
        <f t="array" ref="D102">IFERROR(IF(C102="","",INDEX(PRODUK!$B:$B,MATCH(C102,PRODUK!$A:$A,0))),"")</f>
        <v/>
      </c>
      <c r="E102" s="117"/>
      <c r="F102" s="119">
        <f t="array" ref="F102">IFERROR(IF(C102="",0,INDEX(PRODUK!$F:$F,MATCH(C102,PRODUK!$A:$A,0))),0)</f>
        <v>0</v>
      </c>
      <c r="G102" s="118">
        <f t="shared" si="1"/>
        <v>0</v>
      </c>
      <c r="H102" s="118">
        <f t="array" ref="H102">IFERROR(IF(B102="",0,INDEX(HPP_ENGINE!$J:$J,MATCH(B102,HPP_ENGINE!$A:$A,0))),0)</f>
        <v>0</v>
      </c>
      <c r="I102" s="118">
        <f t="shared" si="2"/>
        <v>0</v>
      </c>
      <c r="J102" s="118">
        <f t="shared" si="3"/>
        <v>0</v>
      </c>
      <c r="K102" s="136">
        <f t="shared" si="4"/>
        <v>0</v>
      </c>
    </row>
    <row r="103" ht="18.0" customHeight="1">
      <c r="A103" s="132"/>
      <c r="B103" s="72"/>
      <c r="C103" s="72"/>
      <c r="D103" s="137" t="str">
        <f t="array" ref="D103">IFERROR(IF(C103="","",INDEX(PRODUK!$B:$B,MATCH(C103,PRODUK!$A:$A,0))),"")</f>
        <v/>
      </c>
      <c r="E103" s="113"/>
      <c r="F103" s="115">
        <f t="array" ref="F103">IFERROR(IF(C103="",0,INDEX(PRODUK!$F:$F,MATCH(C103,PRODUK!$A:$A,0))),0)</f>
        <v>0</v>
      </c>
      <c r="G103" s="114">
        <f t="shared" si="1"/>
        <v>0</v>
      </c>
      <c r="H103" s="114">
        <f t="array" ref="H103">IFERROR(IF(B103="",0,INDEX(HPP_ENGINE!$J:$J,MATCH(B103,HPP_ENGINE!$A:$A,0))),0)</f>
        <v>0</v>
      </c>
      <c r="I103" s="114">
        <f t="shared" si="2"/>
        <v>0</v>
      </c>
      <c r="J103" s="114">
        <f t="shared" si="3"/>
        <v>0</v>
      </c>
      <c r="K103" s="133">
        <f t="shared" si="4"/>
        <v>0</v>
      </c>
    </row>
    <row r="104" ht="18.0" customHeight="1">
      <c r="A104" s="134"/>
      <c r="B104" s="77"/>
      <c r="C104" s="77"/>
      <c r="D104" s="135" t="str">
        <f t="array" ref="D104">IFERROR(IF(C104="","",INDEX(PRODUK!$B:$B,MATCH(C104,PRODUK!$A:$A,0))),"")</f>
        <v/>
      </c>
      <c r="E104" s="117"/>
      <c r="F104" s="119">
        <f t="array" ref="F104">IFERROR(IF(C104="",0,INDEX(PRODUK!$F:$F,MATCH(C104,PRODUK!$A:$A,0))),0)</f>
        <v>0</v>
      </c>
      <c r="G104" s="118">
        <f t="shared" si="1"/>
        <v>0</v>
      </c>
      <c r="H104" s="118">
        <f t="array" ref="H104">IFERROR(IF(B104="",0,INDEX(HPP_ENGINE!$J:$J,MATCH(B104,HPP_ENGINE!$A:$A,0))),0)</f>
        <v>0</v>
      </c>
      <c r="I104" s="118">
        <f t="shared" si="2"/>
        <v>0</v>
      </c>
      <c r="J104" s="118">
        <f t="shared" si="3"/>
        <v>0</v>
      </c>
      <c r="K104" s="136">
        <f t="shared" si="4"/>
        <v>0</v>
      </c>
    </row>
    <row r="105" ht="18.0" customHeight="1">
      <c r="A105" s="132"/>
      <c r="B105" s="72"/>
      <c r="C105" s="72"/>
      <c r="D105" s="137" t="str">
        <f t="array" ref="D105">IFERROR(IF(C105="","",INDEX(PRODUK!$B:$B,MATCH(C105,PRODUK!$A:$A,0))),"")</f>
        <v/>
      </c>
      <c r="E105" s="113"/>
      <c r="F105" s="115">
        <f t="array" ref="F105">IFERROR(IF(C105="",0,INDEX(PRODUK!$F:$F,MATCH(C105,PRODUK!$A:$A,0))),0)</f>
        <v>0</v>
      </c>
      <c r="G105" s="114">
        <f t="shared" si="1"/>
        <v>0</v>
      </c>
      <c r="H105" s="114">
        <f t="array" ref="H105">IFERROR(IF(B105="",0,INDEX(HPP_ENGINE!$J:$J,MATCH(B105,HPP_ENGINE!$A:$A,0))),0)</f>
        <v>0</v>
      </c>
      <c r="I105" s="114">
        <f t="shared" si="2"/>
        <v>0</v>
      </c>
      <c r="J105" s="114">
        <f t="shared" si="3"/>
        <v>0</v>
      </c>
      <c r="K105" s="133">
        <f t="shared" si="4"/>
        <v>0</v>
      </c>
    </row>
    <row r="106" ht="18.0" customHeight="1">
      <c r="A106" s="134"/>
      <c r="B106" s="77"/>
      <c r="C106" s="77"/>
      <c r="D106" s="135" t="str">
        <f t="array" ref="D106">IFERROR(IF(C106="","",INDEX(PRODUK!$B:$B,MATCH(C106,PRODUK!$A:$A,0))),"")</f>
        <v/>
      </c>
      <c r="E106" s="117"/>
      <c r="F106" s="119">
        <f t="array" ref="F106">IFERROR(IF(C106="",0,INDEX(PRODUK!$F:$F,MATCH(C106,PRODUK!$A:$A,0))),0)</f>
        <v>0</v>
      </c>
      <c r="G106" s="118">
        <f t="shared" si="1"/>
        <v>0</v>
      </c>
      <c r="H106" s="118">
        <f t="array" ref="H106">IFERROR(IF(B106="",0,INDEX(HPP_ENGINE!$J:$J,MATCH(B106,HPP_ENGINE!$A:$A,0))),0)</f>
        <v>0</v>
      </c>
      <c r="I106" s="118">
        <f t="shared" si="2"/>
        <v>0</v>
      </c>
      <c r="J106" s="118">
        <f t="shared" si="3"/>
        <v>0</v>
      </c>
      <c r="K106" s="136">
        <f t="shared" si="4"/>
        <v>0</v>
      </c>
    </row>
    <row r="107" ht="18.0" customHeight="1">
      <c r="A107" s="132"/>
      <c r="B107" s="72"/>
      <c r="C107" s="72"/>
      <c r="D107" s="137" t="str">
        <f t="array" ref="D107">IFERROR(IF(C107="","",INDEX(PRODUK!$B:$B,MATCH(C107,PRODUK!$A:$A,0))),"")</f>
        <v/>
      </c>
      <c r="E107" s="113"/>
      <c r="F107" s="115">
        <f t="array" ref="F107">IFERROR(IF(C107="",0,INDEX(PRODUK!$F:$F,MATCH(C107,PRODUK!$A:$A,0))),0)</f>
        <v>0</v>
      </c>
      <c r="G107" s="114">
        <f t="shared" si="1"/>
        <v>0</v>
      </c>
      <c r="H107" s="114">
        <f t="array" ref="H107">IFERROR(IF(B107="",0,INDEX(HPP_ENGINE!$J:$J,MATCH(B107,HPP_ENGINE!$A:$A,0))),0)</f>
        <v>0</v>
      </c>
      <c r="I107" s="114">
        <f t="shared" si="2"/>
        <v>0</v>
      </c>
      <c r="J107" s="114">
        <f t="shared" si="3"/>
        <v>0</v>
      </c>
      <c r="K107" s="133">
        <f t="shared" si="4"/>
        <v>0</v>
      </c>
    </row>
    <row r="108" ht="18.0" customHeight="1">
      <c r="A108" s="134"/>
      <c r="B108" s="77"/>
      <c r="C108" s="77"/>
      <c r="D108" s="135" t="str">
        <f t="array" ref="D108">IFERROR(IF(C108="","",INDEX(PRODUK!$B:$B,MATCH(C108,PRODUK!$A:$A,0))),"")</f>
        <v/>
      </c>
      <c r="E108" s="117"/>
      <c r="F108" s="119">
        <f t="array" ref="F108">IFERROR(IF(C108="",0,INDEX(PRODUK!$F:$F,MATCH(C108,PRODUK!$A:$A,0))),0)</f>
        <v>0</v>
      </c>
      <c r="G108" s="118">
        <f t="shared" si="1"/>
        <v>0</v>
      </c>
      <c r="H108" s="118">
        <f t="array" ref="H108">IFERROR(IF(B108="",0,INDEX(HPP_ENGINE!$J:$J,MATCH(B108,HPP_ENGINE!$A:$A,0))),0)</f>
        <v>0</v>
      </c>
      <c r="I108" s="118">
        <f t="shared" si="2"/>
        <v>0</v>
      </c>
      <c r="J108" s="118">
        <f t="shared" si="3"/>
        <v>0</v>
      </c>
      <c r="K108" s="136">
        <f t="shared" si="4"/>
        <v>0</v>
      </c>
    </row>
    <row r="109" ht="18.0" customHeight="1">
      <c r="A109" s="132"/>
      <c r="B109" s="72"/>
      <c r="C109" s="72"/>
      <c r="D109" s="137" t="str">
        <f t="array" ref="D109">IFERROR(IF(C109="","",INDEX(PRODUK!$B:$B,MATCH(C109,PRODUK!$A:$A,0))),"")</f>
        <v/>
      </c>
      <c r="E109" s="113"/>
      <c r="F109" s="115">
        <f t="array" ref="F109">IFERROR(IF(C109="",0,INDEX(PRODUK!$F:$F,MATCH(C109,PRODUK!$A:$A,0))),0)</f>
        <v>0</v>
      </c>
      <c r="G109" s="114">
        <f t="shared" si="1"/>
        <v>0</v>
      </c>
      <c r="H109" s="114">
        <f t="array" ref="H109">IFERROR(IF(B109="",0,INDEX(HPP_ENGINE!$J:$J,MATCH(B109,HPP_ENGINE!$A:$A,0))),0)</f>
        <v>0</v>
      </c>
      <c r="I109" s="114">
        <f t="shared" si="2"/>
        <v>0</v>
      </c>
      <c r="J109" s="114">
        <f t="shared" si="3"/>
        <v>0</v>
      </c>
      <c r="K109" s="133">
        <f t="shared" si="4"/>
        <v>0</v>
      </c>
    </row>
    <row r="110" ht="18.0" customHeight="1">
      <c r="A110" s="134"/>
      <c r="B110" s="77"/>
      <c r="C110" s="77"/>
      <c r="D110" s="135" t="str">
        <f t="array" ref="D110">IFERROR(IF(C110="","",INDEX(PRODUK!$B:$B,MATCH(C110,PRODUK!$A:$A,0))),"")</f>
        <v/>
      </c>
      <c r="E110" s="117"/>
      <c r="F110" s="119">
        <f t="array" ref="F110">IFERROR(IF(C110="",0,INDEX(PRODUK!$F:$F,MATCH(C110,PRODUK!$A:$A,0))),0)</f>
        <v>0</v>
      </c>
      <c r="G110" s="118">
        <f t="shared" si="1"/>
        <v>0</v>
      </c>
      <c r="H110" s="118">
        <f t="array" ref="H110">IFERROR(IF(B110="",0,INDEX(HPP_ENGINE!$J:$J,MATCH(B110,HPP_ENGINE!$A:$A,0))),0)</f>
        <v>0</v>
      </c>
      <c r="I110" s="118">
        <f t="shared" si="2"/>
        <v>0</v>
      </c>
      <c r="J110" s="118">
        <f t="shared" si="3"/>
        <v>0</v>
      </c>
      <c r="K110" s="136">
        <f t="shared" si="4"/>
        <v>0</v>
      </c>
    </row>
    <row r="111" ht="18.0" customHeight="1">
      <c r="A111" s="132"/>
      <c r="B111" s="72"/>
      <c r="C111" s="72"/>
      <c r="D111" s="137" t="str">
        <f t="array" ref="D111">IFERROR(IF(C111="","",INDEX(PRODUK!$B:$B,MATCH(C111,PRODUK!$A:$A,0))),"")</f>
        <v/>
      </c>
      <c r="E111" s="113"/>
      <c r="F111" s="115">
        <f t="array" ref="F111">IFERROR(IF(C111="",0,INDEX(PRODUK!$F:$F,MATCH(C111,PRODUK!$A:$A,0))),0)</f>
        <v>0</v>
      </c>
      <c r="G111" s="114">
        <f t="shared" si="1"/>
        <v>0</v>
      </c>
      <c r="H111" s="114">
        <f t="array" ref="H111">IFERROR(IF(B111="",0,INDEX(HPP_ENGINE!$J:$J,MATCH(B111,HPP_ENGINE!$A:$A,0))),0)</f>
        <v>0</v>
      </c>
      <c r="I111" s="114">
        <f t="shared" si="2"/>
        <v>0</v>
      </c>
      <c r="J111" s="114">
        <f t="shared" si="3"/>
        <v>0</v>
      </c>
      <c r="K111" s="133">
        <f t="shared" si="4"/>
        <v>0</v>
      </c>
    </row>
    <row r="112" ht="18.0" customHeight="1">
      <c r="A112" s="134"/>
      <c r="B112" s="77"/>
      <c r="C112" s="77"/>
      <c r="D112" s="135" t="str">
        <f t="array" ref="D112">IFERROR(IF(C112="","",INDEX(PRODUK!$B:$B,MATCH(C112,PRODUK!$A:$A,0))),"")</f>
        <v/>
      </c>
      <c r="E112" s="117"/>
      <c r="F112" s="119">
        <f t="array" ref="F112">IFERROR(IF(C112="",0,INDEX(PRODUK!$F:$F,MATCH(C112,PRODUK!$A:$A,0))),0)</f>
        <v>0</v>
      </c>
      <c r="G112" s="118">
        <f t="shared" si="1"/>
        <v>0</v>
      </c>
      <c r="H112" s="118">
        <f t="array" ref="H112">IFERROR(IF(B112="",0,INDEX(HPP_ENGINE!$J:$J,MATCH(B112,HPP_ENGINE!$A:$A,0))),0)</f>
        <v>0</v>
      </c>
      <c r="I112" s="118">
        <f t="shared" si="2"/>
        <v>0</v>
      </c>
      <c r="J112" s="118">
        <f t="shared" si="3"/>
        <v>0</v>
      </c>
      <c r="K112" s="136">
        <f t="shared" si="4"/>
        <v>0</v>
      </c>
    </row>
    <row r="113" ht="18.0" customHeight="1">
      <c r="A113" s="132"/>
      <c r="B113" s="72"/>
      <c r="C113" s="72"/>
      <c r="D113" s="137" t="str">
        <f t="array" ref="D113">IFERROR(IF(C113="","",INDEX(PRODUK!$B:$B,MATCH(C113,PRODUK!$A:$A,0))),"")</f>
        <v/>
      </c>
      <c r="E113" s="113"/>
      <c r="F113" s="115">
        <f t="array" ref="F113">IFERROR(IF(C113="",0,INDEX(PRODUK!$F:$F,MATCH(C113,PRODUK!$A:$A,0))),0)</f>
        <v>0</v>
      </c>
      <c r="G113" s="114">
        <f t="shared" si="1"/>
        <v>0</v>
      </c>
      <c r="H113" s="114">
        <f t="array" ref="H113">IFERROR(IF(B113="",0,INDEX(HPP_ENGINE!$J:$J,MATCH(B113,HPP_ENGINE!$A:$A,0))),0)</f>
        <v>0</v>
      </c>
      <c r="I113" s="114">
        <f t="shared" si="2"/>
        <v>0</v>
      </c>
      <c r="J113" s="114">
        <f t="shared" si="3"/>
        <v>0</v>
      </c>
      <c r="K113" s="133">
        <f t="shared" si="4"/>
        <v>0</v>
      </c>
    </row>
    <row r="114" ht="18.0" customHeight="1">
      <c r="A114" s="134"/>
      <c r="B114" s="77"/>
      <c r="C114" s="77"/>
      <c r="D114" s="135" t="str">
        <f t="array" ref="D114">IFERROR(IF(C114="","",INDEX(PRODUK!$B:$B,MATCH(C114,PRODUK!$A:$A,0))),"")</f>
        <v/>
      </c>
      <c r="E114" s="117"/>
      <c r="F114" s="119">
        <f t="array" ref="F114">IFERROR(IF(C114="",0,INDEX(PRODUK!$F:$F,MATCH(C114,PRODUK!$A:$A,0))),0)</f>
        <v>0</v>
      </c>
      <c r="G114" s="118">
        <f t="shared" si="1"/>
        <v>0</v>
      </c>
      <c r="H114" s="118">
        <f t="array" ref="H114">IFERROR(IF(B114="",0,INDEX(HPP_ENGINE!$J:$J,MATCH(B114,HPP_ENGINE!$A:$A,0))),0)</f>
        <v>0</v>
      </c>
      <c r="I114" s="118">
        <f t="shared" si="2"/>
        <v>0</v>
      </c>
      <c r="J114" s="118">
        <f t="shared" si="3"/>
        <v>0</v>
      </c>
      <c r="K114" s="136">
        <f t="shared" si="4"/>
        <v>0</v>
      </c>
    </row>
    <row r="115" ht="18.0" customHeight="1">
      <c r="A115" s="132"/>
      <c r="B115" s="72"/>
      <c r="C115" s="72"/>
      <c r="D115" s="137" t="str">
        <f t="array" ref="D115">IFERROR(IF(C115="","",INDEX(PRODUK!$B:$B,MATCH(C115,PRODUK!$A:$A,0))),"")</f>
        <v/>
      </c>
      <c r="E115" s="113"/>
      <c r="F115" s="115">
        <f t="array" ref="F115">IFERROR(IF(C115="",0,INDEX(PRODUK!$F:$F,MATCH(C115,PRODUK!$A:$A,0))),0)</f>
        <v>0</v>
      </c>
      <c r="G115" s="114">
        <f t="shared" si="1"/>
        <v>0</v>
      </c>
      <c r="H115" s="114">
        <f t="array" ref="H115">IFERROR(IF(B115="",0,INDEX(HPP_ENGINE!$J:$J,MATCH(B115,HPP_ENGINE!$A:$A,0))),0)</f>
        <v>0</v>
      </c>
      <c r="I115" s="114">
        <f t="shared" si="2"/>
        <v>0</v>
      </c>
      <c r="J115" s="114">
        <f t="shared" si="3"/>
        <v>0</v>
      </c>
      <c r="K115" s="133">
        <f t="shared" si="4"/>
        <v>0</v>
      </c>
    </row>
    <row r="116" ht="18.0" customHeight="1">
      <c r="A116" s="134"/>
      <c r="B116" s="77"/>
      <c r="C116" s="77"/>
      <c r="D116" s="135" t="str">
        <f t="array" ref="D116">IFERROR(IF(C116="","",INDEX(PRODUK!$B:$B,MATCH(C116,PRODUK!$A:$A,0))),"")</f>
        <v/>
      </c>
      <c r="E116" s="117"/>
      <c r="F116" s="119">
        <f t="array" ref="F116">IFERROR(IF(C116="",0,INDEX(PRODUK!$F:$F,MATCH(C116,PRODUK!$A:$A,0))),0)</f>
        <v>0</v>
      </c>
      <c r="G116" s="118">
        <f t="shared" si="1"/>
        <v>0</v>
      </c>
      <c r="H116" s="118">
        <f t="array" ref="H116">IFERROR(IF(B116="",0,INDEX(HPP_ENGINE!$J:$J,MATCH(B116,HPP_ENGINE!$A:$A,0))),0)</f>
        <v>0</v>
      </c>
      <c r="I116" s="118">
        <f t="shared" si="2"/>
        <v>0</v>
      </c>
      <c r="J116" s="118">
        <f t="shared" si="3"/>
        <v>0</v>
      </c>
      <c r="K116" s="136">
        <f t="shared" si="4"/>
        <v>0</v>
      </c>
    </row>
    <row r="117" ht="18.0" customHeight="1">
      <c r="A117" s="132"/>
      <c r="B117" s="72"/>
      <c r="C117" s="72"/>
      <c r="D117" s="137" t="str">
        <f t="array" ref="D117">IFERROR(IF(C117="","",INDEX(PRODUK!$B:$B,MATCH(C117,PRODUK!$A:$A,0))),"")</f>
        <v/>
      </c>
      <c r="E117" s="113"/>
      <c r="F117" s="115">
        <f t="array" ref="F117">IFERROR(IF(C117="",0,INDEX(PRODUK!$F:$F,MATCH(C117,PRODUK!$A:$A,0))),0)</f>
        <v>0</v>
      </c>
      <c r="G117" s="114">
        <f t="shared" si="1"/>
        <v>0</v>
      </c>
      <c r="H117" s="114">
        <f t="array" ref="H117">IFERROR(IF(B117="",0,INDEX(HPP_ENGINE!$J:$J,MATCH(B117,HPP_ENGINE!$A:$A,0))),0)</f>
        <v>0</v>
      </c>
      <c r="I117" s="114">
        <f t="shared" si="2"/>
        <v>0</v>
      </c>
      <c r="J117" s="114">
        <f t="shared" si="3"/>
        <v>0</v>
      </c>
      <c r="K117" s="133">
        <f t="shared" si="4"/>
        <v>0</v>
      </c>
    </row>
    <row r="118" ht="18.0" customHeight="1">
      <c r="A118" s="134"/>
      <c r="B118" s="77"/>
      <c r="C118" s="77"/>
      <c r="D118" s="135" t="str">
        <f t="array" ref="D118">IFERROR(IF(C118="","",INDEX(PRODUK!$B:$B,MATCH(C118,PRODUK!$A:$A,0))),"")</f>
        <v/>
      </c>
      <c r="E118" s="117"/>
      <c r="F118" s="119">
        <f t="array" ref="F118">IFERROR(IF(C118="",0,INDEX(PRODUK!$F:$F,MATCH(C118,PRODUK!$A:$A,0))),0)</f>
        <v>0</v>
      </c>
      <c r="G118" s="118">
        <f t="shared" si="1"/>
        <v>0</v>
      </c>
      <c r="H118" s="118">
        <f t="array" ref="H118">IFERROR(IF(B118="",0,INDEX(HPP_ENGINE!$J:$J,MATCH(B118,HPP_ENGINE!$A:$A,0))),0)</f>
        <v>0</v>
      </c>
      <c r="I118" s="118">
        <f t="shared" si="2"/>
        <v>0</v>
      </c>
      <c r="J118" s="118">
        <f t="shared" si="3"/>
        <v>0</v>
      </c>
      <c r="K118" s="136">
        <f t="shared" si="4"/>
        <v>0</v>
      </c>
    </row>
    <row r="119" ht="18.0" customHeight="1">
      <c r="A119" s="132"/>
      <c r="B119" s="72"/>
      <c r="C119" s="72"/>
      <c r="D119" s="137" t="str">
        <f t="array" ref="D119">IFERROR(IF(C119="","",INDEX(PRODUK!$B:$B,MATCH(C119,PRODUK!$A:$A,0))),"")</f>
        <v/>
      </c>
      <c r="E119" s="113"/>
      <c r="F119" s="115">
        <f t="array" ref="F119">IFERROR(IF(C119="",0,INDEX(PRODUK!$F:$F,MATCH(C119,PRODUK!$A:$A,0))),0)</f>
        <v>0</v>
      </c>
      <c r="G119" s="114">
        <f t="shared" si="1"/>
        <v>0</v>
      </c>
      <c r="H119" s="114">
        <f t="array" ref="H119">IFERROR(IF(B119="",0,INDEX(HPP_ENGINE!$J:$J,MATCH(B119,HPP_ENGINE!$A:$A,0))),0)</f>
        <v>0</v>
      </c>
      <c r="I119" s="114">
        <f t="shared" si="2"/>
        <v>0</v>
      </c>
      <c r="J119" s="114">
        <f t="shared" si="3"/>
        <v>0</v>
      </c>
      <c r="K119" s="133">
        <f t="shared" si="4"/>
        <v>0</v>
      </c>
    </row>
    <row r="120" ht="18.0" customHeight="1">
      <c r="A120" s="134"/>
      <c r="B120" s="77"/>
      <c r="C120" s="77"/>
      <c r="D120" s="135" t="str">
        <f t="array" ref="D120">IFERROR(IF(C120="","",INDEX(PRODUK!$B:$B,MATCH(C120,PRODUK!$A:$A,0))),"")</f>
        <v/>
      </c>
      <c r="E120" s="117"/>
      <c r="F120" s="119">
        <f t="array" ref="F120">IFERROR(IF(C120="",0,INDEX(PRODUK!$F:$F,MATCH(C120,PRODUK!$A:$A,0))),0)</f>
        <v>0</v>
      </c>
      <c r="G120" s="118">
        <f t="shared" si="1"/>
        <v>0</v>
      </c>
      <c r="H120" s="118">
        <f t="array" ref="H120">IFERROR(IF(B120="",0,INDEX(HPP_ENGINE!$J:$J,MATCH(B120,HPP_ENGINE!$A:$A,0))),0)</f>
        <v>0</v>
      </c>
      <c r="I120" s="118">
        <f t="shared" si="2"/>
        <v>0</v>
      </c>
      <c r="J120" s="118">
        <f t="shared" si="3"/>
        <v>0</v>
      </c>
      <c r="K120" s="136">
        <f t="shared" si="4"/>
        <v>0</v>
      </c>
    </row>
    <row r="121" ht="18.0" customHeight="1">
      <c r="A121" s="132"/>
      <c r="B121" s="72"/>
      <c r="C121" s="72"/>
      <c r="D121" s="137" t="str">
        <f t="array" ref="D121">IFERROR(IF(C121="","",INDEX(PRODUK!$B:$B,MATCH(C121,PRODUK!$A:$A,0))),"")</f>
        <v/>
      </c>
      <c r="E121" s="113"/>
      <c r="F121" s="115">
        <f t="array" ref="F121">IFERROR(IF(C121="",0,INDEX(PRODUK!$F:$F,MATCH(C121,PRODUK!$A:$A,0))),0)</f>
        <v>0</v>
      </c>
      <c r="G121" s="114">
        <f t="shared" si="1"/>
        <v>0</v>
      </c>
      <c r="H121" s="114">
        <f t="array" ref="H121">IFERROR(IF(B121="",0,INDEX(HPP_ENGINE!$J:$J,MATCH(B121,HPP_ENGINE!$A:$A,0))),0)</f>
        <v>0</v>
      </c>
      <c r="I121" s="114">
        <f t="shared" si="2"/>
        <v>0</v>
      </c>
      <c r="J121" s="114">
        <f t="shared" si="3"/>
        <v>0</v>
      </c>
      <c r="K121" s="133">
        <f t="shared" si="4"/>
        <v>0</v>
      </c>
    </row>
    <row r="122" ht="18.0" customHeight="1">
      <c r="A122" s="134"/>
      <c r="B122" s="77"/>
      <c r="C122" s="77"/>
      <c r="D122" s="135" t="str">
        <f t="array" ref="D122">IFERROR(IF(C122="","",INDEX(PRODUK!$B:$B,MATCH(C122,PRODUK!$A:$A,0))),"")</f>
        <v/>
      </c>
      <c r="E122" s="117"/>
      <c r="F122" s="119">
        <f t="array" ref="F122">IFERROR(IF(C122="",0,INDEX(PRODUK!$F:$F,MATCH(C122,PRODUK!$A:$A,0))),0)</f>
        <v>0</v>
      </c>
      <c r="G122" s="118">
        <f t="shared" si="1"/>
        <v>0</v>
      </c>
      <c r="H122" s="118">
        <f t="array" ref="H122">IFERROR(IF(B122="",0,INDEX(HPP_ENGINE!$J:$J,MATCH(B122,HPP_ENGINE!$A:$A,0))),0)</f>
        <v>0</v>
      </c>
      <c r="I122" s="118">
        <f t="shared" si="2"/>
        <v>0</v>
      </c>
      <c r="J122" s="118">
        <f t="shared" si="3"/>
        <v>0</v>
      </c>
      <c r="K122" s="136">
        <f t="shared" si="4"/>
        <v>0</v>
      </c>
    </row>
    <row r="123" ht="18.0" customHeight="1">
      <c r="A123" s="132"/>
      <c r="B123" s="72"/>
      <c r="C123" s="72"/>
      <c r="D123" s="137" t="str">
        <f t="array" ref="D123">IFERROR(IF(C123="","",INDEX(PRODUK!$B:$B,MATCH(C123,PRODUK!$A:$A,0))),"")</f>
        <v/>
      </c>
      <c r="E123" s="113"/>
      <c r="F123" s="115">
        <f t="array" ref="F123">IFERROR(IF(C123="",0,INDEX(PRODUK!$F:$F,MATCH(C123,PRODUK!$A:$A,0))),0)</f>
        <v>0</v>
      </c>
      <c r="G123" s="114">
        <f t="shared" si="1"/>
        <v>0</v>
      </c>
      <c r="H123" s="114">
        <f t="array" ref="H123">IFERROR(IF(B123="",0,INDEX(HPP_ENGINE!$J:$J,MATCH(B123,HPP_ENGINE!$A:$A,0))),0)</f>
        <v>0</v>
      </c>
      <c r="I123" s="114">
        <f t="shared" si="2"/>
        <v>0</v>
      </c>
      <c r="J123" s="114">
        <f t="shared" si="3"/>
        <v>0</v>
      </c>
      <c r="K123" s="133">
        <f t="shared" si="4"/>
        <v>0</v>
      </c>
    </row>
    <row r="124" ht="18.0" customHeight="1">
      <c r="A124" s="134"/>
      <c r="B124" s="77"/>
      <c r="C124" s="77"/>
      <c r="D124" s="135" t="str">
        <f t="array" ref="D124">IFERROR(IF(C124="","",INDEX(PRODUK!$B:$B,MATCH(C124,PRODUK!$A:$A,0))),"")</f>
        <v/>
      </c>
      <c r="E124" s="117"/>
      <c r="F124" s="119">
        <f t="array" ref="F124">IFERROR(IF(C124="",0,INDEX(PRODUK!$F:$F,MATCH(C124,PRODUK!$A:$A,0))),0)</f>
        <v>0</v>
      </c>
      <c r="G124" s="118">
        <f t="shared" si="1"/>
        <v>0</v>
      </c>
      <c r="H124" s="118">
        <f t="array" ref="H124">IFERROR(IF(B124="",0,INDEX(HPP_ENGINE!$J:$J,MATCH(B124,HPP_ENGINE!$A:$A,0))),0)</f>
        <v>0</v>
      </c>
      <c r="I124" s="118">
        <f t="shared" si="2"/>
        <v>0</v>
      </c>
      <c r="J124" s="118">
        <f t="shared" si="3"/>
        <v>0</v>
      </c>
      <c r="K124" s="136">
        <f t="shared" si="4"/>
        <v>0</v>
      </c>
    </row>
    <row r="125" ht="18.0" customHeight="1">
      <c r="A125" s="132"/>
      <c r="B125" s="72"/>
      <c r="C125" s="72"/>
      <c r="D125" s="137" t="str">
        <f t="array" ref="D125">IFERROR(IF(C125="","",INDEX(PRODUK!$B:$B,MATCH(C125,PRODUK!$A:$A,0))),"")</f>
        <v/>
      </c>
      <c r="E125" s="113"/>
      <c r="F125" s="115">
        <f t="array" ref="F125">IFERROR(IF(C125="",0,INDEX(PRODUK!$F:$F,MATCH(C125,PRODUK!$A:$A,0))),0)</f>
        <v>0</v>
      </c>
      <c r="G125" s="114">
        <f t="shared" si="1"/>
        <v>0</v>
      </c>
      <c r="H125" s="114">
        <f t="array" ref="H125">IFERROR(IF(B125="",0,INDEX(HPP_ENGINE!$J:$J,MATCH(B125,HPP_ENGINE!$A:$A,0))),0)</f>
        <v>0</v>
      </c>
      <c r="I125" s="114">
        <f t="shared" si="2"/>
        <v>0</v>
      </c>
      <c r="J125" s="114">
        <f t="shared" si="3"/>
        <v>0</v>
      </c>
      <c r="K125" s="133">
        <f t="shared" si="4"/>
        <v>0</v>
      </c>
    </row>
    <row r="126" ht="18.0" customHeight="1">
      <c r="A126" s="134"/>
      <c r="B126" s="77"/>
      <c r="C126" s="77"/>
      <c r="D126" s="135" t="str">
        <f t="array" ref="D126">IFERROR(IF(C126="","",INDEX(PRODUK!$B:$B,MATCH(C126,PRODUK!$A:$A,0))),"")</f>
        <v/>
      </c>
      <c r="E126" s="117"/>
      <c r="F126" s="119">
        <f t="array" ref="F126">IFERROR(IF(C126="",0,INDEX(PRODUK!$F:$F,MATCH(C126,PRODUK!$A:$A,0))),0)</f>
        <v>0</v>
      </c>
      <c r="G126" s="118">
        <f t="shared" si="1"/>
        <v>0</v>
      </c>
      <c r="H126" s="118">
        <f t="array" ref="H126">IFERROR(IF(B126="",0,INDEX(HPP_ENGINE!$J:$J,MATCH(B126,HPP_ENGINE!$A:$A,0))),0)</f>
        <v>0</v>
      </c>
      <c r="I126" s="118">
        <f t="shared" si="2"/>
        <v>0</v>
      </c>
      <c r="J126" s="118">
        <f t="shared" si="3"/>
        <v>0</v>
      </c>
      <c r="K126" s="136">
        <f t="shared" si="4"/>
        <v>0</v>
      </c>
    </row>
    <row r="127" ht="18.0" customHeight="1">
      <c r="A127" s="132"/>
      <c r="B127" s="72"/>
      <c r="C127" s="72"/>
      <c r="D127" s="137" t="str">
        <f t="array" ref="D127">IFERROR(IF(C127="","",INDEX(PRODUK!$B:$B,MATCH(C127,PRODUK!$A:$A,0))),"")</f>
        <v/>
      </c>
      <c r="E127" s="113"/>
      <c r="F127" s="115">
        <f t="array" ref="F127">IFERROR(IF(C127="",0,INDEX(PRODUK!$F:$F,MATCH(C127,PRODUK!$A:$A,0))),0)</f>
        <v>0</v>
      </c>
      <c r="G127" s="114">
        <f t="shared" si="1"/>
        <v>0</v>
      </c>
      <c r="H127" s="114">
        <f t="array" ref="H127">IFERROR(IF(B127="",0,INDEX(HPP_ENGINE!$J:$J,MATCH(B127,HPP_ENGINE!$A:$A,0))),0)</f>
        <v>0</v>
      </c>
      <c r="I127" s="114">
        <f t="shared" si="2"/>
        <v>0</v>
      </c>
      <c r="J127" s="114">
        <f t="shared" si="3"/>
        <v>0</v>
      </c>
      <c r="K127" s="133">
        <f t="shared" si="4"/>
        <v>0</v>
      </c>
    </row>
    <row r="128" ht="18.0" customHeight="1">
      <c r="A128" s="134"/>
      <c r="B128" s="77"/>
      <c r="C128" s="77"/>
      <c r="D128" s="135" t="str">
        <f t="array" ref="D128">IFERROR(IF(C128="","",INDEX(PRODUK!$B:$B,MATCH(C128,PRODUK!$A:$A,0))),"")</f>
        <v/>
      </c>
      <c r="E128" s="117"/>
      <c r="F128" s="119">
        <f t="array" ref="F128">IFERROR(IF(C128="",0,INDEX(PRODUK!$F:$F,MATCH(C128,PRODUK!$A:$A,0))),0)</f>
        <v>0</v>
      </c>
      <c r="G128" s="118">
        <f t="shared" si="1"/>
        <v>0</v>
      </c>
      <c r="H128" s="118">
        <f t="array" ref="H128">IFERROR(IF(B128="",0,INDEX(HPP_ENGINE!$J:$J,MATCH(B128,HPP_ENGINE!$A:$A,0))),0)</f>
        <v>0</v>
      </c>
      <c r="I128" s="118">
        <f t="shared" si="2"/>
        <v>0</v>
      </c>
      <c r="J128" s="118">
        <f t="shared" si="3"/>
        <v>0</v>
      </c>
      <c r="K128" s="136">
        <f t="shared" si="4"/>
        <v>0</v>
      </c>
    </row>
    <row r="129" ht="18.0" customHeight="1">
      <c r="A129" s="132"/>
      <c r="B129" s="72"/>
      <c r="C129" s="72"/>
      <c r="D129" s="137" t="str">
        <f t="array" ref="D129">IFERROR(IF(C129="","",INDEX(PRODUK!$B:$B,MATCH(C129,PRODUK!$A:$A,0))),"")</f>
        <v/>
      </c>
      <c r="E129" s="113"/>
      <c r="F129" s="115">
        <f t="array" ref="F129">IFERROR(IF(C129="",0,INDEX(PRODUK!$F:$F,MATCH(C129,PRODUK!$A:$A,0))),0)</f>
        <v>0</v>
      </c>
      <c r="G129" s="114">
        <f t="shared" si="1"/>
        <v>0</v>
      </c>
      <c r="H129" s="114">
        <f t="array" ref="H129">IFERROR(IF(B129="",0,INDEX(HPP_ENGINE!$J:$J,MATCH(B129,HPP_ENGINE!$A:$A,0))),0)</f>
        <v>0</v>
      </c>
      <c r="I129" s="114">
        <f t="shared" si="2"/>
        <v>0</v>
      </c>
      <c r="J129" s="114">
        <f t="shared" si="3"/>
        <v>0</v>
      </c>
      <c r="K129" s="133">
        <f t="shared" si="4"/>
        <v>0</v>
      </c>
    </row>
    <row r="130" ht="18.0" customHeight="1">
      <c r="A130" s="134"/>
      <c r="B130" s="77"/>
      <c r="C130" s="77"/>
      <c r="D130" s="135" t="str">
        <f t="array" ref="D130">IFERROR(IF(C130="","",INDEX(PRODUK!$B:$B,MATCH(C130,PRODUK!$A:$A,0))),"")</f>
        <v/>
      </c>
      <c r="E130" s="117"/>
      <c r="F130" s="119">
        <f t="array" ref="F130">IFERROR(IF(C130="",0,INDEX(PRODUK!$F:$F,MATCH(C130,PRODUK!$A:$A,0))),0)</f>
        <v>0</v>
      </c>
      <c r="G130" s="118">
        <f t="shared" si="1"/>
        <v>0</v>
      </c>
      <c r="H130" s="118">
        <f t="array" ref="H130">IFERROR(IF(B130="",0,INDEX(HPP_ENGINE!$J:$J,MATCH(B130,HPP_ENGINE!$A:$A,0))),0)</f>
        <v>0</v>
      </c>
      <c r="I130" s="118">
        <f t="shared" si="2"/>
        <v>0</v>
      </c>
      <c r="J130" s="118">
        <f t="shared" si="3"/>
        <v>0</v>
      </c>
      <c r="K130" s="136">
        <f t="shared" si="4"/>
        <v>0</v>
      </c>
    </row>
    <row r="131" ht="18.0" customHeight="1">
      <c r="A131" s="132"/>
      <c r="B131" s="72"/>
      <c r="C131" s="72"/>
      <c r="D131" s="137" t="str">
        <f t="array" ref="D131">IFERROR(IF(C131="","",INDEX(PRODUK!$B:$B,MATCH(C131,PRODUK!$A:$A,0))),"")</f>
        <v/>
      </c>
      <c r="E131" s="113"/>
      <c r="F131" s="115">
        <f t="array" ref="F131">IFERROR(IF(C131="",0,INDEX(PRODUK!$F:$F,MATCH(C131,PRODUK!$A:$A,0))),0)</f>
        <v>0</v>
      </c>
      <c r="G131" s="114">
        <f t="shared" si="1"/>
        <v>0</v>
      </c>
      <c r="H131" s="114">
        <f t="array" ref="H131">IFERROR(IF(B131="",0,INDEX(HPP_ENGINE!$J:$J,MATCH(B131,HPP_ENGINE!$A:$A,0))),0)</f>
        <v>0</v>
      </c>
      <c r="I131" s="114">
        <f t="shared" si="2"/>
        <v>0</v>
      </c>
      <c r="J131" s="114">
        <f t="shared" si="3"/>
        <v>0</v>
      </c>
      <c r="K131" s="133">
        <f t="shared" si="4"/>
        <v>0</v>
      </c>
    </row>
    <row r="132" ht="18.0" customHeight="1">
      <c r="A132" s="134"/>
      <c r="B132" s="77"/>
      <c r="C132" s="77"/>
      <c r="D132" s="135" t="str">
        <f t="array" ref="D132">IFERROR(IF(C132="","",INDEX(PRODUK!$B:$B,MATCH(C132,PRODUK!$A:$A,0))),"")</f>
        <v/>
      </c>
      <c r="E132" s="117"/>
      <c r="F132" s="119">
        <f t="array" ref="F132">IFERROR(IF(C132="",0,INDEX(PRODUK!$F:$F,MATCH(C132,PRODUK!$A:$A,0))),0)</f>
        <v>0</v>
      </c>
      <c r="G132" s="118">
        <f t="shared" si="1"/>
        <v>0</v>
      </c>
      <c r="H132" s="118">
        <f t="array" ref="H132">IFERROR(IF(B132="",0,INDEX(HPP_ENGINE!$J:$J,MATCH(B132,HPP_ENGINE!$A:$A,0))),0)</f>
        <v>0</v>
      </c>
      <c r="I132" s="118">
        <f t="shared" si="2"/>
        <v>0</v>
      </c>
      <c r="J132" s="118">
        <f t="shared" si="3"/>
        <v>0</v>
      </c>
      <c r="K132" s="136">
        <f t="shared" si="4"/>
        <v>0</v>
      </c>
    </row>
    <row r="133" ht="18.0" customHeight="1">
      <c r="A133" s="132"/>
      <c r="B133" s="72"/>
      <c r="C133" s="72"/>
      <c r="D133" s="137" t="str">
        <f t="array" ref="D133">IFERROR(IF(C133="","",INDEX(PRODUK!$B:$B,MATCH(C133,PRODUK!$A:$A,0))),"")</f>
        <v/>
      </c>
      <c r="E133" s="113"/>
      <c r="F133" s="115">
        <f t="array" ref="F133">IFERROR(IF(C133="",0,INDEX(PRODUK!$F:$F,MATCH(C133,PRODUK!$A:$A,0))),0)</f>
        <v>0</v>
      </c>
      <c r="G133" s="114">
        <f t="shared" si="1"/>
        <v>0</v>
      </c>
      <c r="H133" s="114">
        <f t="array" ref="H133">IFERROR(IF(B133="",0,INDEX(HPP_ENGINE!$J:$J,MATCH(B133,HPP_ENGINE!$A:$A,0))),0)</f>
        <v>0</v>
      </c>
      <c r="I133" s="114">
        <f t="shared" si="2"/>
        <v>0</v>
      </c>
      <c r="J133" s="114">
        <f t="shared" si="3"/>
        <v>0</v>
      </c>
      <c r="K133" s="133">
        <f t="shared" si="4"/>
        <v>0</v>
      </c>
    </row>
    <row r="134" ht="18.0" customHeight="1">
      <c r="A134" s="134"/>
      <c r="B134" s="77"/>
      <c r="C134" s="77"/>
      <c r="D134" s="135" t="str">
        <f t="array" ref="D134">IFERROR(IF(C134="","",INDEX(PRODUK!$B:$B,MATCH(C134,PRODUK!$A:$A,0))),"")</f>
        <v/>
      </c>
      <c r="E134" s="117"/>
      <c r="F134" s="119">
        <f t="array" ref="F134">IFERROR(IF(C134="",0,INDEX(PRODUK!$F:$F,MATCH(C134,PRODUK!$A:$A,0))),0)</f>
        <v>0</v>
      </c>
      <c r="G134" s="118">
        <f t="shared" si="1"/>
        <v>0</v>
      </c>
      <c r="H134" s="118">
        <f t="array" ref="H134">IFERROR(IF(B134="",0,INDEX(HPP_ENGINE!$J:$J,MATCH(B134,HPP_ENGINE!$A:$A,0))),0)</f>
        <v>0</v>
      </c>
      <c r="I134" s="118">
        <f t="shared" si="2"/>
        <v>0</v>
      </c>
      <c r="J134" s="118">
        <f t="shared" si="3"/>
        <v>0</v>
      </c>
      <c r="K134" s="136">
        <f t="shared" si="4"/>
        <v>0</v>
      </c>
    </row>
    <row r="135" ht="18.0" customHeight="1">
      <c r="A135" s="132"/>
      <c r="B135" s="72"/>
      <c r="C135" s="72"/>
      <c r="D135" s="137" t="str">
        <f t="array" ref="D135">IFERROR(IF(C135="","",INDEX(PRODUK!$B:$B,MATCH(C135,PRODUK!$A:$A,0))),"")</f>
        <v/>
      </c>
      <c r="E135" s="113"/>
      <c r="F135" s="115">
        <f t="array" ref="F135">IFERROR(IF(C135="",0,INDEX(PRODUK!$F:$F,MATCH(C135,PRODUK!$A:$A,0))),0)</f>
        <v>0</v>
      </c>
      <c r="G135" s="114">
        <f t="shared" si="1"/>
        <v>0</v>
      </c>
      <c r="H135" s="114">
        <f t="array" ref="H135">IFERROR(IF(B135="",0,INDEX(HPP_ENGINE!$J:$J,MATCH(B135,HPP_ENGINE!$A:$A,0))),0)</f>
        <v>0</v>
      </c>
      <c r="I135" s="114">
        <f t="shared" si="2"/>
        <v>0</v>
      </c>
      <c r="J135" s="114">
        <f t="shared" si="3"/>
        <v>0</v>
      </c>
      <c r="K135" s="133">
        <f t="shared" si="4"/>
        <v>0</v>
      </c>
    </row>
    <row r="136" ht="18.0" customHeight="1">
      <c r="A136" s="134"/>
      <c r="B136" s="77"/>
      <c r="C136" s="77"/>
      <c r="D136" s="135" t="str">
        <f t="array" ref="D136">IFERROR(IF(C136="","",INDEX(PRODUK!$B:$B,MATCH(C136,PRODUK!$A:$A,0))),"")</f>
        <v/>
      </c>
      <c r="E136" s="117"/>
      <c r="F136" s="119">
        <f t="array" ref="F136">IFERROR(IF(C136="",0,INDEX(PRODUK!$F:$F,MATCH(C136,PRODUK!$A:$A,0))),0)</f>
        <v>0</v>
      </c>
      <c r="G136" s="118">
        <f t="shared" si="1"/>
        <v>0</v>
      </c>
      <c r="H136" s="118">
        <f t="array" ref="H136">IFERROR(IF(B136="",0,INDEX(HPP_ENGINE!$J:$J,MATCH(B136,HPP_ENGINE!$A:$A,0))),0)</f>
        <v>0</v>
      </c>
      <c r="I136" s="118">
        <f t="shared" si="2"/>
        <v>0</v>
      </c>
      <c r="J136" s="118">
        <f t="shared" si="3"/>
        <v>0</v>
      </c>
      <c r="K136" s="136">
        <f t="shared" si="4"/>
        <v>0</v>
      </c>
    </row>
    <row r="137" ht="18.0" customHeight="1">
      <c r="A137" s="132"/>
      <c r="B137" s="72"/>
      <c r="C137" s="72"/>
      <c r="D137" s="137" t="str">
        <f t="array" ref="D137">IFERROR(IF(C137="","",INDEX(PRODUK!$B:$B,MATCH(C137,PRODUK!$A:$A,0))),"")</f>
        <v/>
      </c>
      <c r="E137" s="113"/>
      <c r="F137" s="115">
        <f t="array" ref="F137">IFERROR(IF(C137="",0,INDEX(PRODUK!$F:$F,MATCH(C137,PRODUK!$A:$A,0))),0)</f>
        <v>0</v>
      </c>
      <c r="G137" s="114">
        <f t="shared" si="1"/>
        <v>0</v>
      </c>
      <c r="H137" s="114">
        <f t="array" ref="H137">IFERROR(IF(B137="",0,INDEX(HPP_ENGINE!$J:$J,MATCH(B137,HPP_ENGINE!$A:$A,0))),0)</f>
        <v>0</v>
      </c>
      <c r="I137" s="114">
        <f t="shared" si="2"/>
        <v>0</v>
      </c>
      <c r="J137" s="114">
        <f t="shared" si="3"/>
        <v>0</v>
      </c>
      <c r="K137" s="133">
        <f t="shared" si="4"/>
        <v>0</v>
      </c>
    </row>
    <row r="138" ht="18.0" customHeight="1">
      <c r="A138" s="134"/>
      <c r="B138" s="77"/>
      <c r="C138" s="77"/>
      <c r="D138" s="135" t="str">
        <f t="array" ref="D138">IFERROR(IF(C138="","",INDEX(PRODUK!$B:$B,MATCH(C138,PRODUK!$A:$A,0))),"")</f>
        <v/>
      </c>
      <c r="E138" s="117"/>
      <c r="F138" s="119">
        <f t="array" ref="F138">IFERROR(IF(C138="",0,INDEX(PRODUK!$F:$F,MATCH(C138,PRODUK!$A:$A,0))),0)</f>
        <v>0</v>
      </c>
      <c r="G138" s="118">
        <f t="shared" si="1"/>
        <v>0</v>
      </c>
      <c r="H138" s="118">
        <f t="array" ref="H138">IFERROR(IF(B138="",0,INDEX(HPP_ENGINE!$J:$J,MATCH(B138,HPP_ENGINE!$A:$A,0))),0)</f>
        <v>0</v>
      </c>
      <c r="I138" s="118">
        <f t="shared" si="2"/>
        <v>0</v>
      </c>
      <c r="J138" s="118">
        <f t="shared" si="3"/>
        <v>0</v>
      </c>
      <c r="K138" s="136">
        <f t="shared" si="4"/>
        <v>0</v>
      </c>
    </row>
    <row r="139" ht="18.0" customHeight="1">
      <c r="A139" s="132"/>
      <c r="B139" s="72"/>
      <c r="C139" s="72"/>
      <c r="D139" s="137" t="str">
        <f t="array" ref="D139">IFERROR(IF(C139="","",INDEX(PRODUK!$B:$B,MATCH(C139,PRODUK!$A:$A,0))),"")</f>
        <v/>
      </c>
      <c r="E139" s="113"/>
      <c r="F139" s="115">
        <f t="array" ref="F139">IFERROR(IF(C139="",0,INDEX(PRODUK!$F:$F,MATCH(C139,PRODUK!$A:$A,0))),0)</f>
        <v>0</v>
      </c>
      <c r="G139" s="114">
        <f t="shared" si="1"/>
        <v>0</v>
      </c>
      <c r="H139" s="114">
        <f t="array" ref="H139">IFERROR(IF(B139="",0,INDEX(HPP_ENGINE!$J:$J,MATCH(B139,HPP_ENGINE!$A:$A,0))),0)</f>
        <v>0</v>
      </c>
      <c r="I139" s="114">
        <f t="shared" si="2"/>
        <v>0</v>
      </c>
      <c r="J139" s="114">
        <f t="shared" si="3"/>
        <v>0</v>
      </c>
      <c r="K139" s="133">
        <f t="shared" si="4"/>
        <v>0</v>
      </c>
    </row>
    <row r="140" ht="18.0" customHeight="1">
      <c r="A140" s="134"/>
      <c r="B140" s="77"/>
      <c r="C140" s="77"/>
      <c r="D140" s="135" t="str">
        <f t="array" ref="D140">IFERROR(IF(C140="","",INDEX(PRODUK!$B:$B,MATCH(C140,PRODUK!$A:$A,0))),"")</f>
        <v/>
      </c>
      <c r="E140" s="117"/>
      <c r="F140" s="119">
        <f t="array" ref="F140">IFERROR(IF(C140="",0,INDEX(PRODUK!$F:$F,MATCH(C140,PRODUK!$A:$A,0))),0)</f>
        <v>0</v>
      </c>
      <c r="G140" s="118">
        <f t="shared" si="1"/>
        <v>0</v>
      </c>
      <c r="H140" s="118">
        <f t="array" ref="H140">IFERROR(IF(B140="",0,INDEX(HPP_ENGINE!$J:$J,MATCH(B140,HPP_ENGINE!$A:$A,0))),0)</f>
        <v>0</v>
      </c>
      <c r="I140" s="118">
        <f t="shared" si="2"/>
        <v>0</v>
      </c>
      <c r="J140" s="118">
        <f t="shared" si="3"/>
        <v>0</v>
      </c>
      <c r="K140" s="136">
        <f t="shared" si="4"/>
        <v>0</v>
      </c>
    </row>
    <row r="141" ht="18.0" customHeight="1">
      <c r="A141" s="132"/>
      <c r="B141" s="72"/>
      <c r="C141" s="72"/>
      <c r="D141" s="137" t="str">
        <f t="array" ref="D141">IFERROR(IF(C141="","",INDEX(PRODUK!$B:$B,MATCH(C141,PRODUK!$A:$A,0))),"")</f>
        <v/>
      </c>
      <c r="E141" s="113"/>
      <c r="F141" s="115">
        <f t="array" ref="F141">IFERROR(IF(C141="",0,INDEX(PRODUK!$F:$F,MATCH(C141,PRODUK!$A:$A,0))),0)</f>
        <v>0</v>
      </c>
      <c r="G141" s="114">
        <f t="shared" si="1"/>
        <v>0</v>
      </c>
      <c r="H141" s="114">
        <f t="array" ref="H141">IFERROR(IF(B141="",0,INDEX(HPP_ENGINE!$J:$J,MATCH(B141,HPP_ENGINE!$A:$A,0))),0)</f>
        <v>0</v>
      </c>
      <c r="I141" s="114">
        <f t="shared" si="2"/>
        <v>0</v>
      </c>
      <c r="J141" s="114">
        <f t="shared" si="3"/>
        <v>0</v>
      </c>
      <c r="K141" s="133">
        <f t="shared" si="4"/>
        <v>0</v>
      </c>
    </row>
    <row r="142" ht="18.0" customHeight="1">
      <c r="A142" s="134"/>
      <c r="B142" s="77"/>
      <c r="C142" s="77"/>
      <c r="D142" s="135" t="str">
        <f t="array" ref="D142">IFERROR(IF(C142="","",INDEX(PRODUK!$B:$B,MATCH(C142,PRODUK!$A:$A,0))),"")</f>
        <v/>
      </c>
      <c r="E142" s="117"/>
      <c r="F142" s="119">
        <f t="array" ref="F142">IFERROR(IF(C142="",0,INDEX(PRODUK!$F:$F,MATCH(C142,PRODUK!$A:$A,0))),0)</f>
        <v>0</v>
      </c>
      <c r="G142" s="118">
        <f t="shared" si="1"/>
        <v>0</v>
      </c>
      <c r="H142" s="118">
        <f t="array" ref="H142">IFERROR(IF(B142="",0,INDEX(HPP_ENGINE!$J:$J,MATCH(B142,HPP_ENGINE!$A:$A,0))),0)</f>
        <v>0</v>
      </c>
      <c r="I142" s="118">
        <f t="shared" si="2"/>
        <v>0</v>
      </c>
      <c r="J142" s="118">
        <f t="shared" si="3"/>
        <v>0</v>
      </c>
      <c r="K142" s="136">
        <f t="shared" si="4"/>
        <v>0</v>
      </c>
    </row>
    <row r="143" ht="18.0" customHeight="1">
      <c r="A143" s="132"/>
      <c r="B143" s="72"/>
      <c r="C143" s="72"/>
      <c r="D143" s="137" t="str">
        <f t="array" ref="D143">IFERROR(IF(C143="","",INDEX(PRODUK!$B:$B,MATCH(C143,PRODUK!$A:$A,0))),"")</f>
        <v/>
      </c>
      <c r="E143" s="113"/>
      <c r="F143" s="115">
        <f t="array" ref="F143">IFERROR(IF(C143="",0,INDEX(PRODUK!$F:$F,MATCH(C143,PRODUK!$A:$A,0))),0)</f>
        <v>0</v>
      </c>
      <c r="G143" s="114">
        <f t="shared" si="1"/>
        <v>0</v>
      </c>
      <c r="H143" s="114">
        <f t="array" ref="H143">IFERROR(IF(B143="",0,INDEX(HPP_ENGINE!$J:$J,MATCH(B143,HPP_ENGINE!$A:$A,0))),0)</f>
        <v>0</v>
      </c>
      <c r="I143" s="114">
        <f t="shared" si="2"/>
        <v>0</v>
      </c>
      <c r="J143" s="114">
        <f t="shared" si="3"/>
        <v>0</v>
      </c>
      <c r="K143" s="133">
        <f t="shared" si="4"/>
        <v>0</v>
      </c>
    </row>
    <row r="144" ht="18.0" customHeight="1">
      <c r="A144" s="134"/>
      <c r="B144" s="77"/>
      <c r="C144" s="77"/>
      <c r="D144" s="135" t="str">
        <f t="array" ref="D144">IFERROR(IF(C144="","",INDEX(PRODUK!$B:$B,MATCH(C144,PRODUK!$A:$A,0))),"")</f>
        <v/>
      </c>
      <c r="E144" s="117"/>
      <c r="F144" s="119">
        <f t="array" ref="F144">IFERROR(IF(C144="",0,INDEX(PRODUK!$F:$F,MATCH(C144,PRODUK!$A:$A,0))),0)</f>
        <v>0</v>
      </c>
      <c r="G144" s="118">
        <f t="shared" si="1"/>
        <v>0</v>
      </c>
      <c r="H144" s="118">
        <f t="array" ref="H144">IFERROR(IF(B144="",0,INDEX(HPP_ENGINE!$J:$J,MATCH(B144,HPP_ENGINE!$A:$A,0))),0)</f>
        <v>0</v>
      </c>
      <c r="I144" s="118">
        <f t="shared" si="2"/>
        <v>0</v>
      </c>
      <c r="J144" s="118">
        <f t="shared" si="3"/>
        <v>0</v>
      </c>
      <c r="K144" s="136">
        <f t="shared" si="4"/>
        <v>0</v>
      </c>
    </row>
    <row r="145" ht="18.0" customHeight="1">
      <c r="A145" s="132"/>
      <c r="B145" s="72"/>
      <c r="C145" s="72"/>
      <c r="D145" s="137" t="str">
        <f t="array" ref="D145">IFERROR(IF(C145="","",INDEX(PRODUK!$B:$B,MATCH(C145,PRODUK!$A:$A,0))),"")</f>
        <v/>
      </c>
      <c r="E145" s="113"/>
      <c r="F145" s="115">
        <f t="array" ref="F145">IFERROR(IF(C145="",0,INDEX(PRODUK!$F:$F,MATCH(C145,PRODUK!$A:$A,0))),0)</f>
        <v>0</v>
      </c>
      <c r="G145" s="114">
        <f t="shared" si="1"/>
        <v>0</v>
      </c>
      <c r="H145" s="114">
        <f t="array" ref="H145">IFERROR(IF(B145="",0,INDEX(HPP_ENGINE!$J:$J,MATCH(B145,HPP_ENGINE!$A:$A,0))),0)</f>
        <v>0</v>
      </c>
      <c r="I145" s="114">
        <f t="shared" si="2"/>
        <v>0</v>
      </c>
      <c r="J145" s="114">
        <f t="shared" si="3"/>
        <v>0</v>
      </c>
      <c r="K145" s="133">
        <f t="shared" si="4"/>
        <v>0</v>
      </c>
    </row>
    <row r="146" ht="18.0" customHeight="1">
      <c r="A146" s="134"/>
      <c r="B146" s="77"/>
      <c r="C146" s="77"/>
      <c r="D146" s="135" t="str">
        <f t="array" ref="D146">IFERROR(IF(C146="","",INDEX(PRODUK!$B:$B,MATCH(C146,PRODUK!$A:$A,0))),"")</f>
        <v/>
      </c>
      <c r="E146" s="117"/>
      <c r="F146" s="119">
        <f t="array" ref="F146">IFERROR(IF(C146="",0,INDEX(PRODUK!$F:$F,MATCH(C146,PRODUK!$A:$A,0))),0)</f>
        <v>0</v>
      </c>
      <c r="G146" s="118">
        <f t="shared" si="1"/>
        <v>0</v>
      </c>
      <c r="H146" s="118">
        <f t="array" ref="H146">IFERROR(IF(B146="",0,INDEX(HPP_ENGINE!$J:$J,MATCH(B146,HPP_ENGINE!$A:$A,0))),0)</f>
        <v>0</v>
      </c>
      <c r="I146" s="118">
        <f t="shared" si="2"/>
        <v>0</v>
      </c>
      <c r="J146" s="118">
        <f t="shared" si="3"/>
        <v>0</v>
      </c>
      <c r="K146" s="136">
        <f t="shared" si="4"/>
        <v>0</v>
      </c>
    </row>
    <row r="147" ht="18.0" customHeight="1">
      <c r="A147" s="132"/>
      <c r="B147" s="72"/>
      <c r="C147" s="72"/>
      <c r="D147" s="137" t="str">
        <f t="array" ref="D147">IFERROR(IF(C147="","",INDEX(PRODUK!$B:$B,MATCH(C147,PRODUK!$A:$A,0))),"")</f>
        <v/>
      </c>
      <c r="E147" s="113"/>
      <c r="F147" s="115">
        <f t="array" ref="F147">IFERROR(IF(C147="",0,INDEX(PRODUK!$F:$F,MATCH(C147,PRODUK!$A:$A,0))),0)</f>
        <v>0</v>
      </c>
      <c r="G147" s="114">
        <f t="shared" si="1"/>
        <v>0</v>
      </c>
      <c r="H147" s="114">
        <f t="array" ref="H147">IFERROR(IF(B147="",0,INDEX(HPP_ENGINE!$J:$J,MATCH(B147,HPP_ENGINE!$A:$A,0))),0)</f>
        <v>0</v>
      </c>
      <c r="I147" s="114">
        <f t="shared" si="2"/>
        <v>0</v>
      </c>
      <c r="J147" s="114">
        <f t="shared" si="3"/>
        <v>0</v>
      </c>
      <c r="K147" s="133">
        <f t="shared" si="4"/>
        <v>0</v>
      </c>
    </row>
    <row r="148" ht="18.0" customHeight="1">
      <c r="A148" s="134"/>
      <c r="B148" s="77"/>
      <c r="C148" s="77"/>
      <c r="D148" s="135" t="str">
        <f t="array" ref="D148">IFERROR(IF(C148="","",INDEX(PRODUK!$B:$B,MATCH(C148,PRODUK!$A:$A,0))),"")</f>
        <v/>
      </c>
      <c r="E148" s="117"/>
      <c r="F148" s="119">
        <f t="array" ref="F148">IFERROR(IF(C148="",0,INDEX(PRODUK!$F:$F,MATCH(C148,PRODUK!$A:$A,0))),0)</f>
        <v>0</v>
      </c>
      <c r="G148" s="118">
        <f t="shared" si="1"/>
        <v>0</v>
      </c>
      <c r="H148" s="118">
        <f t="array" ref="H148">IFERROR(IF(B148="",0,INDEX(HPP_ENGINE!$J:$J,MATCH(B148,HPP_ENGINE!$A:$A,0))),0)</f>
        <v>0</v>
      </c>
      <c r="I148" s="118">
        <f t="shared" si="2"/>
        <v>0</v>
      </c>
      <c r="J148" s="118">
        <f t="shared" si="3"/>
        <v>0</v>
      </c>
      <c r="K148" s="136">
        <f t="shared" si="4"/>
        <v>0</v>
      </c>
    </row>
    <row r="149" ht="18.0" customHeight="1">
      <c r="A149" s="132"/>
      <c r="B149" s="72"/>
      <c r="C149" s="72"/>
      <c r="D149" s="137" t="str">
        <f t="array" ref="D149">IFERROR(IF(C149="","",INDEX(PRODUK!$B:$B,MATCH(C149,PRODUK!$A:$A,0))),"")</f>
        <v/>
      </c>
      <c r="E149" s="113"/>
      <c r="F149" s="115">
        <f t="array" ref="F149">IFERROR(IF(C149="",0,INDEX(PRODUK!$F:$F,MATCH(C149,PRODUK!$A:$A,0))),0)</f>
        <v>0</v>
      </c>
      <c r="G149" s="114">
        <f t="shared" si="1"/>
        <v>0</v>
      </c>
      <c r="H149" s="114">
        <f t="array" ref="H149">IFERROR(IF(B149="",0,INDEX(HPP_ENGINE!$J:$J,MATCH(B149,HPP_ENGINE!$A:$A,0))),0)</f>
        <v>0</v>
      </c>
      <c r="I149" s="114">
        <f t="shared" si="2"/>
        <v>0</v>
      </c>
      <c r="J149" s="114">
        <f t="shared" si="3"/>
        <v>0</v>
      </c>
      <c r="K149" s="133">
        <f t="shared" si="4"/>
        <v>0</v>
      </c>
    </row>
    <row r="150" ht="18.0" customHeight="1">
      <c r="A150" s="134"/>
      <c r="B150" s="77"/>
      <c r="C150" s="77"/>
      <c r="D150" s="135" t="str">
        <f t="array" ref="D150">IFERROR(IF(C150="","",INDEX(PRODUK!$B:$B,MATCH(C150,PRODUK!$A:$A,0))),"")</f>
        <v/>
      </c>
      <c r="E150" s="117"/>
      <c r="F150" s="119">
        <f t="array" ref="F150">IFERROR(IF(C150="",0,INDEX(PRODUK!$F:$F,MATCH(C150,PRODUK!$A:$A,0))),0)</f>
        <v>0</v>
      </c>
      <c r="G150" s="118">
        <f t="shared" si="1"/>
        <v>0</v>
      </c>
      <c r="H150" s="118">
        <f t="array" ref="H150">IFERROR(IF(B150="",0,INDEX(HPP_ENGINE!$J:$J,MATCH(B150,HPP_ENGINE!$A:$A,0))),0)</f>
        <v>0</v>
      </c>
      <c r="I150" s="118">
        <f t="shared" si="2"/>
        <v>0</v>
      </c>
      <c r="J150" s="118">
        <f t="shared" si="3"/>
        <v>0</v>
      </c>
      <c r="K150" s="136">
        <f t="shared" si="4"/>
        <v>0</v>
      </c>
    </row>
    <row r="151" ht="18.0" customHeight="1">
      <c r="A151" s="132"/>
      <c r="B151" s="72"/>
      <c r="C151" s="72"/>
      <c r="D151" s="137" t="str">
        <f t="array" ref="D151">IFERROR(IF(C151="","",INDEX(PRODUK!$B:$B,MATCH(C151,PRODUK!$A:$A,0))),"")</f>
        <v/>
      </c>
      <c r="E151" s="113"/>
      <c r="F151" s="115">
        <f t="array" ref="F151">IFERROR(IF(C151="",0,INDEX(PRODUK!$F:$F,MATCH(C151,PRODUK!$A:$A,0))),0)</f>
        <v>0</v>
      </c>
      <c r="G151" s="114">
        <f t="shared" si="1"/>
        <v>0</v>
      </c>
      <c r="H151" s="114">
        <f t="array" ref="H151">IFERROR(IF(B151="",0,INDEX(HPP_ENGINE!$J:$J,MATCH(B151,HPP_ENGINE!$A:$A,0))),0)</f>
        <v>0</v>
      </c>
      <c r="I151" s="114">
        <f t="shared" si="2"/>
        <v>0</v>
      </c>
      <c r="J151" s="114">
        <f t="shared" si="3"/>
        <v>0</v>
      </c>
      <c r="K151" s="133">
        <f t="shared" si="4"/>
        <v>0</v>
      </c>
    </row>
    <row r="152" ht="18.0" customHeight="1">
      <c r="A152" s="134"/>
      <c r="B152" s="77"/>
      <c r="C152" s="77"/>
      <c r="D152" s="135" t="str">
        <f t="array" ref="D152">IFERROR(IF(C152="","",INDEX(PRODUK!$B:$B,MATCH(C152,PRODUK!$A:$A,0))),"")</f>
        <v/>
      </c>
      <c r="E152" s="117"/>
      <c r="F152" s="119">
        <f t="array" ref="F152">IFERROR(IF(C152="",0,INDEX(PRODUK!$F:$F,MATCH(C152,PRODUK!$A:$A,0))),0)</f>
        <v>0</v>
      </c>
      <c r="G152" s="118">
        <f t="shared" si="1"/>
        <v>0</v>
      </c>
      <c r="H152" s="118">
        <f t="array" ref="H152">IFERROR(IF(B152="",0,INDEX(HPP_ENGINE!$J:$J,MATCH(B152,HPP_ENGINE!$A:$A,0))),0)</f>
        <v>0</v>
      </c>
      <c r="I152" s="118">
        <f t="shared" si="2"/>
        <v>0</v>
      </c>
      <c r="J152" s="118">
        <f t="shared" si="3"/>
        <v>0</v>
      </c>
      <c r="K152" s="136">
        <f t="shared" si="4"/>
        <v>0</v>
      </c>
    </row>
    <row r="153" ht="18.0" customHeight="1">
      <c r="A153" s="132"/>
      <c r="B153" s="72"/>
      <c r="C153" s="72"/>
      <c r="D153" s="137" t="str">
        <f t="array" ref="D153">IFERROR(IF(C153="","",INDEX(PRODUK!$B:$B,MATCH(C153,PRODUK!$A:$A,0))),"")</f>
        <v/>
      </c>
      <c r="E153" s="113"/>
      <c r="F153" s="115">
        <f t="array" ref="F153">IFERROR(IF(C153="",0,INDEX(PRODUK!$F:$F,MATCH(C153,PRODUK!$A:$A,0))),0)</f>
        <v>0</v>
      </c>
      <c r="G153" s="114">
        <f t="shared" si="1"/>
        <v>0</v>
      </c>
      <c r="H153" s="114">
        <f t="array" ref="H153">IFERROR(IF(B153="",0,INDEX(HPP_ENGINE!$J:$J,MATCH(B153,HPP_ENGINE!$A:$A,0))),0)</f>
        <v>0</v>
      </c>
      <c r="I153" s="114">
        <f t="shared" si="2"/>
        <v>0</v>
      </c>
      <c r="J153" s="114">
        <f t="shared" si="3"/>
        <v>0</v>
      </c>
      <c r="K153" s="133">
        <f t="shared" si="4"/>
        <v>0</v>
      </c>
    </row>
    <row r="154" ht="18.0" customHeight="1">
      <c r="A154" s="134"/>
      <c r="B154" s="77"/>
      <c r="C154" s="77"/>
      <c r="D154" s="135" t="str">
        <f t="array" ref="D154">IFERROR(IF(C154="","",INDEX(PRODUK!$B:$B,MATCH(C154,PRODUK!$A:$A,0))),"")</f>
        <v/>
      </c>
      <c r="E154" s="117"/>
      <c r="F154" s="119">
        <f t="array" ref="F154">IFERROR(IF(C154="",0,INDEX(PRODUK!$F:$F,MATCH(C154,PRODUK!$A:$A,0))),0)</f>
        <v>0</v>
      </c>
      <c r="G154" s="118">
        <f t="shared" si="1"/>
        <v>0</v>
      </c>
      <c r="H154" s="118">
        <f t="array" ref="H154">IFERROR(IF(B154="",0,INDEX(HPP_ENGINE!$J:$J,MATCH(B154,HPP_ENGINE!$A:$A,0))),0)</f>
        <v>0</v>
      </c>
      <c r="I154" s="118">
        <f t="shared" si="2"/>
        <v>0</v>
      </c>
      <c r="J154" s="118">
        <f t="shared" si="3"/>
        <v>0</v>
      </c>
      <c r="K154" s="136">
        <f t="shared" si="4"/>
        <v>0</v>
      </c>
    </row>
    <row r="155" ht="18.0" customHeight="1">
      <c r="A155" s="132"/>
      <c r="B155" s="72"/>
      <c r="C155" s="72"/>
      <c r="D155" s="137" t="str">
        <f t="array" ref="D155">IFERROR(IF(C155="","",INDEX(PRODUK!$B:$B,MATCH(C155,PRODUK!$A:$A,0))),"")</f>
        <v/>
      </c>
      <c r="E155" s="113"/>
      <c r="F155" s="115">
        <f t="array" ref="F155">IFERROR(IF(C155="",0,INDEX(PRODUK!$F:$F,MATCH(C155,PRODUK!$A:$A,0))),0)</f>
        <v>0</v>
      </c>
      <c r="G155" s="114">
        <f t="shared" si="1"/>
        <v>0</v>
      </c>
      <c r="H155" s="114">
        <f t="array" ref="H155">IFERROR(IF(B155="",0,INDEX(HPP_ENGINE!$J:$J,MATCH(B155,HPP_ENGINE!$A:$A,0))),0)</f>
        <v>0</v>
      </c>
      <c r="I155" s="114">
        <f t="shared" si="2"/>
        <v>0</v>
      </c>
      <c r="J155" s="114">
        <f t="shared" si="3"/>
        <v>0</v>
      </c>
      <c r="K155" s="133">
        <f t="shared" si="4"/>
        <v>0</v>
      </c>
    </row>
    <row r="156" ht="18.0" customHeight="1">
      <c r="A156" s="134"/>
      <c r="B156" s="77"/>
      <c r="C156" s="77"/>
      <c r="D156" s="135" t="str">
        <f t="array" ref="D156">IFERROR(IF(C156="","",INDEX(PRODUK!$B:$B,MATCH(C156,PRODUK!$A:$A,0))),"")</f>
        <v/>
      </c>
      <c r="E156" s="117"/>
      <c r="F156" s="119">
        <f t="array" ref="F156">IFERROR(IF(C156="",0,INDEX(PRODUK!$F:$F,MATCH(C156,PRODUK!$A:$A,0))),0)</f>
        <v>0</v>
      </c>
      <c r="G156" s="118">
        <f t="shared" si="1"/>
        <v>0</v>
      </c>
      <c r="H156" s="118">
        <f t="array" ref="H156">IFERROR(IF(B156="",0,INDEX(HPP_ENGINE!$J:$J,MATCH(B156,HPP_ENGINE!$A:$A,0))),0)</f>
        <v>0</v>
      </c>
      <c r="I156" s="118">
        <f t="shared" si="2"/>
        <v>0</v>
      </c>
      <c r="J156" s="118">
        <f t="shared" si="3"/>
        <v>0</v>
      </c>
      <c r="K156" s="136">
        <f t="shared" si="4"/>
        <v>0</v>
      </c>
    </row>
    <row r="157" ht="18.0" customHeight="1">
      <c r="A157" s="132"/>
      <c r="B157" s="72"/>
      <c r="C157" s="72"/>
      <c r="D157" s="137" t="str">
        <f t="array" ref="D157">IFERROR(IF(C157="","",INDEX(PRODUK!$B:$B,MATCH(C157,PRODUK!$A:$A,0))),"")</f>
        <v/>
      </c>
      <c r="E157" s="113"/>
      <c r="F157" s="115">
        <f t="array" ref="F157">IFERROR(IF(C157="",0,INDEX(PRODUK!$F:$F,MATCH(C157,PRODUK!$A:$A,0))),0)</f>
        <v>0</v>
      </c>
      <c r="G157" s="114">
        <f t="shared" si="1"/>
        <v>0</v>
      </c>
      <c r="H157" s="114">
        <f t="array" ref="H157">IFERROR(IF(B157="",0,INDEX(HPP_ENGINE!$J:$J,MATCH(B157,HPP_ENGINE!$A:$A,0))),0)</f>
        <v>0</v>
      </c>
      <c r="I157" s="114">
        <f t="shared" si="2"/>
        <v>0</v>
      </c>
      <c r="J157" s="114">
        <f t="shared" si="3"/>
        <v>0</v>
      </c>
      <c r="K157" s="133">
        <f t="shared" si="4"/>
        <v>0</v>
      </c>
    </row>
    <row r="158" ht="18.0" customHeight="1">
      <c r="A158" s="134"/>
      <c r="B158" s="77"/>
      <c r="C158" s="77"/>
      <c r="D158" s="135" t="str">
        <f t="array" ref="D158">IFERROR(IF(C158="","",INDEX(PRODUK!$B:$B,MATCH(C158,PRODUK!$A:$A,0))),"")</f>
        <v/>
      </c>
      <c r="E158" s="117"/>
      <c r="F158" s="119">
        <f t="array" ref="F158">IFERROR(IF(C158="",0,INDEX(PRODUK!$F:$F,MATCH(C158,PRODUK!$A:$A,0))),0)</f>
        <v>0</v>
      </c>
      <c r="G158" s="118">
        <f t="shared" si="1"/>
        <v>0</v>
      </c>
      <c r="H158" s="118">
        <f t="array" ref="H158">IFERROR(IF(B158="",0,INDEX(HPP_ENGINE!$J:$J,MATCH(B158,HPP_ENGINE!$A:$A,0))),0)</f>
        <v>0</v>
      </c>
      <c r="I158" s="118">
        <f t="shared" si="2"/>
        <v>0</v>
      </c>
      <c r="J158" s="118">
        <f t="shared" si="3"/>
        <v>0</v>
      </c>
      <c r="K158" s="136">
        <f t="shared" si="4"/>
        <v>0</v>
      </c>
    </row>
    <row r="159" ht="18.0" customHeight="1">
      <c r="A159" s="132"/>
      <c r="B159" s="72"/>
      <c r="C159" s="72"/>
      <c r="D159" s="137" t="str">
        <f t="array" ref="D159">IFERROR(IF(C159="","",INDEX(PRODUK!$B:$B,MATCH(C159,PRODUK!$A:$A,0))),"")</f>
        <v/>
      </c>
      <c r="E159" s="113"/>
      <c r="F159" s="115">
        <f t="array" ref="F159">IFERROR(IF(C159="",0,INDEX(PRODUK!$F:$F,MATCH(C159,PRODUK!$A:$A,0))),0)</f>
        <v>0</v>
      </c>
      <c r="G159" s="114">
        <f t="shared" si="1"/>
        <v>0</v>
      </c>
      <c r="H159" s="114">
        <f t="array" ref="H159">IFERROR(IF(B159="",0,INDEX(HPP_ENGINE!$J:$J,MATCH(B159,HPP_ENGINE!$A:$A,0))),0)</f>
        <v>0</v>
      </c>
      <c r="I159" s="114">
        <f t="shared" si="2"/>
        <v>0</v>
      </c>
      <c r="J159" s="114">
        <f t="shared" si="3"/>
        <v>0</v>
      </c>
      <c r="K159" s="133">
        <f t="shared" si="4"/>
        <v>0</v>
      </c>
    </row>
    <row r="160" ht="18.0" customHeight="1">
      <c r="A160" s="134"/>
      <c r="B160" s="77"/>
      <c r="C160" s="77"/>
      <c r="D160" s="135" t="str">
        <f t="array" ref="D160">IFERROR(IF(C160="","",INDEX(PRODUK!$B:$B,MATCH(C160,PRODUK!$A:$A,0))),"")</f>
        <v/>
      </c>
      <c r="E160" s="117"/>
      <c r="F160" s="119">
        <f t="array" ref="F160">IFERROR(IF(C160="",0,INDEX(PRODUK!$F:$F,MATCH(C160,PRODUK!$A:$A,0))),0)</f>
        <v>0</v>
      </c>
      <c r="G160" s="118">
        <f t="shared" si="1"/>
        <v>0</v>
      </c>
      <c r="H160" s="118">
        <f t="array" ref="H160">IFERROR(IF(B160="",0,INDEX(HPP_ENGINE!$J:$J,MATCH(B160,HPP_ENGINE!$A:$A,0))),0)</f>
        <v>0</v>
      </c>
      <c r="I160" s="118">
        <f t="shared" si="2"/>
        <v>0</v>
      </c>
      <c r="J160" s="118">
        <f t="shared" si="3"/>
        <v>0</v>
      </c>
      <c r="K160" s="136">
        <f t="shared" si="4"/>
        <v>0</v>
      </c>
    </row>
    <row r="161" ht="18.0" customHeight="1">
      <c r="A161" s="132"/>
      <c r="B161" s="72"/>
      <c r="C161" s="72"/>
      <c r="D161" s="137" t="str">
        <f t="array" ref="D161">IFERROR(IF(C161="","",INDEX(PRODUK!$B:$B,MATCH(C161,PRODUK!$A:$A,0))),"")</f>
        <v/>
      </c>
      <c r="E161" s="113"/>
      <c r="F161" s="115">
        <f t="array" ref="F161">IFERROR(IF(C161="",0,INDEX(PRODUK!$F:$F,MATCH(C161,PRODUK!$A:$A,0))),0)</f>
        <v>0</v>
      </c>
      <c r="G161" s="114">
        <f t="shared" si="1"/>
        <v>0</v>
      </c>
      <c r="H161" s="114">
        <f t="array" ref="H161">IFERROR(IF(B161="",0,INDEX(HPP_ENGINE!$J:$J,MATCH(B161,HPP_ENGINE!$A:$A,0))),0)</f>
        <v>0</v>
      </c>
      <c r="I161" s="114">
        <f t="shared" si="2"/>
        <v>0</v>
      </c>
      <c r="J161" s="114">
        <f t="shared" si="3"/>
        <v>0</v>
      </c>
      <c r="K161" s="133">
        <f t="shared" si="4"/>
        <v>0</v>
      </c>
    </row>
    <row r="162" ht="18.0" customHeight="1">
      <c r="A162" s="134"/>
      <c r="B162" s="77"/>
      <c r="C162" s="77"/>
      <c r="D162" s="135" t="str">
        <f t="array" ref="D162">IFERROR(IF(C162="","",INDEX(PRODUK!$B:$B,MATCH(C162,PRODUK!$A:$A,0))),"")</f>
        <v/>
      </c>
      <c r="E162" s="117"/>
      <c r="F162" s="119">
        <f t="array" ref="F162">IFERROR(IF(C162="",0,INDEX(PRODUK!$F:$F,MATCH(C162,PRODUK!$A:$A,0))),0)</f>
        <v>0</v>
      </c>
      <c r="G162" s="118">
        <f t="shared" si="1"/>
        <v>0</v>
      </c>
      <c r="H162" s="118">
        <f t="array" ref="H162">IFERROR(IF(B162="",0,INDEX(HPP_ENGINE!$J:$J,MATCH(B162,HPP_ENGINE!$A:$A,0))),0)</f>
        <v>0</v>
      </c>
      <c r="I162" s="118">
        <f t="shared" si="2"/>
        <v>0</v>
      </c>
      <c r="J162" s="118">
        <f t="shared" si="3"/>
        <v>0</v>
      </c>
      <c r="K162" s="136">
        <f t="shared" si="4"/>
        <v>0</v>
      </c>
    </row>
    <row r="163" ht="18.0" customHeight="1">
      <c r="A163" s="132"/>
      <c r="B163" s="72"/>
      <c r="C163" s="72"/>
      <c r="D163" s="137" t="str">
        <f t="array" ref="D163">IFERROR(IF(C163="","",INDEX(PRODUK!$B:$B,MATCH(C163,PRODUK!$A:$A,0))),"")</f>
        <v/>
      </c>
      <c r="E163" s="113"/>
      <c r="F163" s="115">
        <f t="array" ref="F163">IFERROR(IF(C163="",0,INDEX(PRODUK!$F:$F,MATCH(C163,PRODUK!$A:$A,0))),0)</f>
        <v>0</v>
      </c>
      <c r="G163" s="114">
        <f t="shared" si="1"/>
        <v>0</v>
      </c>
      <c r="H163" s="114">
        <f t="array" ref="H163">IFERROR(IF(B163="",0,INDEX(HPP_ENGINE!$J:$J,MATCH(B163,HPP_ENGINE!$A:$A,0))),0)</f>
        <v>0</v>
      </c>
      <c r="I163" s="114">
        <f t="shared" si="2"/>
        <v>0</v>
      </c>
      <c r="J163" s="114">
        <f t="shared" si="3"/>
        <v>0</v>
      </c>
      <c r="K163" s="133">
        <f t="shared" si="4"/>
        <v>0</v>
      </c>
    </row>
    <row r="164" ht="18.0" customHeight="1">
      <c r="A164" s="134"/>
      <c r="B164" s="77"/>
      <c r="C164" s="77"/>
      <c r="D164" s="135" t="str">
        <f t="array" ref="D164">IFERROR(IF(C164="","",INDEX(PRODUK!$B:$B,MATCH(C164,PRODUK!$A:$A,0))),"")</f>
        <v/>
      </c>
      <c r="E164" s="117"/>
      <c r="F164" s="119">
        <f t="array" ref="F164">IFERROR(IF(C164="",0,INDEX(PRODUK!$F:$F,MATCH(C164,PRODUK!$A:$A,0))),0)</f>
        <v>0</v>
      </c>
      <c r="G164" s="118">
        <f t="shared" si="1"/>
        <v>0</v>
      </c>
      <c r="H164" s="118">
        <f t="array" ref="H164">IFERROR(IF(B164="",0,INDEX(HPP_ENGINE!$J:$J,MATCH(B164,HPP_ENGINE!$A:$A,0))),0)</f>
        <v>0</v>
      </c>
      <c r="I164" s="118">
        <f t="shared" si="2"/>
        <v>0</v>
      </c>
      <c r="J164" s="118">
        <f t="shared" si="3"/>
        <v>0</v>
      </c>
      <c r="K164" s="136">
        <f t="shared" si="4"/>
        <v>0</v>
      </c>
    </row>
    <row r="165" ht="18.0" customHeight="1">
      <c r="A165" s="132"/>
      <c r="B165" s="72"/>
      <c r="C165" s="72"/>
      <c r="D165" s="137" t="str">
        <f t="array" ref="D165">IFERROR(IF(C165="","",INDEX(PRODUK!$B:$B,MATCH(C165,PRODUK!$A:$A,0))),"")</f>
        <v/>
      </c>
      <c r="E165" s="113"/>
      <c r="F165" s="115">
        <f t="array" ref="F165">IFERROR(IF(C165="",0,INDEX(PRODUK!$F:$F,MATCH(C165,PRODUK!$A:$A,0))),0)</f>
        <v>0</v>
      </c>
      <c r="G165" s="114">
        <f t="shared" si="1"/>
        <v>0</v>
      </c>
      <c r="H165" s="114">
        <f t="array" ref="H165">IFERROR(IF(B165="",0,INDEX(HPP_ENGINE!$J:$J,MATCH(B165,HPP_ENGINE!$A:$A,0))),0)</f>
        <v>0</v>
      </c>
      <c r="I165" s="114">
        <f t="shared" si="2"/>
        <v>0</v>
      </c>
      <c r="J165" s="114">
        <f t="shared" si="3"/>
        <v>0</v>
      </c>
      <c r="K165" s="133">
        <f t="shared" si="4"/>
        <v>0</v>
      </c>
    </row>
    <row r="166" ht="18.0" customHeight="1">
      <c r="A166" s="134"/>
      <c r="B166" s="77"/>
      <c r="C166" s="77"/>
      <c r="D166" s="135" t="str">
        <f t="array" ref="D166">IFERROR(IF(C166="","",INDEX(PRODUK!$B:$B,MATCH(C166,PRODUK!$A:$A,0))),"")</f>
        <v/>
      </c>
      <c r="E166" s="117"/>
      <c r="F166" s="119">
        <f t="array" ref="F166">IFERROR(IF(C166="",0,INDEX(PRODUK!$F:$F,MATCH(C166,PRODUK!$A:$A,0))),0)</f>
        <v>0</v>
      </c>
      <c r="G166" s="118">
        <f t="shared" si="1"/>
        <v>0</v>
      </c>
      <c r="H166" s="118">
        <f t="array" ref="H166">IFERROR(IF(B166="",0,INDEX(HPP_ENGINE!$J:$J,MATCH(B166,HPP_ENGINE!$A:$A,0))),0)</f>
        <v>0</v>
      </c>
      <c r="I166" s="118">
        <f t="shared" si="2"/>
        <v>0</v>
      </c>
      <c r="J166" s="118">
        <f t="shared" si="3"/>
        <v>0</v>
      </c>
      <c r="K166" s="136">
        <f t="shared" si="4"/>
        <v>0</v>
      </c>
    </row>
    <row r="167" ht="18.0" customHeight="1">
      <c r="A167" s="132"/>
      <c r="B167" s="72"/>
      <c r="C167" s="72"/>
      <c r="D167" s="137" t="str">
        <f t="array" ref="D167">IFERROR(IF(C167="","",INDEX(PRODUK!$B:$B,MATCH(C167,PRODUK!$A:$A,0))),"")</f>
        <v/>
      </c>
      <c r="E167" s="113"/>
      <c r="F167" s="115">
        <f t="array" ref="F167">IFERROR(IF(C167="",0,INDEX(PRODUK!$F:$F,MATCH(C167,PRODUK!$A:$A,0))),0)</f>
        <v>0</v>
      </c>
      <c r="G167" s="114">
        <f t="shared" si="1"/>
        <v>0</v>
      </c>
      <c r="H167" s="114">
        <f t="array" ref="H167">IFERROR(IF(B167="",0,INDEX(HPP_ENGINE!$J:$J,MATCH(B167,HPP_ENGINE!$A:$A,0))),0)</f>
        <v>0</v>
      </c>
      <c r="I167" s="114">
        <f t="shared" si="2"/>
        <v>0</v>
      </c>
      <c r="J167" s="114">
        <f t="shared" si="3"/>
        <v>0</v>
      </c>
      <c r="K167" s="133">
        <f t="shared" si="4"/>
        <v>0</v>
      </c>
    </row>
    <row r="168" ht="18.0" customHeight="1">
      <c r="A168" s="134"/>
      <c r="B168" s="77"/>
      <c r="C168" s="77"/>
      <c r="D168" s="135" t="str">
        <f t="array" ref="D168">IFERROR(IF(C168="","",INDEX(PRODUK!$B:$B,MATCH(C168,PRODUK!$A:$A,0))),"")</f>
        <v/>
      </c>
      <c r="E168" s="117"/>
      <c r="F168" s="119">
        <f t="array" ref="F168">IFERROR(IF(C168="",0,INDEX(PRODUK!$F:$F,MATCH(C168,PRODUK!$A:$A,0))),0)</f>
        <v>0</v>
      </c>
      <c r="G168" s="118">
        <f t="shared" si="1"/>
        <v>0</v>
      </c>
      <c r="H168" s="118">
        <f t="array" ref="H168">IFERROR(IF(B168="",0,INDEX(HPP_ENGINE!$J:$J,MATCH(B168,HPP_ENGINE!$A:$A,0))),0)</f>
        <v>0</v>
      </c>
      <c r="I168" s="118">
        <f t="shared" si="2"/>
        <v>0</v>
      </c>
      <c r="J168" s="118">
        <f t="shared" si="3"/>
        <v>0</v>
      </c>
      <c r="K168" s="136">
        <f t="shared" si="4"/>
        <v>0</v>
      </c>
    </row>
    <row r="169" ht="18.0" customHeight="1">
      <c r="A169" s="132"/>
      <c r="B169" s="72"/>
      <c r="C169" s="72"/>
      <c r="D169" s="137" t="str">
        <f t="array" ref="D169">IFERROR(IF(C169="","",INDEX(PRODUK!$B:$B,MATCH(C169,PRODUK!$A:$A,0))),"")</f>
        <v/>
      </c>
      <c r="E169" s="113"/>
      <c r="F169" s="115">
        <f t="array" ref="F169">IFERROR(IF(C169="",0,INDEX(PRODUK!$F:$F,MATCH(C169,PRODUK!$A:$A,0))),0)</f>
        <v>0</v>
      </c>
      <c r="G169" s="114">
        <f t="shared" si="1"/>
        <v>0</v>
      </c>
      <c r="H169" s="114">
        <f t="array" ref="H169">IFERROR(IF(B169="",0,INDEX(HPP_ENGINE!$J:$J,MATCH(B169,HPP_ENGINE!$A:$A,0))),0)</f>
        <v>0</v>
      </c>
      <c r="I169" s="114">
        <f t="shared" si="2"/>
        <v>0</v>
      </c>
      <c r="J169" s="114">
        <f t="shared" si="3"/>
        <v>0</v>
      </c>
      <c r="K169" s="133">
        <f t="shared" si="4"/>
        <v>0</v>
      </c>
    </row>
    <row r="170" ht="18.0" customHeight="1">
      <c r="A170" s="134"/>
      <c r="B170" s="77"/>
      <c r="C170" s="77"/>
      <c r="D170" s="135" t="str">
        <f t="array" ref="D170">IFERROR(IF(C170="","",INDEX(PRODUK!$B:$B,MATCH(C170,PRODUK!$A:$A,0))),"")</f>
        <v/>
      </c>
      <c r="E170" s="117"/>
      <c r="F170" s="119">
        <f t="array" ref="F170">IFERROR(IF(C170="",0,INDEX(PRODUK!$F:$F,MATCH(C170,PRODUK!$A:$A,0))),0)</f>
        <v>0</v>
      </c>
      <c r="G170" s="118">
        <f t="shared" si="1"/>
        <v>0</v>
      </c>
      <c r="H170" s="118">
        <f t="array" ref="H170">IFERROR(IF(B170="",0,INDEX(HPP_ENGINE!$J:$J,MATCH(B170,HPP_ENGINE!$A:$A,0))),0)</f>
        <v>0</v>
      </c>
      <c r="I170" s="118">
        <f t="shared" si="2"/>
        <v>0</v>
      </c>
      <c r="J170" s="118">
        <f t="shared" si="3"/>
        <v>0</v>
      </c>
      <c r="K170" s="136">
        <f t="shared" si="4"/>
        <v>0</v>
      </c>
    </row>
    <row r="171" ht="18.0" customHeight="1">
      <c r="A171" s="132"/>
      <c r="B171" s="72"/>
      <c r="C171" s="72"/>
      <c r="D171" s="137" t="str">
        <f t="array" ref="D171">IFERROR(IF(C171="","",INDEX(PRODUK!$B:$B,MATCH(C171,PRODUK!$A:$A,0))),"")</f>
        <v/>
      </c>
      <c r="E171" s="113"/>
      <c r="F171" s="115">
        <f t="array" ref="F171">IFERROR(IF(C171="",0,INDEX(PRODUK!$F:$F,MATCH(C171,PRODUK!$A:$A,0))),0)</f>
        <v>0</v>
      </c>
      <c r="G171" s="114">
        <f t="shared" si="1"/>
        <v>0</v>
      </c>
      <c r="H171" s="114">
        <f t="array" ref="H171">IFERROR(IF(B171="",0,INDEX(HPP_ENGINE!$J:$J,MATCH(B171,HPP_ENGINE!$A:$A,0))),0)</f>
        <v>0</v>
      </c>
      <c r="I171" s="114">
        <f t="shared" si="2"/>
        <v>0</v>
      </c>
      <c r="J171" s="114">
        <f t="shared" si="3"/>
        <v>0</v>
      </c>
      <c r="K171" s="133">
        <f t="shared" si="4"/>
        <v>0</v>
      </c>
    </row>
    <row r="172" ht="18.0" customHeight="1">
      <c r="A172" s="134"/>
      <c r="B172" s="77"/>
      <c r="C172" s="77"/>
      <c r="D172" s="135" t="str">
        <f t="array" ref="D172">IFERROR(IF(C172="","",INDEX(PRODUK!$B:$B,MATCH(C172,PRODUK!$A:$A,0))),"")</f>
        <v/>
      </c>
      <c r="E172" s="117"/>
      <c r="F172" s="119">
        <f t="array" ref="F172">IFERROR(IF(C172="",0,INDEX(PRODUK!$F:$F,MATCH(C172,PRODUK!$A:$A,0))),0)</f>
        <v>0</v>
      </c>
      <c r="G172" s="118">
        <f t="shared" si="1"/>
        <v>0</v>
      </c>
      <c r="H172" s="118">
        <f t="array" ref="H172">IFERROR(IF(B172="",0,INDEX(HPP_ENGINE!$J:$J,MATCH(B172,HPP_ENGINE!$A:$A,0))),0)</f>
        <v>0</v>
      </c>
      <c r="I172" s="118">
        <f t="shared" si="2"/>
        <v>0</v>
      </c>
      <c r="J172" s="118">
        <f t="shared" si="3"/>
        <v>0</v>
      </c>
      <c r="K172" s="136">
        <f t="shared" si="4"/>
        <v>0</v>
      </c>
    </row>
    <row r="173" ht="18.0" customHeight="1">
      <c r="A173" s="132"/>
      <c r="B173" s="72"/>
      <c r="C173" s="72"/>
      <c r="D173" s="137" t="str">
        <f t="array" ref="D173">IFERROR(IF(C173="","",INDEX(PRODUK!$B:$B,MATCH(C173,PRODUK!$A:$A,0))),"")</f>
        <v/>
      </c>
      <c r="E173" s="113"/>
      <c r="F173" s="115">
        <f t="array" ref="F173">IFERROR(IF(C173="",0,INDEX(PRODUK!$F:$F,MATCH(C173,PRODUK!$A:$A,0))),0)</f>
        <v>0</v>
      </c>
      <c r="G173" s="114">
        <f t="shared" si="1"/>
        <v>0</v>
      </c>
      <c r="H173" s="114">
        <f t="array" ref="H173">IFERROR(IF(B173="",0,INDEX(HPP_ENGINE!$J:$J,MATCH(B173,HPP_ENGINE!$A:$A,0))),0)</f>
        <v>0</v>
      </c>
      <c r="I173" s="114">
        <f t="shared" si="2"/>
        <v>0</v>
      </c>
      <c r="J173" s="114">
        <f t="shared" si="3"/>
        <v>0</v>
      </c>
      <c r="K173" s="133">
        <f t="shared" si="4"/>
        <v>0</v>
      </c>
    </row>
    <row r="174" ht="18.0" customHeight="1">
      <c r="A174" s="134"/>
      <c r="B174" s="77"/>
      <c r="C174" s="77"/>
      <c r="D174" s="135" t="str">
        <f t="array" ref="D174">IFERROR(IF(C174="","",INDEX(PRODUK!$B:$B,MATCH(C174,PRODUK!$A:$A,0))),"")</f>
        <v/>
      </c>
      <c r="E174" s="117"/>
      <c r="F174" s="119">
        <f t="array" ref="F174">IFERROR(IF(C174="",0,INDEX(PRODUK!$F:$F,MATCH(C174,PRODUK!$A:$A,0))),0)</f>
        <v>0</v>
      </c>
      <c r="G174" s="118">
        <f t="shared" si="1"/>
        <v>0</v>
      </c>
      <c r="H174" s="118">
        <f t="array" ref="H174">IFERROR(IF(B174="",0,INDEX(HPP_ENGINE!$J:$J,MATCH(B174,HPP_ENGINE!$A:$A,0))),0)</f>
        <v>0</v>
      </c>
      <c r="I174" s="118">
        <f t="shared" si="2"/>
        <v>0</v>
      </c>
      <c r="J174" s="118">
        <f t="shared" si="3"/>
        <v>0</v>
      </c>
      <c r="K174" s="136">
        <f t="shared" si="4"/>
        <v>0</v>
      </c>
    </row>
    <row r="175" ht="18.0" customHeight="1">
      <c r="A175" s="132"/>
      <c r="B175" s="72"/>
      <c r="C175" s="72"/>
      <c r="D175" s="137" t="str">
        <f t="array" ref="D175">IFERROR(IF(C175="","",INDEX(PRODUK!$B:$B,MATCH(C175,PRODUK!$A:$A,0))),"")</f>
        <v/>
      </c>
      <c r="E175" s="113"/>
      <c r="F175" s="115">
        <f t="array" ref="F175">IFERROR(IF(C175="",0,INDEX(PRODUK!$F:$F,MATCH(C175,PRODUK!$A:$A,0))),0)</f>
        <v>0</v>
      </c>
      <c r="G175" s="114">
        <f t="shared" si="1"/>
        <v>0</v>
      </c>
      <c r="H175" s="114">
        <f t="array" ref="H175">IFERROR(IF(B175="",0,INDEX(HPP_ENGINE!$J:$J,MATCH(B175,HPP_ENGINE!$A:$A,0))),0)</f>
        <v>0</v>
      </c>
      <c r="I175" s="114">
        <f t="shared" si="2"/>
        <v>0</v>
      </c>
      <c r="J175" s="114">
        <f t="shared" si="3"/>
        <v>0</v>
      </c>
      <c r="K175" s="133">
        <f t="shared" si="4"/>
        <v>0</v>
      </c>
    </row>
    <row r="176" ht="18.0" customHeight="1">
      <c r="A176" s="134"/>
      <c r="B176" s="77"/>
      <c r="C176" s="77"/>
      <c r="D176" s="135" t="str">
        <f t="array" ref="D176">IFERROR(IF(C176="","",INDEX(PRODUK!$B:$B,MATCH(C176,PRODUK!$A:$A,0))),"")</f>
        <v/>
      </c>
      <c r="E176" s="117"/>
      <c r="F176" s="119">
        <f t="array" ref="F176">IFERROR(IF(C176="",0,INDEX(PRODUK!$F:$F,MATCH(C176,PRODUK!$A:$A,0))),0)</f>
        <v>0</v>
      </c>
      <c r="G176" s="118">
        <f t="shared" si="1"/>
        <v>0</v>
      </c>
      <c r="H176" s="118">
        <f t="array" ref="H176">IFERROR(IF(B176="",0,INDEX(HPP_ENGINE!$J:$J,MATCH(B176,HPP_ENGINE!$A:$A,0))),0)</f>
        <v>0</v>
      </c>
      <c r="I176" s="118">
        <f t="shared" si="2"/>
        <v>0</v>
      </c>
      <c r="J176" s="118">
        <f t="shared" si="3"/>
        <v>0</v>
      </c>
      <c r="K176" s="136">
        <f t="shared" si="4"/>
        <v>0</v>
      </c>
    </row>
    <row r="177" ht="18.0" customHeight="1">
      <c r="A177" s="132"/>
      <c r="B177" s="72"/>
      <c r="C177" s="72"/>
      <c r="D177" s="137" t="str">
        <f t="array" ref="D177">IFERROR(IF(C177="","",INDEX(PRODUK!$B:$B,MATCH(C177,PRODUK!$A:$A,0))),"")</f>
        <v/>
      </c>
      <c r="E177" s="113"/>
      <c r="F177" s="115">
        <f t="array" ref="F177">IFERROR(IF(C177="",0,INDEX(PRODUK!$F:$F,MATCH(C177,PRODUK!$A:$A,0))),0)</f>
        <v>0</v>
      </c>
      <c r="G177" s="114">
        <f t="shared" si="1"/>
        <v>0</v>
      </c>
      <c r="H177" s="114">
        <f t="array" ref="H177">IFERROR(IF(B177="",0,INDEX(HPP_ENGINE!$J:$J,MATCH(B177,HPP_ENGINE!$A:$A,0))),0)</f>
        <v>0</v>
      </c>
      <c r="I177" s="114">
        <f t="shared" si="2"/>
        <v>0</v>
      </c>
      <c r="J177" s="114">
        <f t="shared" si="3"/>
        <v>0</v>
      </c>
      <c r="K177" s="133">
        <f t="shared" si="4"/>
        <v>0</v>
      </c>
    </row>
    <row r="178" ht="18.0" customHeight="1">
      <c r="A178" s="134"/>
      <c r="B178" s="77"/>
      <c r="C178" s="77"/>
      <c r="D178" s="135" t="str">
        <f t="array" ref="D178">IFERROR(IF(C178="","",INDEX(PRODUK!$B:$B,MATCH(C178,PRODUK!$A:$A,0))),"")</f>
        <v/>
      </c>
      <c r="E178" s="117"/>
      <c r="F178" s="119">
        <f t="array" ref="F178">IFERROR(IF(C178="",0,INDEX(PRODUK!$F:$F,MATCH(C178,PRODUK!$A:$A,0))),0)</f>
        <v>0</v>
      </c>
      <c r="G178" s="118">
        <f t="shared" si="1"/>
        <v>0</v>
      </c>
      <c r="H178" s="118">
        <f t="array" ref="H178">IFERROR(IF(B178="",0,INDEX(HPP_ENGINE!$J:$J,MATCH(B178,HPP_ENGINE!$A:$A,0))),0)</f>
        <v>0</v>
      </c>
      <c r="I178" s="118">
        <f t="shared" si="2"/>
        <v>0</v>
      </c>
      <c r="J178" s="118">
        <f t="shared" si="3"/>
        <v>0</v>
      </c>
      <c r="K178" s="136">
        <f t="shared" si="4"/>
        <v>0</v>
      </c>
    </row>
    <row r="179" ht="18.0" customHeight="1">
      <c r="A179" s="132"/>
      <c r="B179" s="72"/>
      <c r="C179" s="72"/>
      <c r="D179" s="137" t="str">
        <f t="array" ref="D179">IFERROR(IF(C179="","",INDEX(PRODUK!$B:$B,MATCH(C179,PRODUK!$A:$A,0))),"")</f>
        <v/>
      </c>
      <c r="E179" s="113"/>
      <c r="F179" s="115">
        <f t="array" ref="F179">IFERROR(IF(C179="",0,INDEX(PRODUK!$F:$F,MATCH(C179,PRODUK!$A:$A,0))),0)</f>
        <v>0</v>
      </c>
      <c r="G179" s="114">
        <f t="shared" si="1"/>
        <v>0</v>
      </c>
      <c r="H179" s="114">
        <f t="array" ref="H179">IFERROR(IF(B179="",0,INDEX(HPP_ENGINE!$J:$J,MATCH(B179,HPP_ENGINE!$A:$A,0))),0)</f>
        <v>0</v>
      </c>
      <c r="I179" s="114">
        <f t="shared" si="2"/>
        <v>0</v>
      </c>
      <c r="J179" s="114">
        <f t="shared" si="3"/>
        <v>0</v>
      </c>
      <c r="K179" s="133">
        <f t="shared" si="4"/>
        <v>0</v>
      </c>
    </row>
    <row r="180" ht="18.0" customHeight="1">
      <c r="A180" s="134"/>
      <c r="B180" s="77"/>
      <c r="C180" s="77"/>
      <c r="D180" s="135" t="str">
        <f t="array" ref="D180">IFERROR(IF(C180="","",INDEX(PRODUK!$B:$B,MATCH(C180,PRODUK!$A:$A,0))),"")</f>
        <v/>
      </c>
      <c r="E180" s="117"/>
      <c r="F180" s="119">
        <f t="array" ref="F180">IFERROR(IF(C180="",0,INDEX(PRODUK!$F:$F,MATCH(C180,PRODUK!$A:$A,0))),0)</f>
        <v>0</v>
      </c>
      <c r="G180" s="118">
        <f t="shared" si="1"/>
        <v>0</v>
      </c>
      <c r="H180" s="118">
        <f t="array" ref="H180">IFERROR(IF(B180="",0,INDEX(HPP_ENGINE!$J:$J,MATCH(B180,HPP_ENGINE!$A:$A,0))),0)</f>
        <v>0</v>
      </c>
      <c r="I180" s="118">
        <f t="shared" si="2"/>
        <v>0</v>
      </c>
      <c r="J180" s="118">
        <f t="shared" si="3"/>
        <v>0</v>
      </c>
      <c r="K180" s="136">
        <f t="shared" si="4"/>
        <v>0</v>
      </c>
    </row>
    <row r="181" ht="18.0" customHeight="1">
      <c r="A181" s="132"/>
      <c r="B181" s="72"/>
      <c r="C181" s="72"/>
      <c r="D181" s="137" t="str">
        <f t="array" ref="D181">IFERROR(IF(C181="","",INDEX(PRODUK!$B:$B,MATCH(C181,PRODUK!$A:$A,0))),"")</f>
        <v/>
      </c>
      <c r="E181" s="113"/>
      <c r="F181" s="115">
        <f t="array" ref="F181">IFERROR(IF(C181="",0,INDEX(PRODUK!$F:$F,MATCH(C181,PRODUK!$A:$A,0))),0)</f>
        <v>0</v>
      </c>
      <c r="G181" s="114">
        <f t="shared" si="1"/>
        <v>0</v>
      </c>
      <c r="H181" s="114">
        <f t="array" ref="H181">IFERROR(IF(B181="",0,INDEX(HPP_ENGINE!$J:$J,MATCH(B181,HPP_ENGINE!$A:$A,0))),0)</f>
        <v>0</v>
      </c>
      <c r="I181" s="114">
        <f t="shared" si="2"/>
        <v>0</v>
      </c>
      <c r="J181" s="114">
        <f t="shared" si="3"/>
        <v>0</v>
      </c>
      <c r="K181" s="133">
        <f t="shared" si="4"/>
        <v>0</v>
      </c>
    </row>
    <row r="182" ht="18.0" customHeight="1">
      <c r="A182" s="134"/>
      <c r="B182" s="77"/>
      <c r="C182" s="77"/>
      <c r="D182" s="135" t="str">
        <f t="array" ref="D182">IFERROR(IF(C182="","",INDEX(PRODUK!$B:$B,MATCH(C182,PRODUK!$A:$A,0))),"")</f>
        <v/>
      </c>
      <c r="E182" s="117"/>
      <c r="F182" s="119">
        <f t="array" ref="F182">IFERROR(IF(C182="",0,INDEX(PRODUK!$F:$F,MATCH(C182,PRODUK!$A:$A,0))),0)</f>
        <v>0</v>
      </c>
      <c r="G182" s="118">
        <f t="shared" si="1"/>
        <v>0</v>
      </c>
      <c r="H182" s="118">
        <f t="array" ref="H182">IFERROR(IF(B182="",0,INDEX(HPP_ENGINE!$J:$J,MATCH(B182,HPP_ENGINE!$A:$A,0))),0)</f>
        <v>0</v>
      </c>
      <c r="I182" s="118">
        <f t="shared" si="2"/>
        <v>0</v>
      </c>
      <c r="J182" s="118">
        <f t="shared" si="3"/>
        <v>0</v>
      </c>
      <c r="K182" s="136">
        <f t="shared" si="4"/>
        <v>0</v>
      </c>
    </row>
    <row r="183" ht="18.0" customHeight="1">
      <c r="A183" s="132"/>
      <c r="B183" s="72"/>
      <c r="C183" s="72"/>
      <c r="D183" s="137" t="str">
        <f t="array" ref="D183">IFERROR(IF(C183="","",INDEX(PRODUK!$B:$B,MATCH(C183,PRODUK!$A:$A,0))),"")</f>
        <v/>
      </c>
      <c r="E183" s="113"/>
      <c r="F183" s="115">
        <f t="array" ref="F183">IFERROR(IF(C183="",0,INDEX(PRODUK!$F:$F,MATCH(C183,PRODUK!$A:$A,0))),0)</f>
        <v>0</v>
      </c>
      <c r="G183" s="114">
        <f t="shared" si="1"/>
        <v>0</v>
      </c>
      <c r="H183" s="114">
        <f t="array" ref="H183">IFERROR(IF(B183="",0,INDEX(HPP_ENGINE!$J:$J,MATCH(B183,HPP_ENGINE!$A:$A,0))),0)</f>
        <v>0</v>
      </c>
      <c r="I183" s="114">
        <f t="shared" si="2"/>
        <v>0</v>
      </c>
      <c r="J183" s="114">
        <f t="shared" si="3"/>
        <v>0</v>
      </c>
      <c r="K183" s="133">
        <f t="shared" si="4"/>
        <v>0</v>
      </c>
    </row>
    <row r="184" ht="18.0" customHeight="1">
      <c r="A184" s="134"/>
      <c r="B184" s="77"/>
      <c r="C184" s="77"/>
      <c r="D184" s="135" t="str">
        <f t="array" ref="D184">IFERROR(IF(C184="","",INDEX(PRODUK!$B:$B,MATCH(C184,PRODUK!$A:$A,0))),"")</f>
        <v/>
      </c>
      <c r="E184" s="117"/>
      <c r="F184" s="119">
        <f t="array" ref="F184">IFERROR(IF(C184="",0,INDEX(PRODUK!$F:$F,MATCH(C184,PRODUK!$A:$A,0))),0)</f>
        <v>0</v>
      </c>
      <c r="G184" s="118">
        <f t="shared" si="1"/>
        <v>0</v>
      </c>
      <c r="H184" s="118">
        <f t="array" ref="H184">IFERROR(IF(B184="",0,INDEX(HPP_ENGINE!$J:$J,MATCH(B184,HPP_ENGINE!$A:$A,0))),0)</f>
        <v>0</v>
      </c>
      <c r="I184" s="118">
        <f t="shared" si="2"/>
        <v>0</v>
      </c>
      <c r="J184" s="118">
        <f t="shared" si="3"/>
        <v>0</v>
      </c>
      <c r="K184" s="136">
        <f t="shared" si="4"/>
        <v>0</v>
      </c>
    </row>
    <row r="185" ht="18.0" customHeight="1">
      <c r="A185" s="132"/>
      <c r="B185" s="72"/>
      <c r="C185" s="72"/>
      <c r="D185" s="137" t="str">
        <f t="array" ref="D185">IFERROR(IF(C185="","",INDEX(PRODUK!$B:$B,MATCH(C185,PRODUK!$A:$A,0))),"")</f>
        <v/>
      </c>
      <c r="E185" s="113"/>
      <c r="F185" s="115">
        <f t="array" ref="F185">IFERROR(IF(C185="",0,INDEX(PRODUK!$F:$F,MATCH(C185,PRODUK!$A:$A,0))),0)</f>
        <v>0</v>
      </c>
      <c r="G185" s="114">
        <f t="shared" si="1"/>
        <v>0</v>
      </c>
      <c r="H185" s="114">
        <f t="array" ref="H185">IFERROR(IF(B185="",0,INDEX(HPP_ENGINE!$J:$J,MATCH(B185,HPP_ENGINE!$A:$A,0))),0)</f>
        <v>0</v>
      </c>
      <c r="I185" s="114">
        <f t="shared" si="2"/>
        <v>0</v>
      </c>
      <c r="J185" s="114">
        <f t="shared" si="3"/>
        <v>0</v>
      </c>
      <c r="K185" s="133">
        <f t="shared" si="4"/>
        <v>0</v>
      </c>
    </row>
    <row r="186" ht="18.0" customHeight="1">
      <c r="A186" s="134"/>
      <c r="B186" s="77"/>
      <c r="C186" s="77"/>
      <c r="D186" s="135" t="str">
        <f t="array" ref="D186">IFERROR(IF(C186="","",INDEX(PRODUK!$B:$B,MATCH(C186,PRODUK!$A:$A,0))),"")</f>
        <v/>
      </c>
      <c r="E186" s="117"/>
      <c r="F186" s="119">
        <f t="array" ref="F186">IFERROR(IF(C186="",0,INDEX(PRODUK!$F:$F,MATCH(C186,PRODUK!$A:$A,0))),0)</f>
        <v>0</v>
      </c>
      <c r="G186" s="118">
        <f t="shared" si="1"/>
        <v>0</v>
      </c>
      <c r="H186" s="118">
        <f t="array" ref="H186">IFERROR(IF(B186="",0,INDEX(HPP_ENGINE!$J:$J,MATCH(B186,HPP_ENGINE!$A:$A,0))),0)</f>
        <v>0</v>
      </c>
      <c r="I186" s="118">
        <f t="shared" si="2"/>
        <v>0</v>
      </c>
      <c r="J186" s="118">
        <f t="shared" si="3"/>
        <v>0</v>
      </c>
      <c r="K186" s="136">
        <f t="shared" si="4"/>
        <v>0</v>
      </c>
    </row>
    <row r="187" ht="18.0" customHeight="1">
      <c r="A187" s="132"/>
      <c r="B187" s="72"/>
      <c r="C187" s="72"/>
      <c r="D187" s="137" t="str">
        <f t="array" ref="D187">IFERROR(IF(C187="","",INDEX(PRODUK!$B:$B,MATCH(C187,PRODUK!$A:$A,0))),"")</f>
        <v/>
      </c>
      <c r="E187" s="113"/>
      <c r="F187" s="115">
        <f t="array" ref="F187">IFERROR(IF(C187="",0,INDEX(PRODUK!$F:$F,MATCH(C187,PRODUK!$A:$A,0))),0)</f>
        <v>0</v>
      </c>
      <c r="G187" s="114">
        <f t="shared" si="1"/>
        <v>0</v>
      </c>
      <c r="H187" s="114">
        <f t="array" ref="H187">IFERROR(IF(B187="",0,INDEX(HPP_ENGINE!$J:$J,MATCH(B187,HPP_ENGINE!$A:$A,0))),0)</f>
        <v>0</v>
      </c>
      <c r="I187" s="114">
        <f t="shared" si="2"/>
        <v>0</v>
      </c>
      <c r="J187" s="114">
        <f t="shared" si="3"/>
        <v>0</v>
      </c>
      <c r="K187" s="133">
        <f t="shared" si="4"/>
        <v>0</v>
      </c>
    </row>
    <row r="188" ht="18.0" customHeight="1">
      <c r="A188" s="134"/>
      <c r="B188" s="77"/>
      <c r="C188" s="77"/>
      <c r="D188" s="135" t="str">
        <f t="array" ref="D188">IFERROR(IF(C188="","",INDEX(PRODUK!$B:$B,MATCH(C188,PRODUK!$A:$A,0))),"")</f>
        <v/>
      </c>
      <c r="E188" s="117"/>
      <c r="F188" s="119">
        <f t="array" ref="F188">IFERROR(IF(C188="",0,INDEX(PRODUK!$F:$F,MATCH(C188,PRODUK!$A:$A,0))),0)</f>
        <v>0</v>
      </c>
      <c r="G188" s="118">
        <f t="shared" si="1"/>
        <v>0</v>
      </c>
      <c r="H188" s="118">
        <f t="array" ref="H188">IFERROR(IF(B188="",0,INDEX(HPP_ENGINE!$J:$J,MATCH(B188,HPP_ENGINE!$A:$A,0))),0)</f>
        <v>0</v>
      </c>
      <c r="I188" s="118">
        <f t="shared" si="2"/>
        <v>0</v>
      </c>
      <c r="J188" s="118">
        <f t="shared" si="3"/>
        <v>0</v>
      </c>
      <c r="K188" s="136">
        <f t="shared" si="4"/>
        <v>0</v>
      </c>
    </row>
    <row r="189" ht="18.0" customHeight="1">
      <c r="A189" s="132"/>
      <c r="B189" s="72"/>
      <c r="C189" s="72"/>
      <c r="D189" s="137" t="str">
        <f t="array" ref="D189">IFERROR(IF(C189="","",INDEX(PRODUK!$B:$B,MATCH(C189,PRODUK!$A:$A,0))),"")</f>
        <v/>
      </c>
      <c r="E189" s="113"/>
      <c r="F189" s="115">
        <f t="array" ref="F189">IFERROR(IF(C189="",0,INDEX(PRODUK!$F:$F,MATCH(C189,PRODUK!$A:$A,0))),0)</f>
        <v>0</v>
      </c>
      <c r="G189" s="114">
        <f t="shared" si="1"/>
        <v>0</v>
      </c>
      <c r="H189" s="114">
        <f t="array" ref="H189">IFERROR(IF(B189="",0,INDEX(HPP_ENGINE!$J:$J,MATCH(B189,HPP_ENGINE!$A:$A,0))),0)</f>
        <v>0</v>
      </c>
      <c r="I189" s="114">
        <f t="shared" si="2"/>
        <v>0</v>
      </c>
      <c r="J189" s="114">
        <f t="shared" si="3"/>
        <v>0</v>
      </c>
      <c r="K189" s="133">
        <f t="shared" si="4"/>
        <v>0</v>
      </c>
    </row>
    <row r="190" ht="18.0" customHeight="1">
      <c r="A190" s="134"/>
      <c r="B190" s="77"/>
      <c r="C190" s="77"/>
      <c r="D190" s="135" t="str">
        <f t="array" ref="D190">IFERROR(IF(C190="","",INDEX(PRODUK!$B:$B,MATCH(C190,PRODUK!$A:$A,0))),"")</f>
        <v/>
      </c>
      <c r="E190" s="117"/>
      <c r="F190" s="119">
        <f t="array" ref="F190">IFERROR(IF(C190="",0,INDEX(PRODUK!$F:$F,MATCH(C190,PRODUK!$A:$A,0))),0)</f>
        <v>0</v>
      </c>
      <c r="G190" s="118">
        <f t="shared" si="1"/>
        <v>0</v>
      </c>
      <c r="H190" s="118">
        <f t="array" ref="H190">IFERROR(IF(B190="",0,INDEX(HPP_ENGINE!$J:$J,MATCH(B190,HPP_ENGINE!$A:$A,0))),0)</f>
        <v>0</v>
      </c>
      <c r="I190" s="118">
        <f t="shared" si="2"/>
        <v>0</v>
      </c>
      <c r="J190" s="118">
        <f t="shared" si="3"/>
        <v>0</v>
      </c>
      <c r="K190" s="136">
        <f t="shared" si="4"/>
        <v>0</v>
      </c>
    </row>
    <row r="191" ht="18.0" customHeight="1">
      <c r="A191" s="132"/>
      <c r="B191" s="72"/>
      <c r="C191" s="72"/>
      <c r="D191" s="137" t="str">
        <f t="array" ref="D191">IFERROR(IF(C191="","",INDEX(PRODUK!$B:$B,MATCH(C191,PRODUK!$A:$A,0))),"")</f>
        <v/>
      </c>
      <c r="E191" s="113"/>
      <c r="F191" s="115">
        <f t="array" ref="F191">IFERROR(IF(C191="",0,INDEX(PRODUK!$F:$F,MATCH(C191,PRODUK!$A:$A,0))),0)</f>
        <v>0</v>
      </c>
      <c r="G191" s="114">
        <f t="shared" si="1"/>
        <v>0</v>
      </c>
      <c r="H191" s="114">
        <f t="array" ref="H191">IFERROR(IF(B191="",0,INDEX(HPP_ENGINE!$J:$J,MATCH(B191,HPP_ENGINE!$A:$A,0))),0)</f>
        <v>0</v>
      </c>
      <c r="I191" s="114">
        <f t="shared" si="2"/>
        <v>0</v>
      </c>
      <c r="J191" s="114">
        <f t="shared" si="3"/>
        <v>0</v>
      </c>
      <c r="K191" s="133">
        <f t="shared" si="4"/>
        <v>0</v>
      </c>
    </row>
    <row r="192" ht="18.0" customHeight="1">
      <c r="A192" s="134"/>
      <c r="B192" s="77"/>
      <c r="C192" s="77"/>
      <c r="D192" s="135" t="str">
        <f t="array" ref="D192">IFERROR(IF(C192="","",INDEX(PRODUK!$B:$B,MATCH(C192,PRODUK!$A:$A,0))),"")</f>
        <v/>
      </c>
      <c r="E192" s="117"/>
      <c r="F192" s="119">
        <f t="array" ref="F192">IFERROR(IF(C192="",0,INDEX(PRODUK!$F:$F,MATCH(C192,PRODUK!$A:$A,0))),0)</f>
        <v>0</v>
      </c>
      <c r="G192" s="118">
        <f t="shared" si="1"/>
        <v>0</v>
      </c>
      <c r="H192" s="118">
        <f t="array" ref="H192">IFERROR(IF(B192="",0,INDEX(HPP_ENGINE!$J:$J,MATCH(B192,HPP_ENGINE!$A:$A,0))),0)</f>
        <v>0</v>
      </c>
      <c r="I192" s="118">
        <f t="shared" si="2"/>
        <v>0</v>
      </c>
      <c r="J192" s="118">
        <f t="shared" si="3"/>
        <v>0</v>
      </c>
      <c r="K192" s="136">
        <f t="shared" si="4"/>
        <v>0</v>
      </c>
    </row>
    <row r="193" ht="18.0" customHeight="1">
      <c r="A193" s="132"/>
      <c r="B193" s="72"/>
      <c r="C193" s="72"/>
      <c r="D193" s="137" t="str">
        <f t="array" ref="D193">IFERROR(IF(C193="","",INDEX(PRODUK!$B:$B,MATCH(C193,PRODUK!$A:$A,0))),"")</f>
        <v/>
      </c>
      <c r="E193" s="113"/>
      <c r="F193" s="115">
        <f t="array" ref="F193">IFERROR(IF(C193="",0,INDEX(PRODUK!$F:$F,MATCH(C193,PRODUK!$A:$A,0))),0)</f>
        <v>0</v>
      </c>
      <c r="G193" s="114">
        <f t="shared" si="1"/>
        <v>0</v>
      </c>
      <c r="H193" s="114">
        <f t="array" ref="H193">IFERROR(IF(B193="",0,INDEX(HPP_ENGINE!$J:$J,MATCH(B193,HPP_ENGINE!$A:$A,0))),0)</f>
        <v>0</v>
      </c>
      <c r="I193" s="114">
        <f t="shared" si="2"/>
        <v>0</v>
      </c>
      <c r="J193" s="114">
        <f t="shared" si="3"/>
        <v>0</v>
      </c>
      <c r="K193" s="133">
        <f t="shared" si="4"/>
        <v>0</v>
      </c>
    </row>
    <row r="194" ht="18.0" customHeight="1">
      <c r="A194" s="134"/>
      <c r="B194" s="77"/>
      <c r="C194" s="77"/>
      <c r="D194" s="135" t="str">
        <f t="array" ref="D194">IFERROR(IF(C194="","",INDEX(PRODUK!$B:$B,MATCH(C194,PRODUK!$A:$A,0))),"")</f>
        <v/>
      </c>
      <c r="E194" s="117"/>
      <c r="F194" s="119">
        <f t="array" ref="F194">IFERROR(IF(C194="",0,INDEX(PRODUK!$F:$F,MATCH(C194,PRODUK!$A:$A,0))),0)</f>
        <v>0</v>
      </c>
      <c r="G194" s="118">
        <f t="shared" si="1"/>
        <v>0</v>
      </c>
      <c r="H194" s="118">
        <f t="array" ref="H194">IFERROR(IF(B194="",0,INDEX(HPP_ENGINE!$J:$J,MATCH(B194,HPP_ENGINE!$A:$A,0))),0)</f>
        <v>0</v>
      </c>
      <c r="I194" s="118">
        <f t="shared" si="2"/>
        <v>0</v>
      </c>
      <c r="J194" s="118">
        <f t="shared" si="3"/>
        <v>0</v>
      </c>
      <c r="K194" s="136">
        <f t="shared" si="4"/>
        <v>0</v>
      </c>
    </row>
    <row r="195" ht="18.0" customHeight="1">
      <c r="A195" s="132"/>
      <c r="B195" s="72"/>
      <c r="C195" s="72"/>
      <c r="D195" s="137" t="str">
        <f t="array" ref="D195">IFERROR(IF(C195="","",INDEX(PRODUK!$B:$B,MATCH(C195,PRODUK!$A:$A,0))),"")</f>
        <v/>
      </c>
      <c r="E195" s="113"/>
      <c r="F195" s="115">
        <f t="array" ref="F195">IFERROR(IF(C195="",0,INDEX(PRODUK!$F:$F,MATCH(C195,PRODUK!$A:$A,0))),0)</f>
        <v>0</v>
      </c>
      <c r="G195" s="114">
        <f t="shared" si="1"/>
        <v>0</v>
      </c>
      <c r="H195" s="114">
        <f t="array" ref="H195">IFERROR(IF(B195="",0,INDEX(HPP_ENGINE!$J:$J,MATCH(B195,HPP_ENGINE!$A:$A,0))),0)</f>
        <v>0</v>
      </c>
      <c r="I195" s="114">
        <f t="shared" si="2"/>
        <v>0</v>
      </c>
      <c r="J195" s="114">
        <f t="shared" si="3"/>
        <v>0</v>
      </c>
      <c r="K195" s="133">
        <f t="shared" si="4"/>
        <v>0</v>
      </c>
    </row>
    <row r="196" ht="18.0" customHeight="1">
      <c r="A196" s="134"/>
      <c r="B196" s="77"/>
      <c r="C196" s="77"/>
      <c r="D196" s="135" t="str">
        <f t="array" ref="D196">IFERROR(IF(C196="","",INDEX(PRODUK!$B:$B,MATCH(C196,PRODUK!$A:$A,0))),"")</f>
        <v/>
      </c>
      <c r="E196" s="117"/>
      <c r="F196" s="119">
        <f t="array" ref="F196">IFERROR(IF(C196="",0,INDEX(PRODUK!$F:$F,MATCH(C196,PRODUK!$A:$A,0))),0)</f>
        <v>0</v>
      </c>
      <c r="G196" s="118">
        <f t="shared" si="1"/>
        <v>0</v>
      </c>
      <c r="H196" s="118">
        <f t="array" ref="H196">IFERROR(IF(B196="",0,INDEX(HPP_ENGINE!$J:$J,MATCH(B196,HPP_ENGINE!$A:$A,0))),0)</f>
        <v>0</v>
      </c>
      <c r="I196" s="118">
        <f t="shared" si="2"/>
        <v>0</v>
      </c>
      <c r="J196" s="118">
        <f t="shared" si="3"/>
        <v>0</v>
      </c>
      <c r="K196" s="136">
        <f t="shared" si="4"/>
        <v>0</v>
      </c>
    </row>
    <row r="197" ht="18.0" customHeight="1">
      <c r="A197" s="132"/>
      <c r="B197" s="72"/>
      <c r="C197" s="72"/>
      <c r="D197" s="137" t="str">
        <f t="array" ref="D197">IFERROR(IF(C197="","",INDEX(PRODUK!$B:$B,MATCH(C197,PRODUK!$A:$A,0))),"")</f>
        <v/>
      </c>
      <c r="E197" s="113"/>
      <c r="F197" s="115">
        <f t="array" ref="F197">IFERROR(IF(C197="",0,INDEX(PRODUK!$F:$F,MATCH(C197,PRODUK!$A:$A,0))),0)</f>
        <v>0</v>
      </c>
      <c r="G197" s="114">
        <f t="shared" si="1"/>
        <v>0</v>
      </c>
      <c r="H197" s="114">
        <f t="array" ref="H197">IFERROR(IF(B197="",0,INDEX(HPP_ENGINE!$J:$J,MATCH(B197,HPP_ENGINE!$A:$A,0))),0)</f>
        <v>0</v>
      </c>
      <c r="I197" s="114">
        <f t="shared" si="2"/>
        <v>0</v>
      </c>
      <c r="J197" s="114">
        <f t="shared" si="3"/>
        <v>0</v>
      </c>
      <c r="K197" s="133">
        <f t="shared" si="4"/>
        <v>0</v>
      </c>
    </row>
    <row r="198" ht="18.0" customHeight="1">
      <c r="A198" s="134"/>
      <c r="B198" s="77"/>
      <c r="C198" s="77"/>
      <c r="D198" s="135" t="str">
        <f t="array" ref="D198">IFERROR(IF(C198="","",INDEX(PRODUK!$B:$B,MATCH(C198,PRODUK!$A:$A,0))),"")</f>
        <v/>
      </c>
      <c r="E198" s="117"/>
      <c r="F198" s="119">
        <f t="array" ref="F198">IFERROR(IF(C198="",0,INDEX(PRODUK!$F:$F,MATCH(C198,PRODUK!$A:$A,0))),0)</f>
        <v>0</v>
      </c>
      <c r="G198" s="118">
        <f t="shared" si="1"/>
        <v>0</v>
      </c>
      <c r="H198" s="118">
        <f t="array" ref="H198">IFERROR(IF(B198="",0,INDEX(HPP_ENGINE!$J:$J,MATCH(B198,HPP_ENGINE!$A:$A,0))),0)</f>
        <v>0</v>
      </c>
      <c r="I198" s="118">
        <f t="shared" si="2"/>
        <v>0</v>
      </c>
      <c r="J198" s="118">
        <f t="shared" si="3"/>
        <v>0</v>
      </c>
      <c r="K198" s="136">
        <f t="shared" si="4"/>
        <v>0</v>
      </c>
    </row>
    <row r="199" ht="18.0" customHeight="1">
      <c r="A199" s="132"/>
      <c r="B199" s="72"/>
      <c r="C199" s="72"/>
      <c r="D199" s="137" t="str">
        <f t="array" ref="D199">IFERROR(IF(C199="","",INDEX(PRODUK!$B:$B,MATCH(C199,PRODUK!$A:$A,0))),"")</f>
        <v/>
      </c>
      <c r="E199" s="113"/>
      <c r="F199" s="115">
        <f t="array" ref="F199">IFERROR(IF(C199="",0,INDEX(PRODUK!$F:$F,MATCH(C199,PRODUK!$A:$A,0))),0)</f>
        <v>0</v>
      </c>
      <c r="G199" s="114">
        <f t="shared" si="1"/>
        <v>0</v>
      </c>
      <c r="H199" s="114">
        <f t="array" ref="H199">IFERROR(IF(B199="",0,INDEX(HPP_ENGINE!$J:$J,MATCH(B199,HPP_ENGINE!$A:$A,0))),0)</f>
        <v>0</v>
      </c>
      <c r="I199" s="114">
        <f t="shared" si="2"/>
        <v>0</v>
      </c>
      <c r="J199" s="114">
        <f t="shared" si="3"/>
        <v>0</v>
      </c>
      <c r="K199" s="133">
        <f t="shared" si="4"/>
        <v>0</v>
      </c>
    </row>
    <row r="200" ht="18.0" customHeight="1">
      <c r="A200" s="134"/>
      <c r="B200" s="77"/>
      <c r="C200" s="77"/>
      <c r="D200" s="135" t="str">
        <f t="array" ref="D200">IFERROR(IF(C200="","",INDEX(PRODUK!$B:$B,MATCH(C200,PRODUK!$A:$A,0))),"")</f>
        <v/>
      </c>
      <c r="E200" s="117"/>
      <c r="F200" s="119">
        <f t="array" ref="F200">IFERROR(IF(C200="",0,INDEX(PRODUK!$F:$F,MATCH(C200,PRODUK!$A:$A,0))),0)</f>
        <v>0</v>
      </c>
      <c r="G200" s="118">
        <f t="shared" si="1"/>
        <v>0</v>
      </c>
      <c r="H200" s="118">
        <f t="array" ref="H200">IFERROR(IF(B200="",0,INDEX(HPP_ENGINE!$J:$J,MATCH(B200,HPP_ENGINE!$A:$A,0))),0)</f>
        <v>0</v>
      </c>
      <c r="I200" s="118">
        <f t="shared" si="2"/>
        <v>0</v>
      </c>
      <c r="J200" s="118">
        <f t="shared" si="3"/>
        <v>0</v>
      </c>
      <c r="K200" s="136">
        <f t="shared" si="4"/>
        <v>0</v>
      </c>
    </row>
    <row r="201" ht="18.0" customHeight="1">
      <c r="A201" s="132"/>
      <c r="B201" s="72"/>
      <c r="C201" s="72"/>
      <c r="D201" s="137" t="str">
        <f t="array" ref="D201">IFERROR(IF(C201="","",INDEX(PRODUK!$B:$B,MATCH(C201,PRODUK!$A:$A,0))),"")</f>
        <v/>
      </c>
      <c r="E201" s="113"/>
      <c r="F201" s="115">
        <f t="array" ref="F201">IFERROR(IF(C201="",0,INDEX(PRODUK!$F:$F,MATCH(C201,PRODUK!$A:$A,0))),0)</f>
        <v>0</v>
      </c>
      <c r="G201" s="114">
        <f t="shared" si="1"/>
        <v>0</v>
      </c>
      <c r="H201" s="114">
        <f t="array" ref="H201">IFERROR(IF(B201="",0,INDEX(HPP_ENGINE!$J:$J,MATCH(B201,HPP_ENGINE!$A:$A,0))),0)</f>
        <v>0</v>
      </c>
      <c r="I201" s="114">
        <f t="shared" si="2"/>
        <v>0</v>
      </c>
      <c r="J201" s="114">
        <f t="shared" si="3"/>
        <v>0</v>
      </c>
      <c r="K201" s="133">
        <f t="shared" si="4"/>
        <v>0</v>
      </c>
    </row>
    <row r="202" ht="18.0" customHeight="1">
      <c r="A202" s="134"/>
      <c r="B202" s="77"/>
      <c r="C202" s="77"/>
      <c r="D202" s="135" t="str">
        <f t="array" ref="D202">IFERROR(IF(C202="","",INDEX(PRODUK!$B:$B,MATCH(C202,PRODUK!$A:$A,0))),"")</f>
        <v/>
      </c>
      <c r="E202" s="117"/>
      <c r="F202" s="119">
        <f t="array" ref="F202">IFERROR(IF(C202="",0,INDEX(PRODUK!$F:$F,MATCH(C202,PRODUK!$A:$A,0))),0)</f>
        <v>0</v>
      </c>
      <c r="G202" s="118">
        <f t="shared" si="1"/>
        <v>0</v>
      </c>
      <c r="H202" s="118">
        <f t="array" ref="H202">IFERROR(IF(B202="",0,INDEX(HPP_ENGINE!$J:$J,MATCH(B202,HPP_ENGINE!$A:$A,0))),0)</f>
        <v>0</v>
      </c>
      <c r="I202" s="118">
        <f t="shared" si="2"/>
        <v>0</v>
      </c>
      <c r="J202" s="118">
        <f t="shared" si="3"/>
        <v>0</v>
      </c>
      <c r="K202" s="136">
        <f t="shared" si="4"/>
        <v>0</v>
      </c>
    </row>
    <row r="203" ht="18.0" customHeight="1">
      <c r="A203" s="132"/>
      <c r="B203" s="72"/>
      <c r="C203" s="72"/>
      <c r="D203" s="137" t="str">
        <f t="array" ref="D203">IFERROR(IF(C203="","",INDEX(PRODUK!$B:$B,MATCH(C203,PRODUK!$A:$A,0))),"")</f>
        <v/>
      </c>
      <c r="E203" s="113"/>
      <c r="F203" s="115">
        <f t="array" ref="F203">IFERROR(IF(C203="",0,INDEX(PRODUK!$F:$F,MATCH(C203,PRODUK!$A:$A,0))),0)</f>
        <v>0</v>
      </c>
      <c r="G203" s="114">
        <f t="shared" si="1"/>
        <v>0</v>
      </c>
      <c r="H203" s="114">
        <f t="array" ref="H203">IFERROR(IF(B203="",0,INDEX(HPP_ENGINE!$J:$J,MATCH(B203,HPP_ENGINE!$A:$A,0))),0)</f>
        <v>0</v>
      </c>
      <c r="I203" s="114">
        <f t="shared" si="2"/>
        <v>0</v>
      </c>
      <c r="J203" s="114">
        <f t="shared" si="3"/>
        <v>0</v>
      </c>
      <c r="K203" s="133">
        <f t="shared" si="4"/>
        <v>0</v>
      </c>
    </row>
    <row r="204" ht="18.0" customHeight="1">
      <c r="A204" s="134"/>
      <c r="B204" s="77"/>
      <c r="C204" s="77"/>
      <c r="D204" s="135" t="str">
        <f t="array" ref="D204">IFERROR(IF(C204="","",INDEX(PRODUK!$B:$B,MATCH(C204,PRODUK!$A:$A,0))),"")</f>
        <v/>
      </c>
      <c r="E204" s="117"/>
      <c r="F204" s="119">
        <f t="array" ref="F204">IFERROR(IF(C204="",0,INDEX(PRODUK!$F:$F,MATCH(C204,PRODUK!$A:$A,0))),0)</f>
        <v>0</v>
      </c>
      <c r="G204" s="118">
        <f t="shared" si="1"/>
        <v>0</v>
      </c>
      <c r="H204" s="118">
        <f t="array" ref="H204">IFERROR(IF(B204="",0,INDEX(HPP_ENGINE!$J:$J,MATCH(B204,HPP_ENGINE!$A:$A,0))),0)</f>
        <v>0</v>
      </c>
      <c r="I204" s="118">
        <f t="shared" si="2"/>
        <v>0</v>
      </c>
      <c r="J204" s="118">
        <f t="shared" si="3"/>
        <v>0</v>
      </c>
      <c r="K204" s="136">
        <f t="shared" si="4"/>
        <v>0</v>
      </c>
    </row>
    <row r="205" ht="18.0" customHeight="1">
      <c r="A205" s="132"/>
      <c r="B205" s="72"/>
      <c r="C205" s="72"/>
      <c r="D205" s="137" t="str">
        <f t="array" ref="D205">IFERROR(IF(C205="","",INDEX(PRODUK!$B:$B,MATCH(C205,PRODUK!$A:$A,0))),"")</f>
        <v/>
      </c>
      <c r="E205" s="113"/>
      <c r="F205" s="115">
        <f t="array" ref="F205">IFERROR(IF(C205="",0,INDEX(PRODUK!$F:$F,MATCH(C205,PRODUK!$A:$A,0))),0)</f>
        <v>0</v>
      </c>
      <c r="G205" s="114">
        <f t="shared" si="1"/>
        <v>0</v>
      </c>
      <c r="H205" s="114">
        <f t="array" ref="H205">IFERROR(IF(B205="",0,INDEX(HPP_ENGINE!$J:$J,MATCH(B205,HPP_ENGINE!$A:$A,0))),0)</f>
        <v>0</v>
      </c>
      <c r="I205" s="114">
        <f t="shared" si="2"/>
        <v>0</v>
      </c>
      <c r="J205" s="114">
        <f t="shared" si="3"/>
        <v>0</v>
      </c>
      <c r="K205" s="133">
        <f t="shared" si="4"/>
        <v>0</v>
      </c>
    </row>
    <row r="206" ht="18.0" customHeight="1">
      <c r="A206" s="134"/>
      <c r="B206" s="77"/>
      <c r="C206" s="77"/>
      <c r="D206" s="135" t="str">
        <f t="array" ref="D206">IFERROR(IF(C206="","",INDEX(PRODUK!$B:$B,MATCH(C206,PRODUK!$A:$A,0))),"")</f>
        <v/>
      </c>
      <c r="E206" s="117"/>
      <c r="F206" s="119">
        <f t="array" ref="F206">IFERROR(IF(C206="",0,INDEX(PRODUK!$F:$F,MATCH(C206,PRODUK!$A:$A,0))),0)</f>
        <v>0</v>
      </c>
      <c r="G206" s="118">
        <f t="shared" si="1"/>
        <v>0</v>
      </c>
      <c r="H206" s="118">
        <f t="array" ref="H206">IFERROR(IF(B206="",0,INDEX(HPP_ENGINE!$J:$J,MATCH(B206,HPP_ENGINE!$A:$A,0))),0)</f>
        <v>0</v>
      </c>
      <c r="I206" s="118">
        <f t="shared" si="2"/>
        <v>0</v>
      </c>
      <c r="J206" s="118">
        <f t="shared" si="3"/>
        <v>0</v>
      </c>
      <c r="K206" s="136">
        <f t="shared" si="4"/>
        <v>0</v>
      </c>
    </row>
    <row r="207" ht="18.0" customHeight="1">
      <c r="A207" s="132"/>
      <c r="B207" s="72"/>
      <c r="C207" s="72"/>
      <c r="D207" s="137" t="str">
        <f t="array" ref="D207">IFERROR(IF(C207="","",INDEX(PRODUK!$B:$B,MATCH(C207,PRODUK!$A:$A,0))),"")</f>
        <v/>
      </c>
      <c r="E207" s="113"/>
      <c r="F207" s="115">
        <f t="array" ref="F207">IFERROR(IF(C207="",0,INDEX(PRODUK!$F:$F,MATCH(C207,PRODUK!$A:$A,0))),0)</f>
        <v>0</v>
      </c>
      <c r="G207" s="114">
        <f t="shared" si="1"/>
        <v>0</v>
      </c>
      <c r="H207" s="114">
        <f t="array" ref="H207">IFERROR(IF(B207="",0,INDEX(HPP_ENGINE!$J:$J,MATCH(B207,HPP_ENGINE!$A:$A,0))),0)</f>
        <v>0</v>
      </c>
      <c r="I207" s="114">
        <f t="shared" si="2"/>
        <v>0</v>
      </c>
      <c r="J207" s="114">
        <f t="shared" si="3"/>
        <v>0</v>
      </c>
      <c r="K207" s="133">
        <f t="shared" si="4"/>
        <v>0</v>
      </c>
    </row>
    <row r="208" ht="18.0" customHeight="1">
      <c r="A208" s="134"/>
      <c r="B208" s="77"/>
      <c r="C208" s="77"/>
      <c r="D208" s="135" t="str">
        <f t="array" ref="D208">IFERROR(IF(C208="","",INDEX(PRODUK!$B:$B,MATCH(C208,PRODUK!$A:$A,0))),"")</f>
        <v/>
      </c>
      <c r="E208" s="117"/>
      <c r="F208" s="119">
        <f t="array" ref="F208">IFERROR(IF(C208="",0,INDEX(PRODUK!$F:$F,MATCH(C208,PRODUK!$A:$A,0))),0)</f>
        <v>0</v>
      </c>
      <c r="G208" s="118">
        <f t="shared" si="1"/>
        <v>0</v>
      </c>
      <c r="H208" s="118">
        <f t="array" ref="H208">IFERROR(IF(B208="",0,INDEX(HPP_ENGINE!$J:$J,MATCH(B208,HPP_ENGINE!$A:$A,0))),0)</f>
        <v>0</v>
      </c>
      <c r="I208" s="118">
        <f t="shared" si="2"/>
        <v>0</v>
      </c>
      <c r="J208" s="118">
        <f t="shared" si="3"/>
        <v>0</v>
      </c>
      <c r="K208" s="136">
        <f t="shared" si="4"/>
        <v>0</v>
      </c>
    </row>
    <row r="209" ht="18.0" customHeight="1">
      <c r="A209" s="132"/>
      <c r="B209" s="72"/>
      <c r="C209" s="72"/>
      <c r="D209" s="137" t="str">
        <f t="array" ref="D209">IFERROR(IF(C209="","",INDEX(PRODUK!$B:$B,MATCH(C209,PRODUK!$A:$A,0))),"")</f>
        <v/>
      </c>
      <c r="E209" s="113"/>
      <c r="F209" s="115">
        <f t="array" ref="F209">IFERROR(IF(C209="",0,INDEX(PRODUK!$F:$F,MATCH(C209,PRODUK!$A:$A,0))),0)</f>
        <v>0</v>
      </c>
      <c r="G209" s="114">
        <f t="shared" si="1"/>
        <v>0</v>
      </c>
      <c r="H209" s="114">
        <f t="array" ref="H209">IFERROR(IF(B209="",0,INDEX(HPP_ENGINE!$J:$J,MATCH(B209,HPP_ENGINE!$A:$A,0))),0)</f>
        <v>0</v>
      </c>
      <c r="I209" s="114">
        <f t="shared" si="2"/>
        <v>0</v>
      </c>
      <c r="J209" s="114">
        <f t="shared" si="3"/>
        <v>0</v>
      </c>
      <c r="K209" s="133">
        <f t="shared" si="4"/>
        <v>0</v>
      </c>
    </row>
    <row r="210" ht="18.0" customHeight="1">
      <c r="A210" s="134"/>
      <c r="B210" s="77"/>
      <c r="C210" s="77"/>
      <c r="D210" s="135" t="str">
        <f t="array" ref="D210">IFERROR(IF(C210="","",INDEX(PRODUK!$B:$B,MATCH(C210,PRODUK!$A:$A,0))),"")</f>
        <v/>
      </c>
      <c r="E210" s="117"/>
      <c r="F210" s="119">
        <f t="array" ref="F210">IFERROR(IF(C210="",0,INDEX(PRODUK!$F:$F,MATCH(C210,PRODUK!$A:$A,0))),0)</f>
        <v>0</v>
      </c>
      <c r="G210" s="118">
        <f t="shared" si="1"/>
        <v>0</v>
      </c>
      <c r="H210" s="118">
        <f t="array" ref="H210">IFERROR(IF(B210="",0,INDEX(HPP_ENGINE!$J:$J,MATCH(B210,HPP_ENGINE!$A:$A,0))),0)</f>
        <v>0</v>
      </c>
      <c r="I210" s="118">
        <f t="shared" si="2"/>
        <v>0</v>
      </c>
      <c r="J210" s="118">
        <f t="shared" si="3"/>
        <v>0</v>
      </c>
      <c r="K210" s="136">
        <f t="shared" si="4"/>
        <v>0</v>
      </c>
    </row>
    <row r="211" ht="18.0" customHeight="1">
      <c r="A211" s="132"/>
      <c r="B211" s="72"/>
      <c r="C211" s="72"/>
      <c r="D211" s="137" t="str">
        <f t="array" ref="D211">IFERROR(IF(C211="","",INDEX(PRODUK!$B:$B,MATCH(C211,PRODUK!$A:$A,0))),"")</f>
        <v/>
      </c>
      <c r="E211" s="113"/>
      <c r="F211" s="115">
        <f t="array" ref="F211">IFERROR(IF(C211="",0,INDEX(PRODUK!$F:$F,MATCH(C211,PRODUK!$A:$A,0))),0)</f>
        <v>0</v>
      </c>
      <c r="G211" s="114">
        <f t="shared" si="1"/>
        <v>0</v>
      </c>
      <c r="H211" s="114">
        <f t="array" ref="H211">IFERROR(IF(B211="",0,INDEX(HPP_ENGINE!$J:$J,MATCH(B211,HPP_ENGINE!$A:$A,0))),0)</f>
        <v>0</v>
      </c>
      <c r="I211" s="114">
        <f t="shared" si="2"/>
        <v>0</v>
      </c>
      <c r="J211" s="114">
        <f t="shared" si="3"/>
        <v>0</v>
      </c>
      <c r="K211" s="133">
        <f t="shared" si="4"/>
        <v>0</v>
      </c>
    </row>
    <row r="212" ht="18.0" customHeight="1">
      <c r="A212" s="134"/>
      <c r="B212" s="77"/>
      <c r="C212" s="77"/>
      <c r="D212" s="135" t="str">
        <f t="array" ref="D212">IFERROR(IF(C212="","",INDEX(PRODUK!$B:$B,MATCH(C212,PRODUK!$A:$A,0))),"")</f>
        <v/>
      </c>
      <c r="E212" s="117"/>
      <c r="F212" s="119">
        <f t="array" ref="F212">IFERROR(IF(C212="",0,INDEX(PRODUK!$F:$F,MATCH(C212,PRODUK!$A:$A,0))),0)</f>
        <v>0</v>
      </c>
      <c r="G212" s="118">
        <f t="shared" si="1"/>
        <v>0</v>
      </c>
      <c r="H212" s="118">
        <f t="array" ref="H212">IFERROR(IF(B212="",0,INDEX(HPP_ENGINE!$J:$J,MATCH(B212,HPP_ENGINE!$A:$A,0))),0)</f>
        <v>0</v>
      </c>
      <c r="I212" s="118">
        <f t="shared" si="2"/>
        <v>0</v>
      </c>
      <c r="J212" s="118">
        <f t="shared" si="3"/>
        <v>0</v>
      </c>
      <c r="K212" s="136">
        <f t="shared" si="4"/>
        <v>0</v>
      </c>
    </row>
    <row r="213" ht="18.0" customHeight="1">
      <c r="A213" s="132"/>
      <c r="B213" s="72"/>
      <c r="C213" s="72"/>
      <c r="D213" s="137" t="str">
        <f t="array" ref="D213">IFERROR(IF(C213="","",INDEX(PRODUK!$B:$B,MATCH(C213,PRODUK!$A:$A,0))),"")</f>
        <v/>
      </c>
      <c r="E213" s="113"/>
      <c r="F213" s="115">
        <f t="array" ref="F213">IFERROR(IF(C213="",0,INDEX(PRODUK!$F:$F,MATCH(C213,PRODUK!$A:$A,0))),0)</f>
        <v>0</v>
      </c>
      <c r="G213" s="114">
        <f t="shared" si="1"/>
        <v>0</v>
      </c>
      <c r="H213" s="114">
        <f t="array" ref="H213">IFERROR(IF(B213="",0,INDEX(HPP_ENGINE!$J:$J,MATCH(B213,HPP_ENGINE!$A:$A,0))),0)</f>
        <v>0</v>
      </c>
      <c r="I213" s="114">
        <f t="shared" si="2"/>
        <v>0</v>
      </c>
      <c r="J213" s="114">
        <f t="shared" si="3"/>
        <v>0</v>
      </c>
      <c r="K213" s="133">
        <f t="shared" si="4"/>
        <v>0</v>
      </c>
    </row>
    <row r="214" ht="18.0" customHeight="1">
      <c r="A214" s="134"/>
      <c r="B214" s="77"/>
      <c r="C214" s="77"/>
      <c r="D214" s="135" t="str">
        <f t="array" ref="D214">IFERROR(IF(C214="","",INDEX(PRODUK!$B:$B,MATCH(C214,PRODUK!$A:$A,0))),"")</f>
        <v/>
      </c>
      <c r="E214" s="117"/>
      <c r="F214" s="119">
        <f t="array" ref="F214">IFERROR(IF(C214="",0,INDEX(PRODUK!$F:$F,MATCH(C214,PRODUK!$A:$A,0))),0)</f>
        <v>0</v>
      </c>
      <c r="G214" s="118">
        <f t="shared" si="1"/>
        <v>0</v>
      </c>
      <c r="H214" s="118">
        <f t="array" ref="H214">IFERROR(IF(B214="",0,INDEX(HPP_ENGINE!$J:$J,MATCH(B214,HPP_ENGINE!$A:$A,0))),0)</f>
        <v>0</v>
      </c>
      <c r="I214" s="118">
        <f t="shared" si="2"/>
        <v>0</v>
      </c>
      <c r="J214" s="118">
        <f t="shared" si="3"/>
        <v>0</v>
      </c>
      <c r="K214" s="136">
        <f t="shared" si="4"/>
        <v>0</v>
      </c>
    </row>
    <row r="215" ht="18.0" customHeight="1">
      <c r="A215" s="132"/>
      <c r="B215" s="72"/>
      <c r="C215" s="72"/>
      <c r="D215" s="137" t="str">
        <f t="array" ref="D215">IFERROR(IF(C215="","",INDEX(PRODUK!$B:$B,MATCH(C215,PRODUK!$A:$A,0))),"")</f>
        <v/>
      </c>
      <c r="E215" s="113"/>
      <c r="F215" s="115">
        <f t="array" ref="F215">IFERROR(IF(C215="",0,INDEX(PRODUK!$F:$F,MATCH(C215,PRODUK!$A:$A,0))),0)</f>
        <v>0</v>
      </c>
      <c r="G215" s="114">
        <f t="shared" si="1"/>
        <v>0</v>
      </c>
      <c r="H215" s="114">
        <f t="array" ref="H215">IFERROR(IF(B215="",0,INDEX(HPP_ENGINE!$J:$J,MATCH(B215,HPP_ENGINE!$A:$A,0))),0)</f>
        <v>0</v>
      </c>
      <c r="I215" s="114">
        <f t="shared" si="2"/>
        <v>0</v>
      </c>
      <c r="J215" s="114">
        <f t="shared" si="3"/>
        <v>0</v>
      </c>
      <c r="K215" s="133">
        <f t="shared" si="4"/>
        <v>0</v>
      </c>
    </row>
    <row r="216" ht="18.0" customHeight="1">
      <c r="A216" s="134"/>
      <c r="B216" s="77"/>
      <c r="C216" s="77"/>
      <c r="D216" s="135" t="str">
        <f t="array" ref="D216">IFERROR(IF(C216="","",INDEX(PRODUK!$B:$B,MATCH(C216,PRODUK!$A:$A,0))),"")</f>
        <v/>
      </c>
      <c r="E216" s="117"/>
      <c r="F216" s="119">
        <f t="array" ref="F216">IFERROR(IF(C216="",0,INDEX(PRODUK!$F:$F,MATCH(C216,PRODUK!$A:$A,0))),0)</f>
        <v>0</v>
      </c>
      <c r="G216" s="118">
        <f t="shared" si="1"/>
        <v>0</v>
      </c>
      <c r="H216" s="118">
        <f t="array" ref="H216">IFERROR(IF(B216="",0,INDEX(HPP_ENGINE!$J:$J,MATCH(B216,HPP_ENGINE!$A:$A,0))),0)</f>
        <v>0</v>
      </c>
      <c r="I216" s="118">
        <f t="shared" si="2"/>
        <v>0</v>
      </c>
      <c r="J216" s="118">
        <f t="shared" si="3"/>
        <v>0</v>
      </c>
      <c r="K216" s="136">
        <f t="shared" si="4"/>
        <v>0</v>
      </c>
    </row>
    <row r="217" ht="18.0" customHeight="1">
      <c r="A217" s="132"/>
      <c r="B217" s="72"/>
      <c r="C217" s="72"/>
      <c r="D217" s="137" t="str">
        <f t="array" ref="D217">IFERROR(IF(C217="","",INDEX(PRODUK!$B:$B,MATCH(C217,PRODUK!$A:$A,0))),"")</f>
        <v/>
      </c>
      <c r="E217" s="113"/>
      <c r="F217" s="115">
        <f t="array" ref="F217">IFERROR(IF(C217="",0,INDEX(PRODUK!$F:$F,MATCH(C217,PRODUK!$A:$A,0))),0)</f>
        <v>0</v>
      </c>
      <c r="G217" s="114">
        <f t="shared" si="1"/>
        <v>0</v>
      </c>
      <c r="H217" s="114">
        <f t="array" ref="H217">IFERROR(IF(B217="",0,INDEX(HPP_ENGINE!$J:$J,MATCH(B217,HPP_ENGINE!$A:$A,0))),0)</f>
        <v>0</v>
      </c>
      <c r="I217" s="114">
        <f t="shared" si="2"/>
        <v>0</v>
      </c>
      <c r="J217" s="114">
        <f t="shared" si="3"/>
        <v>0</v>
      </c>
      <c r="K217" s="133">
        <f t="shared" si="4"/>
        <v>0</v>
      </c>
    </row>
    <row r="218" ht="18.0" customHeight="1">
      <c r="A218" s="134"/>
      <c r="B218" s="77"/>
      <c r="C218" s="77"/>
      <c r="D218" s="135" t="str">
        <f t="array" ref="D218">IFERROR(IF(C218="","",INDEX(PRODUK!$B:$B,MATCH(C218,PRODUK!$A:$A,0))),"")</f>
        <v/>
      </c>
      <c r="E218" s="117"/>
      <c r="F218" s="119">
        <f t="array" ref="F218">IFERROR(IF(C218="",0,INDEX(PRODUK!$F:$F,MATCH(C218,PRODUK!$A:$A,0))),0)</f>
        <v>0</v>
      </c>
      <c r="G218" s="118">
        <f t="shared" si="1"/>
        <v>0</v>
      </c>
      <c r="H218" s="118">
        <f t="array" ref="H218">IFERROR(IF(B218="",0,INDEX(HPP_ENGINE!$J:$J,MATCH(B218,HPP_ENGINE!$A:$A,0))),0)</f>
        <v>0</v>
      </c>
      <c r="I218" s="118">
        <f t="shared" si="2"/>
        <v>0</v>
      </c>
      <c r="J218" s="118">
        <f t="shared" si="3"/>
        <v>0</v>
      </c>
      <c r="K218" s="136">
        <f t="shared" si="4"/>
        <v>0</v>
      </c>
    </row>
    <row r="219" ht="18.0" customHeight="1">
      <c r="A219" s="132"/>
      <c r="B219" s="72"/>
      <c r="C219" s="72"/>
      <c r="D219" s="137" t="str">
        <f t="array" ref="D219">IFERROR(IF(C219="","",INDEX(PRODUK!$B:$B,MATCH(C219,PRODUK!$A:$A,0))),"")</f>
        <v/>
      </c>
      <c r="E219" s="113"/>
      <c r="F219" s="115">
        <f t="array" ref="F219">IFERROR(IF(C219="",0,INDEX(PRODUK!$F:$F,MATCH(C219,PRODUK!$A:$A,0))),0)</f>
        <v>0</v>
      </c>
      <c r="G219" s="114">
        <f t="shared" si="1"/>
        <v>0</v>
      </c>
      <c r="H219" s="114">
        <f t="array" ref="H219">IFERROR(IF(B219="",0,INDEX(HPP_ENGINE!$J:$J,MATCH(B219,HPP_ENGINE!$A:$A,0))),0)</f>
        <v>0</v>
      </c>
      <c r="I219" s="114">
        <f t="shared" si="2"/>
        <v>0</v>
      </c>
      <c r="J219" s="114">
        <f t="shared" si="3"/>
        <v>0</v>
      </c>
      <c r="K219" s="133">
        <f t="shared" si="4"/>
        <v>0</v>
      </c>
    </row>
    <row r="220" ht="18.0" customHeight="1">
      <c r="A220" s="134"/>
      <c r="B220" s="77"/>
      <c r="C220" s="77"/>
      <c r="D220" s="135" t="str">
        <f t="array" ref="D220">IFERROR(IF(C220="","",INDEX(PRODUK!$B:$B,MATCH(C220,PRODUK!$A:$A,0))),"")</f>
        <v/>
      </c>
      <c r="E220" s="117"/>
      <c r="F220" s="119">
        <f t="array" ref="F220">IFERROR(IF(C220="",0,INDEX(PRODUK!$F:$F,MATCH(C220,PRODUK!$A:$A,0))),0)</f>
        <v>0</v>
      </c>
      <c r="G220" s="118">
        <f t="shared" si="1"/>
        <v>0</v>
      </c>
      <c r="H220" s="118">
        <f t="array" ref="H220">IFERROR(IF(B220="",0,INDEX(HPP_ENGINE!$J:$J,MATCH(B220,HPP_ENGINE!$A:$A,0))),0)</f>
        <v>0</v>
      </c>
      <c r="I220" s="118">
        <f t="shared" si="2"/>
        <v>0</v>
      </c>
      <c r="J220" s="118">
        <f t="shared" si="3"/>
        <v>0</v>
      </c>
      <c r="K220" s="136">
        <f t="shared" si="4"/>
        <v>0</v>
      </c>
    </row>
    <row r="221" ht="18.0" customHeight="1">
      <c r="A221" s="132"/>
      <c r="B221" s="72"/>
      <c r="C221" s="72"/>
      <c r="D221" s="137" t="str">
        <f t="array" ref="D221">IFERROR(IF(C221="","",INDEX(PRODUK!$B:$B,MATCH(C221,PRODUK!$A:$A,0))),"")</f>
        <v/>
      </c>
      <c r="E221" s="113"/>
      <c r="F221" s="115">
        <f t="array" ref="F221">IFERROR(IF(C221="",0,INDEX(PRODUK!$F:$F,MATCH(C221,PRODUK!$A:$A,0))),0)</f>
        <v>0</v>
      </c>
      <c r="G221" s="114">
        <f t="shared" si="1"/>
        <v>0</v>
      </c>
      <c r="H221" s="114">
        <f t="array" ref="H221">IFERROR(IF(B221="",0,INDEX(HPP_ENGINE!$J:$J,MATCH(B221,HPP_ENGINE!$A:$A,0))),0)</f>
        <v>0</v>
      </c>
      <c r="I221" s="114">
        <f t="shared" si="2"/>
        <v>0</v>
      </c>
      <c r="J221" s="114">
        <f t="shared" si="3"/>
        <v>0</v>
      </c>
      <c r="K221" s="133">
        <f t="shared" si="4"/>
        <v>0</v>
      </c>
    </row>
    <row r="222" ht="18.0" customHeight="1">
      <c r="A222" s="134"/>
      <c r="B222" s="77"/>
      <c r="C222" s="77"/>
      <c r="D222" s="135" t="str">
        <f t="array" ref="D222">IFERROR(IF(C222="","",INDEX(PRODUK!$B:$B,MATCH(C222,PRODUK!$A:$A,0))),"")</f>
        <v/>
      </c>
      <c r="E222" s="117"/>
      <c r="F222" s="119">
        <f t="array" ref="F222">IFERROR(IF(C222="",0,INDEX(PRODUK!$F:$F,MATCH(C222,PRODUK!$A:$A,0))),0)</f>
        <v>0</v>
      </c>
      <c r="G222" s="118">
        <f t="shared" si="1"/>
        <v>0</v>
      </c>
      <c r="H222" s="118">
        <f t="array" ref="H222">IFERROR(IF(B222="",0,INDEX(HPP_ENGINE!$J:$J,MATCH(B222,HPP_ENGINE!$A:$A,0))),0)</f>
        <v>0</v>
      </c>
      <c r="I222" s="118">
        <f t="shared" si="2"/>
        <v>0</v>
      </c>
      <c r="J222" s="118">
        <f t="shared" si="3"/>
        <v>0</v>
      </c>
      <c r="K222" s="136">
        <f t="shared" si="4"/>
        <v>0</v>
      </c>
    </row>
    <row r="223" ht="18.0" customHeight="1">
      <c r="A223" s="132"/>
      <c r="B223" s="72"/>
      <c r="C223" s="72"/>
      <c r="D223" s="137" t="str">
        <f t="array" ref="D223">IFERROR(IF(C223="","",INDEX(PRODUK!$B:$B,MATCH(C223,PRODUK!$A:$A,0))),"")</f>
        <v/>
      </c>
      <c r="E223" s="113"/>
      <c r="F223" s="115">
        <f t="array" ref="F223">IFERROR(IF(C223="",0,INDEX(PRODUK!$F:$F,MATCH(C223,PRODUK!$A:$A,0))),0)</f>
        <v>0</v>
      </c>
      <c r="G223" s="114">
        <f t="shared" si="1"/>
        <v>0</v>
      </c>
      <c r="H223" s="114">
        <f t="array" ref="H223">IFERROR(IF(B223="",0,INDEX(HPP_ENGINE!$J:$J,MATCH(B223,HPP_ENGINE!$A:$A,0))),0)</f>
        <v>0</v>
      </c>
      <c r="I223" s="114">
        <f t="shared" si="2"/>
        <v>0</v>
      </c>
      <c r="J223" s="114">
        <f t="shared" si="3"/>
        <v>0</v>
      </c>
      <c r="K223" s="133">
        <f t="shared" si="4"/>
        <v>0</v>
      </c>
    </row>
    <row r="224" ht="18.0" customHeight="1">
      <c r="A224" s="134"/>
      <c r="B224" s="77"/>
      <c r="C224" s="77"/>
      <c r="D224" s="135" t="str">
        <f t="array" ref="D224">IFERROR(IF(C224="","",INDEX(PRODUK!$B:$B,MATCH(C224,PRODUK!$A:$A,0))),"")</f>
        <v/>
      </c>
      <c r="E224" s="117"/>
      <c r="F224" s="119">
        <f t="array" ref="F224">IFERROR(IF(C224="",0,INDEX(PRODUK!$F:$F,MATCH(C224,PRODUK!$A:$A,0))),0)</f>
        <v>0</v>
      </c>
      <c r="G224" s="118">
        <f t="shared" si="1"/>
        <v>0</v>
      </c>
      <c r="H224" s="118">
        <f t="array" ref="H224">IFERROR(IF(B224="",0,INDEX(HPP_ENGINE!$J:$J,MATCH(B224,HPP_ENGINE!$A:$A,0))),0)</f>
        <v>0</v>
      </c>
      <c r="I224" s="118">
        <f t="shared" si="2"/>
        <v>0</v>
      </c>
      <c r="J224" s="118">
        <f t="shared" si="3"/>
        <v>0</v>
      </c>
      <c r="K224" s="136">
        <f t="shared" si="4"/>
        <v>0</v>
      </c>
    </row>
    <row r="225" ht="18.0" customHeight="1">
      <c r="A225" s="132"/>
      <c r="B225" s="72"/>
      <c r="C225" s="72"/>
      <c r="D225" s="137" t="str">
        <f t="array" ref="D225">IFERROR(IF(C225="","",INDEX(PRODUK!$B:$B,MATCH(C225,PRODUK!$A:$A,0))),"")</f>
        <v/>
      </c>
      <c r="E225" s="113"/>
      <c r="F225" s="115">
        <f t="array" ref="F225">IFERROR(IF(C225="",0,INDEX(PRODUK!$F:$F,MATCH(C225,PRODUK!$A:$A,0))),0)</f>
        <v>0</v>
      </c>
      <c r="G225" s="114">
        <f t="shared" si="1"/>
        <v>0</v>
      </c>
      <c r="H225" s="114">
        <f t="array" ref="H225">IFERROR(IF(B225="",0,INDEX(HPP_ENGINE!$J:$J,MATCH(B225,HPP_ENGINE!$A:$A,0))),0)</f>
        <v>0</v>
      </c>
      <c r="I225" s="114">
        <f t="shared" si="2"/>
        <v>0</v>
      </c>
      <c r="J225" s="114">
        <f t="shared" si="3"/>
        <v>0</v>
      </c>
      <c r="K225" s="133">
        <f t="shared" si="4"/>
        <v>0</v>
      </c>
    </row>
    <row r="226" ht="18.0" customHeight="1">
      <c r="A226" s="134"/>
      <c r="B226" s="77"/>
      <c r="C226" s="77"/>
      <c r="D226" s="135" t="str">
        <f t="array" ref="D226">IFERROR(IF(C226="","",INDEX(PRODUK!$B:$B,MATCH(C226,PRODUK!$A:$A,0))),"")</f>
        <v/>
      </c>
      <c r="E226" s="117"/>
      <c r="F226" s="119">
        <f t="array" ref="F226">IFERROR(IF(C226="",0,INDEX(PRODUK!$F:$F,MATCH(C226,PRODUK!$A:$A,0))),0)</f>
        <v>0</v>
      </c>
      <c r="G226" s="118">
        <f t="shared" si="1"/>
        <v>0</v>
      </c>
      <c r="H226" s="118">
        <f t="array" ref="H226">IFERROR(IF(B226="",0,INDEX(HPP_ENGINE!$J:$J,MATCH(B226,HPP_ENGINE!$A:$A,0))),0)</f>
        <v>0</v>
      </c>
      <c r="I226" s="118">
        <f t="shared" si="2"/>
        <v>0</v>
      </c>
      <c r="J226" s="118">
        <f t="shared" si="3"/>
        <v>0</v>
      </c>
      <c r="K226" s="136">
        <f t="shared" si="4"/>
        <v>0</v>
      </c>
    </row>
    <row r="227" ht="18.0" customHeight="1">
      <c r="A227" s="132"/>
      <c r="B227" s="72"/>
      <c r="C227" s="72"/>
      <c r="D227" s="137" t="str">
        <f t="array" ref="D227">IFERROR(IF(C227="","",INDEX(PRODUK!$B:$B,MATCH(C227,PRODUK!$A:$A,0))),"")</f>
        <v/>
      </c>
      <c r="E227" s="113"/>
      <c r="F227" s="115">
        <f t="array" ref="F227">IFERROR(IF(C227="",0,INDEX(PRODUK!$F:$F,MATCH(C227,PRODUK!$A:$A,0))),0)</f>
        <v>0</v>
      </c>
      <c r="G227" s="114">
        <f t="shared" si="1"/>
        <v>0</v>
      </c>
      <c r="H227" s="114">
        <f t="array" ref="H227">IFERROR(IF(B227="",0,INDEX(HPP_ENGINE!$J:$J,MATCH(B227,HPP_ENGINE!$A:$A,0))),0)</f>
        <v>0</v>
      </c>
      <c r="I227" s="114">
        <f t="shared" si="2"/>
        <v>0</v>
      </c>
      <c r="J227" s="114">
        <f t="shared" si="3"/>
        <v>0</v>
      </c>
      <c r="K227" s="133">
        <f t="shared" si="4"/>
        <v>0</v>
      </c>
    </row>
    <row r="228" ht="18.0" customHeight="1">
      <c r="A228" s="134"/>
      <c r="B228" s="77"/>
      <c r="C228" s="77"/>
      <c r="D228" s="135" t="str">
        <f t="array" ref="D228">IFERROR(IF(C228="","",INDEX(PRODUK!$B:$B,MATCH(C228,PRODUK!$A:$A,0))),"")</f>
        <v/>
      </c>
      <c r="E228" s="117"/>
      <c r="F228" s="119">
        <f t="array" ref="F228">IFERROR(IF(C228="",0,INDEX(PRODUK!$F:$F,MATCH(C228,PRODUK!$A:$A,0))),0)</f>
        <v>0</v>
      </c>
      <c r="G228" s="118">
        <f t="shared" si="1"/>
        <v>0</v>
      </c>
      <c r="H228" s="118">
        <f t="array" ref="H228">IFERROR(IF(B228="",0,INDEX(HPP_ENGINE!$J:$J,MATCH(B228,HPP_ENGINE!$A:$A,0))),0)</f>
        <v>0</v>
      </c>
      <c r="I228" s="118">
        <f t="shared" si="2"/>
        <v>0</v>
      </c>
      <c r="J228" s="118">
        <f t="shared" si="3"/>
        <v>0</v>
      </c>
      <c r="K228" s="136">
        <f t="shared" si="4"/>
        <v>0</v>
      </c>
    </row>
    <row r="229" ht="18.0" customHeight="1">
      <c r="A229" s="132"/>
      <c r="B229" s="72"/>
      <c r="C229" s="72"/>
      <c r="D229" s="137" t="str">
        <f t="array" ref="D229">IFERROR(IF(C229="","",INDEX(PRODUK!$B:$B,MATCH(C229,PRODUK!$A:$A,0))),"")</f>
        <v/>
      </c>
      <c r="E229" s="113"/>
      <c r="F229" s="115">
        <f t="array" ref="F229">IFERROR(IF(C229="",0,INDEX(PRODUK!$F:$F,MATCH(C229,PRODUK!$A:$A,0))),0)</f>
        <v>0</v>
      </c>
      <c r="G229" s="114">
        <f t="shared" si="1"/>
        <v>0</v>
      </c>
      <c r="H229" s="114">
        <f t="array" ref="H229">IFERROR(IF(B229="",0,INDEX(HPP_ENGINE!$J:$J,MATCH(B229,HPP_ENGINE!$A:$A,0))),0)</f>
        <v>0</v>
      </c>
      <c r="I229" s="114">
        <f t="shared" si="2"/>
        <v>0</v>
      </c>
      <c r="J229" s="114">
        <f t="shared" si="3"/>
        <v>0</v>
      </c>
      <c r="K229" s="133">
        <f t="shared" si="4"/>
        <v>0</v>
      </c>
    </row>
    <row r="230" ht="18.0" customHeight="1">
      <c r="A230" s="134"/>
      <c r="B230" s="77"/>
      <c r="C230" s="77"/>
      <c r="D230" s="135" t="str">
        <f t="array" ref="D230">IFERROR(IF(C230="","",INDEX(PRODUK!$B:$B,MATCH(C230,PRODUK!$A:$A,0))),"")</f>
        <v/>
      </c>
      <c r="E230" s="117"/>
      <c r="F230" s="119">
        <f t="array" ref="F230">IFERROR(IF(C230="",0,INDEX(PRODUK!$F:$F,MATCH(C230,PRODUK!$A:$A,0))),0)</f>
        <v>0</v>
      </c>
      <c r="G230" s="118">
        <f t="shared" si="1"/>
        <v>0</v>
      </c>
      <c r="H230" s="118">
        <f t="array" ref="H230">IFERROR(IF(B230="",0,INDEX(HPP_ENGINE!$J:$J,MATCH(B230,HPP_ENGINE!$A:$A,0))),0)</f>
        <v>0</v>
      </c>
      <c r="I230" s="118">
        <f t="shared" si="2"/>
        <v>0</v>
      </c>
      <c r="J230" s="118">
        <f t="shared" si="3"/>
        <v>0</v>
      </c>
      <c r="K230" s="136">
        <f t="shared" si="4"/>
        <v>0</v>
      </c>
    </row>
    <row r="231" ht="18.0" customHeight="1">
      <c r="A231" s="132"/>
      <c r="B231" s="72"/>
      <c r="C231" s="72"/>
      <c r="D231" s="137" t="str">
        <f t="array" ref="D231">IFERROR(IF(C231="","",INDEX(PRODUK!$B:$B,MATCH(C231,PRODUK!$A:$A,0))),"")</f>
        <v/>
      </c>
      <c r="E231" s="113"/>
      <c r="F231" s="115">
        <f t="array" ref="F231">IFERROR(IF(C231="",0,INDEX(PRODUK!$F:$F,MATCH(C231,PRODUK!$A:$A,0))),0)</f>
        <v>0</v>
      </c>
      <c r="G231" s="114">
        <f t="shared" si="1"/>
        <v>0</v>
      </c>
      <c r="H231" s="114">
        <f t="array" ref="H231">IFERROR(IF(B231="",0,INDEX(HPP_ENGINE!$J:$J,MATCH(B231,HPP_ENGINE!$A:$A,0))),0)</f>
        <v>0</v>
      </c>
      <c r="I231" s="114">
        <f t="shared" si="2"/>
        <v>0</v>
      </c>
      <c r="J231" s="114">
        <f t="shared" si="3"/>
        <v>0</v>
      </c>
      <c r="K231" s="133">
        <f t="shared" si="4"/>
        <v>0</v>
      </c>
    </row>
    <row r="232" ht="18.0" customHeight="1">
      <c r="A232" s="134"/>
      <c r="B232" s="77"/>
      <c r="C232" s="77"/>
      <c r="D232" s="135" t="str">
        <f t="array" ref="D232">IFERROR(IF(C232="","",INDEX(PRODUK!$B:$B,MATCH(C232,PRODUK!$A:$A,0))),"")</f>
        <v/>
      </c>
      <c r="E232" s="117"/>
      <c r="F232" s="119">
        <f t="array" ref="F232">IFERROR(IF(C232="",0,INDEX(PRODUK!$F:$F,MATCH(C232,PRODUK!$A:$A,0))),0)</f>
        <v>0</v>
      </c>
      <c r="G232" s="118">
        <f t="shared" si="1"/>
        <v>0</v>
      </c>
      <c r="H232" s="118">
        <f t="array" ref="H232">IFERROR(IF(B232="",0,INDEX(HPP_ENGINE!$J:$J,MATCH(B232,HPP_ENGINE!$A:$A,0))),0)</f>
        <v>0</v>
      </c>
      <c r="I232" s="118">
        <f t="shared" si="2"/>
        <v>0</v>
      </c>
      <c r="J232" s="118">
        <f t="shared" si="3"/>
        <v>0</v>
      </c>
      <c r="K232" s="136">
        <f t="shared" si="4"/>
        <v>0</v>
      </c>
    </row>
    <row r="233" ht="18.0" customHeight="1">
      <c r="A233" s="132"/>
      <c r="B233" s="72"/>
      <c r="C233" s="72"/>
      <c r="D233" s="137" t="str">
        <f t="array" ref="D233">IFERROR(IF(C233="","",INDEX(PRODUK!$B:$B,MATCH(C233,PRODUK!$A:$A,0))),"")</f>
        <v/>
      </c>
      <c r="E233" s="113"/>
      <c r="F233" s="115">
        <f t="array" ref="F233">IFERROR(IF(C233="",0,INDEX(PRODUK!$F:$F,MATCH(C233,PRODUK!$A:$A,0))),0)</f>
        <v>0</v>
      </c>
      <c r="G233" s="114">
        <f t="shared" si="1"/>
        <v>0</v>
      </c>
      <c r="H233" s="114">
        <f t="array" ref="H233">IFERROR(IF(B233="",0,INDEX(HPP_ENGINE!$J:$J,MATCH(B233,HPP_ENGINE!$A:$A,0))),0)</f>
        <v>0</v>
      </c>
      <c r="I233" s="114">
        <f t="shared" si="2"/>
        <v>0</v>
      </c>
      <c r="J233" s="114">
        <f t="shared" si="3"/>
        <v>0</v>
      </c>
      <c r="K233" s="133">
        <f t="shared" si="4"/>
        <v>0</v>
      </c>
    </row>
    <row r="234" ht="18.0" customHeight="1">
      <c r="A234" s="134"/>
      <c r="B234" s="77"/>
      <c r="C234" s="77"/>
      <c r="D234" s="135" t="str">
        <f t="array" ref="D234">IFERROR(IF(C234="","",INDEX(PRODUK!$B:$B,MATCH(C234,PRODUK!$A:$A,0))),"")</f>
        <v/>
      </c>
      <c r="E234" s="117"/>
      <c r="F234" s="119">
        <f t="array" ref="F234">IFERROR(IF(C234="",0,INDEX(PRODUK!$F:$F,MATCH(C234,PRODUK!$A:$A,0))),0)</f>
        <v>0</v>
      </c>
      <c r="G234" s="118">
        <f t="shared" si="1"/>
        <v>0</v>
      </c>
      <c r="H234" s="118">
        <f t="array" ref="H234">IFERROR(IF(B234="",0,INDEX(HPP_ENGINE!$J:$J,MATCH(B234,HPP_ENGINE!$A:$A,0))),0)</f>
        <v>0</v>
      </c>
      <c r="I234" s="118">
        <f t="shared" si="2"/>
        <v>0</v>
      </c>
      <c r="J234" s="118">
        <f t="shared" si="3"/>
        <v>0</v>
      </c>
      <c r="K234" s="136">
        <f t="shared" si="4"/>
        <v>0</v>
      </c>
    </row>
    <row r="235" ht="18.0" customHeight="1">
      <c r="A235" s="132"/>
      <c r="B235" s="72"/>
      <c r="C235" s="72"/>
      <c r="D235" s="137" t="str">
        <f t="array" ref="D235">IFERROR(IF(C235="","",INDEX(PRODUK!$B:$B,MATCH(C235,PRODUK!$A:$A,0))),"")</f>
        <v/>
      </c>
      <c r="E235" s="113"/>
      <c r="F235" s="115">
        <f t="array" ref="F235">IFERROR(IF(C235="",0,INDEX(PRODUK!$F:$F,MATCH(C235,PRODUK!$A:$A,0))),0)</f>
        <v>0</v>
      </c>
      <c r="G235" s="114">
        <f t="shared" si="1"/>
        <v>0</v>
      </c>
      <c r="H235" s="114">
        <f t="array" ref="H235">IFERROR(IF(B235="",0,INDEX(HPP_ENGINE!$J:$J,MATCH(B235,HPP_ENGINE!$A:$A,0))),0)</f>
        <v>0</v>
      </c>
      <c r="I235" s="114">
        <f t="shared" si="2"/>
        <v>0</v>
      </c>
      <c r="J235" s="114">
        <f t="shared" si="3"/>
        <v>0</v>
      </c>
      <c r="K235" s="133">
        <f t="shared" si="4"/>
        <v>0</v>
      </c>
    </row>
    <row r="236" ht="18.0" customHeight="1">
      <c r="A236" s="134"/>
      <c r="B236" s="77"/>
      <c r="C236" s="77"/>
      <c r="D236" s="135" t="str">
        <f t="array" ref="D236">IFERROR(IF(C236="","",INDEX(PRODUK!$B:$B,MATCH(C236,PRODUK!$A:$A,0))),"")</f>
        <v/>
      </c>
      <c r="E236" s="117"/>
      <c r="F236" s="119">
        <f t="array" ref="F236">IFERROR(IF(C236="",0,INDEX(PRODUK!$F:$F,MATCH(C236,PRODUK!$A:$A,0))),0)</f>
        <v>0</v>
      </c>
      <c r="G236" s="118">
        <f t="shared" si="1"/>
        <v>0</v>
      </c>
      <c r="H236" s="118">
        <f t="array" ref="H236">IFERROR(IF(B236="",0,INDEX(HPP_ENGINE!$J:$J,MATCH(B236,HPP_ENGINE!$A:$A,0))),0)</f>
        <v>0</v>
      </c>
      <c r="I236" s="118">
        <f t="shared" si="2"/>
        <v>0</v>
      </c>
      <c r="J236" s="118">
        <f t="shared" si="3"/>
        <v>0</v>
      </c>
      <c r="K236" s="136">
        <f t="shared" si="4"/>
        <v>0</v>
      </c>
    </row>
    <row r="237" ht="18.0" customHeight="1">
      <c r="A237" s="132"/>
      <c r="B237" s="72"/>
      <c r="C237" s="72"/>
      <c r="D237" s="137" t="str">
        <f t="array" ref="D237">IFERROR(IF(C237="","",INDEX(PRODUK!$B:$B,MATCH(C237,PRODUK!$A:$A,0))),"")</f>
        <v/>
      </c>
      <c r="E237" s="113"/>
      <c r="F237" s="115">
        <f t="array" ref="F237">IFERROR(IF(C237="",0,INDEX(PRODUK!$F:$F,MATCH(C237,PRODUK!$A:$A,0))),0)</f>
        <v>0</v>
      </c>
      <c r="G237" s="114">
        <f t="shared" si="1"/>
        <v>0</v>
      </c>
      <c r="H237" s="114">
        <f t="array" ref="H237">IFERROR(IF(B237="",0,INDEX(HPP_ENGINE!$J:$J,MATCH(B237,HPP_ENGINE!$A:$A,0))),0)</f>
        <v>0</v>
      </c>
      <c r="I237" s="114">
        <f t="shared" si="2"/>
        <v>0</v>
      </c>
      <c r="J237" s="114">
        <f t="shared" si="3"/>
        <v>0</v>
      </c>
      <c r="K237" s="133">
        <f t="shared" si="4"/>
        <v>0</v>
      </c>
    </row>
    <row r="238" ht="18.0" customHeight="1">
      <c r="A238" s="134"/>
      <c r="B238" s="77"/>
      <c r="C238" s="77"/>
      <c r="D238" s="135" t="str">
        <f t="array" ref="D238">IFERROR(IF(C238="","",INDEX(PRODUK!$B:$B,MATCH(C238,PRODUK!$A:$A,0))),"")</f>
        <v/>
      </c>
      <c r="E238" s="117"/>
      <c r="F238" s="119">
        <f t="array" ref="F238">IFERROR(IF(C238="",0,INDEX(PRODUK!$F:$F,MATCH(C238,PRODUK!$A:$A,0))),0)</f>
        <v>0</v>
      </c>
      <c r="G238" s="118">
        <f t="shared" si="1"/>
        <v>0</v>
      </c>
      <c r="H238" s="118">
        <f t="array" ref="H238">IFERROR(IF(B238="",0,INDEX(HPP_ENGINE!$J:$J,MATCH(B238,HPP_ENGINE!$A:$A,0))),0)</f>
        <v>0</v>
      </c>
      <c r="I238" s="118">
        <f t="shared" si="2"/>
        <v>0</v>
      </c>
      <c r="J238" s="118">
        <f t="shared" si="3"/>
        <v>0</v>
      </c>
      <c r="K238" s="136">
        <f t="shared" si="4"/>
        <v>0</v>
      </c>
    </row>
    <row r="239" ht="18.0" customHeight="1">
      <c r="A239" s="132"/>
      <c r="B239" s="72"/>
      <c r="C239" s="72"/>
      <c r="D239" s="137" t="str">
        <f t="array" ref="D239">IFERROR(IF(C239="","",INDEX(PRODUK!$B:$B,MATCH(C239,PRODUK!$A:$A,0))),"")</f>
        <v/>
      </c>
      <c r="E239" s="113"/>
      <c r="F239" s="115">
        <f t="array" ref="F239">IFERROR(IF(C239="",0,INDEX(PRODUK!$F:$F,MATCH(C239,PRODUK!$A:$A,0))),0)</f>
        <v>0</v>
      </c>
      <c r="G239" s="114">
        <f t="shared" si="1"/>
        <v>0</v>
      </c>
      <c r="H239" s="114">
        <f t="array" ref="H239">IFERROR(IF(B239="",0,INDEX(HPP_ENGINE!$J:$J,MATCH(B239,HPP_ENGINE!$A:$A,0))),0)</f>
        <v>0</v>
      </c>
      <c r="I239" s="114">
        <f t="shared" si="2"/>
        <v>0</v>
      </c>
      <c r="J239" s="114">
        <f t="shared" si="3"/>
        <v>0</v>
      </c>
      <c r="K239" s="133">
        <f t="shared" si="4"/>
        <v>0</v>
      </c>
    </row>
    <row r="240" ht="18.0" customHeight="1">
      <c r="A240" s="134"/>
      <c r="B240" s="77"/>
      <c r="C240" s="77"/>
      <c r="D240" s="135" t="str">
        <f t="array" ref="D240">IFERROR(IF(C240="","",INDEX(PRODUK!$B:$B,MATCH(C240,PRODUK!$A:$A,0))),"")</f>
        <v/>
      </c>
      <c r="E240" s="117"/>
      <c r="F240" s="119">
        <f t="array" ref="F240">IFERROR(IF(C240="",0,INDEX(PRODUK!$F:$F,MATCH(C240,PRODUK!$A:$A,0))),0)</f>
        <v>0</v>
      </c>
      <c r="G240" s="118">
        <f t="shared" si="1"/>
        <v>0</v>
      </c>
      <c r="H240" s="118">
        <f t="array" ref="H240">IFERROR(IF(B240="",0,INDEX(HPP_ENGINE!$J:$J,MATCH(B240,HPP_ENGINE!$A:$A,0))),0)</f>
        <v>0</v>
      </c>
      <c r="I240" s="118">
        <f t="shared" si="2"/>
        <v>0</v>
      </c>
      <c r="J240" s="118">
        <f t="shared" si="3"/>
        <v>0</v>
      </c>
      <c r="K240" s="136">
        <f t="shared" si="4"/>
        <v>0</v>
      </c>
    </row>
    <row r="241" ht="18.0" customHeight="1">
      <c r="A241" s="132"/>
      <c r="B241" s="72"/>
      <c r="C241" s="72"/>
      <c r="D241" s="137" t="str">
        <f t="array" ref="D241">IFERROR(IF(C241="","",INDEX(PRODUK!$B:$B,MATCH(C241,PRODUK!$A:$A,0))),"")</f>
        <v/>
      </c>
      <c r="E241" s="113"/>
      <c r="F241" s="115">
        <f t="array" ref="F241">IFERROR(IF(C241="",0,INDEX(PRODUK!$F:$F,MATCH(C241,PRODUK!$A:$A,0))),0)</f>
        <v>0</v>
      </c>
      <c r="G241" s="114">
        <f t="shared" si="1"/>
        <v>0</v>
      </c>
      <c r="H241" s="114">
        <f t="array" ref="H241">IFERROR(IF(B241="",0,INDEX(HPP_ENGINE!$J:$J,MATCH(B241,HPP_ENGINE!$A:$A,0))),0)</f>
        <v>0</v>
      </c>
      <c r="I241" s="114">
        <f t="shared" si="2"/>
        <v>0</v>
      </c>
      <c r="J241" s="114">
        <f t="shared" si="3"/>
        <v>0</v>
      </c>
      <c r="K241" s="133">
        <f t="shared" si="4"/>
        <v>0</v>
      </c>
    </row>
    <row r="242" ht="18.0" customHeight="1">
      <c r="A242" s="134"/>
      <c r="B242" s="77"/>
      <c r="C242" s="77"/>
      <c r="D242" s="135" t="str">
        <f t="array" ref="D242">IFERROR(IF(C242="","",INDEX(PRODUK!$B:$B,MATCH(C242,PRODUK!$A:$A,0))),"")</f>
        <v/>
      </c>
      <c r="E242" s="117"/>
      <c r="F242" s="119">
        <f t="array" ref="F242">IFERROR(IF(C242="",0,INDEX(PRODUK!$F:$F,MATCH(C242,PRODUK!$A:$A,0))),0)</f>
        <v>0</v>
      </c>
      <c r="G242" s="118">
        <f t="shared" si="1"/>
        <v>0</v>
      </c>
      <c r="H242" s="118">
        <f t="array" ref="H242">IFERROR(IF(B242="",0,INDEX(HPP_ENGINE!$J:$J,MATCH(B242,HPP_ENGINE!$A:$A,0))),0)</f>
        <v>0</v>
      </c>
      <c r="I242" s="118">
        <f t="shared" si="2"/>
        <v>0</v>
      </c>
      <c r="J242" s="118">
        <f t="shared" si="3"/>
        <v>0</v>
      </c>
      <c r="K242" s="136">
        <f t="shared" si="4"/>
        <v>0</v>
      </c>
    </row>
    <row r="243" ht="18.0" customHeight="1">
      <c r="A243" s="132"/>
      <c r="B243" s="72"/>
      <c r="C243" s="72"/>
      <c r="D243" s="137" t="str">
        <f t="array" ref="D243">IFERROR(IF(C243="","",INDEX(PRODUK!$B:$B,MATCH(C243,PRODUK!$A:$A,0))),"")</f>
        <v/>
      </c>
      <c r="E243" s="113"/>
      <c r="F243" s="115">
        <f t="array" ref="F243">IFERROR(IF(C243="",0,INDEX(PRODUK!$F:$F,MATCH(C243,PRODUK!$A:$A,0))),0)</f>
        <v>0</v>
      </c>
      <c r="G243" s="114">
        <f t="shared" si="1"/>
        <v>0</v>
      </c>
      <c r="H243" s="114">
        <f t="array" ref="H243">IFERROR(IF(B243="",0,INDEX(HPP_ENGINE!$J:$J,MATCH(B243,HPP_ENGINE!$A:$A,0))),0)</f>
        <v>0</v>
      </c>
      <c r="I243" s="114">
        <f t="shared" si="2"/>
        <v>0</v>
      </c>
      <c r="J243" s="114">
        <f t="shared" si="3"/>
        <v>0</v>
      </c>
      <c r="K243" s="133">
        <f t="shared" si="4"/>
        <v>0</v>
      </c>
    </row>
    <row r="244" ht="18.0" customHeight="1">
      <c r="A244" s="134"/>
      <c r="B244" s="77"/>
      <c r="C244" s="77"/>
      <c r="D244" s="135" t="str">
        <f t="array" ref="D244">IFERROR(IF(C244="","",INDEX(PRODUK!$B:$B,MATCH(C244,PRODUK!$A:$A,0))),"")</f>
        <v/>
      </c>
      <c r="E244" s="117"/>
      <c r="F244" s="119">
        <f t="array" ref="F244">IFERROR(IF(C244="",0,INDEX(PRODUK!$F:$F,MATCH(C244,PRODUK!$A:$A,0))),0)</f>
        <v>0</v>
      </c>
      <c r="G244" s="118">
        <f t="shared" si="1"/>
        <v>0</v>
      </c>
      <c r="H244" s="118">
        <f t="array" ref="H244">IFERROR(IF(B244="",0,INDEX(HPP_ENGINE!$J:$J,MATCH(B244,HPP_ENGINE!$A:$A,0))),0)</f>
        <v>0</v>
      </c>
      <c r="I244" s="118">
        <f t="shared" si="2"/>
        <v>0</v>
      </c>
      <c r="J244" s="118">
        <f t="shared" si="3"/>
        <v>0</v>
      </c>
      <c r="K244" s="136">
        <f t="shared" si="4"/>
        <v>0</v>
      </c>
    </row>
    <row r="245" ht="18.0" customHeight="1">
      <c r="A245" s="132"/>
      <c r="B245" s="72"/>
      <c r="C245" s="72"/>
      <c r="D245" s="137" t="str">
        <f t="array" ref="D245">IFERROR(IF(C245="","",INDEX(PRODUK!$B:$B,MATCH(C245,PRODUK!$A:$A,0))),"")</f>
        <v/>
      </c>
      <c r="E245" s="113"/>
      <c r="F245" s="115">
        <f t="array" ref="F245">IFERROR(IF(C245="",0,INDEX(PRODUK!$F:$F,MATCH(C245,PRODUK!$A:$A,0))),0)</f>
        <v>0</v>
      </c>
      <c r="G245" s="114">
        <f t="shared" si="1"/>
        <v>0</v>
      </c>
      <c r="H245" s="114">
        <f t="array" ref="H245">IFERROR(IF(B245="",0,INDEX(HPP_ENGINE!$J:$J,MATCH(B245,HPP_ENGINE!$A:$A,0))),0)</f>
        <v>0</v>
      </c>
      <c r="I245" s="114">
        <f t="shared" si="2"/>
        <v>0</v>
      </c>
      <c r="J245" s="114">
        <f t="shared" si="3"/>
        <v>0</v>
      </c>
      <c r="K245" s="133">
        <f t="shared" si="4"/>
        <v>0</v>
      </c>
    </row>
    <row r="246" ht="18.0" customHeight="1">
      <c r="A246" s="134"/>
      <c r="B246" s="77"/>
      <c r="C246" s="77"/>
      <c r="D246" s="135" t="str">
        <f t="array" ref="D246">IFERROR(IF(C246="","",INDEX(PRODUK!$B:$B,MATCH(C246,PRODUK!$A:$A,0))),"")</f>
        <v/>
      </c>
      <c r="E246" s="117"/>
      <c r="F246" s="119">
        <f t="array" ref="F246">IFERROR(IF(C246="",0,INDEX(PRODUK!$F:$F,MATCH(C246,PRODUK!$A:$A,0))),0)</f>
        <v>0</v>
      </c>
      <c r="G246" s="118">
        <f t="shared" si="1"/>
        <v>0</v>
      </c>
      <c r="H246" s="118">
        <f t="array" ref="H246">IFERROR(IF(B246="",0,INDEX(HPP_ENGINE!$J:$J,MATCH(B246,HPP_ENGINE!$A:$A,0))),0)</f>
        <v>0</v>
      </c>
      <c r="I246" s="118">
        <f t="shared" si="2"/>
        <v>0</v>
      </c>
      <c r="J246" s="118">
        <f t="shared" si="3"/>
        <v>0</v>
      </c>
      <c r="K246" s="136">
        <f t="shared" si="4"/>
        <v>0</v>
      </c>
    </row>
    <row r="247" ht="18.0" customHeight="1">
      <c r="A247" s="132"/>
      <c r="B247" s="72"/>
      <c r="C247" s="72"/>
      <c r="D247" s="137" t="str">
        <f t="array" ref="D247">IFERROR(IF(C247="","",INDEX(PRODUK!$B:$B,MATCH(C247,PRODUK!$A:$A,0))),"")</f>
        <v/>
      </c>
      <c r="E247" s="113"/>
      <c r="F247" s="115">
        <f t="array" ref="F247">IFERROR(IF(C247="",0,INDEX(PRODUK!$F:$F,MATCH(C247,PRODUK!$A:$A,0))),0)</f>
        <v>0</v>
      </c>
      <c r="G247" s="114">
        <f t="shared" si="1"/>
        <v>0</v>
      </c>
      <c r="H247" s="114">
        <f t="array" ref="H247">IFERROR(IF(B247="",0,INDEX(HPP_ENGINE!$J:$J,MATCH(B247,HPP_ENGINE!$A:$A,0))),0)</f>
        <v>0</v>
      </c>
      <c r="I247" s="114">
        <f t="shared" si="2"/>
        <v>0</v>
      </c>
      <c r="J247" s="114">
        <f t="shared" si="3"/>
        <v>0</v>
      </c>
      <c r="K247" s="133">
        <f t="shared" si="4"/>
        <v>0</v>
      </c>
    </row>
    <row r="248" ht="18.0" customHeight="1">
      <c r="A248" s="134"/>
      <c r="B248" s="77"/>
      <c r="C248" s="77"/>
      <c r="D248" s="135" t="str">
        <f t="array" ref="D248">IFERROR(IF(C248="","",INDEX(PRODUK!$B:$B,MATCH(C248,PRODUK!$A:$A,0))),"")</f>
        <v/>
      </c>
      <c r="E248" s="117"/>
      <c r="F248" s="119">
        <f t="array" ref="F248">IFERROR(IF(C248="",0,INDEX(PRODUK!$F:$F,MATCH(C248,PRODUK!$A:$A,0))),0)</f>
        <v>0</v>
      </c>
      <c r="G248" s="118">
        <f t="shared" si="1"/>
        <v>0</v>
      </c>
      <c r="H248" s="118">
        <f t="array" ref="H248">IFERROR(IF(B248="",0,INDEX(HPP_ENGINE!$J:$J,MATCH(B248,HPP_ENGINE!$A:$A,0))),0)</f>
        <v>0</v>
      </c>
      <c r="I248" s="118">
        <f t="shared" si="2"/>
        <v>0</v>
      </c>
      <c r="J248" s="118">
        <f t="shared" si="3"/>
        <v>0</v>
      </c>
      <c r="K248" s="136">
        <f t="shared" si="4"/>
        <v>0</v>
      </c>
    </row>
    <row r="249" ht="18.0" customHeight="1">
      <c r="A249" s="132"/>
      <c r="B249" s="72"/>
      <c r="C249" s="72"/>
      <c r="D249" s="137" t="str">
        <f t="array" ref="D249">IFERROR(IF(C249="","",INDEX(PRODUK!$B:$B,MATCH(C249,PRODUK!$A:$A,0))),"")</f>
        <v/>
      </c>
      <c r="E249" s="113"/>
      <c r="F249" s="115">
        <f t="array" ref="F249">IFERROR(IF(C249="",0,INDEX(PRODUK!$F:$F,MATCH(C249,PRODUK!$A:$A,0))),0)</f>
        <v>0</v>
      </c>
      <c r="G249" s="114">
        <f t="shared" si="1"/>
        <v>0</v>
      </c>
      <c r="H249" s="114">
        <f t="array" ref="H249">IFERROR(IF(B249="",0,INDEX(HPP_ENGINE!$J:$J,MATCH(B249,HPP_ENGINE!$A:$A,0))),0)</f>
        <v>0</v>
      </c>
      <c r="I249" s="114">
        <f t="shared" si="2"/>
        <v>0</v>
      </c>
      <c r="J249" s="114">
        <f t="shared" si="3"/>
        <v>0</v>
      </c>
      <c r="K249" s="133">
        <f t="shared" si="4"/>
        <v>0</v>
      </c>
    </row>
    <row r="250" ht="18.0" customHeight="1">
      <c r="A250" s="134"/>
      <c r="B250" s="77"/>
      <c r="C250" s="77"/>
      <c r="D250" s="135" t="str">
        <f t="array" ref="D250">IFERROR(IF(C250="","",INDEX(PRODUK!$B:$B,MATCH(C250,PRODUK!$A:$A,0))),"")</f>
        <v/>
      </c>
      <c r="E250" s="117"/>
      <c r="F250" s="119">
        <f t="array" ref="F250">IFERROR(IF(C250="",0,INDEX(PRODUK!$F:$F,MATCH(C250,PRODUK!$A:$A,0))),0)</f>
        <v>0</v>
      </c>
      <c r="G250" s="118">
        <f t="shared" si="1"/>
        <v>0</v>
      </c>
      <c r="H250" s="118">
        <f t="array" ref="H250">IFERROR(IF(B250="",0,INDEX(HPP_ENGINE!$J:$J,MATCH(B250,HPP_ENGINE!$A:$A,0))),0)</f>
        <v>0</v>
      </c>
      <c r="I250" s="118">
        <f t="shared" si="2"/>
        <v>0</v>
      </c>
      <c r="J250" s="118">
        <f t="shared" si="3"/>
        <v>0</v>
      </c>
      <c r="K250" s="136">
        <f t="shared" si="4"/>
        <v>0</v>
      </c>
    </row>
    <row r="251" ht="18.0" customHeight="1">
      <c r="A251" s="132"/>
      <c r="B251" s="72"/>
      <c r="C251" s="72"/>
      <c r="D251" s="137" t="str">
        <f t="array" ref="D251">IFERROR(IF(C251="","",INDEX(PRODUK!$B:$B,MATCH(C251,PRODUK!$A:$A,0))),"")</f>
        <v/>
      </c>
      <c r="E251" s="113"/>
      <c r="F251" s="115">
        <f t="array" ref="F251">IFERROR(IF(C251="",0,INDEX(PRODUK!$F:$F,MATCH(C251,PRODUK!$A:$A,0))),0)</f>
        <v>0</v>
      </c>
      <c r="G251" s="114">
        <f t="shared" si="1"/>
        <v>0</v>
      </c>
      <c r="H251" s="114">
        <f t="array" ref="H251">IFERROR(IF(B251="",0,INDEX(HPP_ENGINE!$J:$J,MATCH(B251,HPP_ENGINE!$A:$A,0))),0)</f>
        <v>0</v>
      </c>
      <c r="I251" s="114">
        <f t="shared" si="2"/>
        <v>0</v>
      </c>
      <c r="J251" s="114">
        <f t="shared" si="3"/>
        <v>0</v>
      </c>
      <c r="K251" s="133">
        <f t="shared" si="4"/>
        <v>0</v>
      </c>
    </row>
    <row r="252" ht="18.0" customHeight="1">
      <c r="A252" s="134"/>
      <c r="B252" s="77"/>
      <c r="C252" s="77"/>
      <c r="D252" s="135" t="str">
        <f t="array" ref="D252">IFERROR(IF(C252="","",INDEX(PRODUK!$B:$B,MATCH(C252,PRODUK!$A:$A,0))),"")</f>
        <v/>
      </c>
      <c r="E252" s="117"/>
      <c r="F252" s="119">
        <f t="array" ref="F252">IFERROR(IF(C252="",0,INDEX(PRODUK!$F:$F,MATCH(C252,PRODUK!$A:$A,0))),0)</f>
        <v>0</v>
      </c>
      <c r="G252" s="118">
        <f t="shared" si="1"/>
        <v>0</v>
      </c>
      <c r="H252" s="118">
        <f t="array" ref="H252">IFERROR(IF(B252="",0,INDEX(HPP_ENGINE!$J:$J,MATCH(B252,HPP_ENGINE!$A:$A,0))),0)</f>
        <v>0</v>
      </c>
      <c r="I252" s="118">
        <f t="shared" si="2"/>
        <v>0</v>
      </c>
      <c r="J252" s="118">
        <f t="shared" si="3"/>
        <v>0</v>
      </c>
      <c r="K252" s="136">
        <f t="shared" si="4"/>
        <v>0</v>
      </c>
    </row>
    <row r="253" ht="18.0" customHeight="1">
      <c r="A253" s="132"/>
      <c r="B253" s="72"/>
      <c r="C253" s="72"/>
      <c r="D253" s="137" t="str">
        <f t="array" ref="D253">IFERROR(IF(C253="","",INDEX(PRODUK!$B:$B,MATCH(C253,PRODUK!$A:$A,0))),"")</f>
        <v/>
      </c>
      <c r="E253" s="113"/>
      <c r="F253" s="115">
        <f t="array" ref="F253">IFERROR(IF(C253="",0,INDEX(PRODUK!$F:$F,MATCH(C253,PRODUK!$A:$A,0))),0)</f>
        <v>0</v>
      </c>
      <c r="G253" s="114">
        <f t="shared" si="1"/>
        <v>0</v>
      </c>
      <c r="H253" s="114">
        <f t="array" ref="H253">IFERROR(IF(B253="",0,INDEX(HPP_ENGINE!$J:$J,MATCH(B253,HPP_ENGINE!$A:$A,0))),0)</f>
        <v>0</v>
      </c>
      <c r="I253" s="114">
        <f t="shared" si="2"/>
        <v>0</v>
      </c>
      <c r="J253" s="114">
        <f t="shared" si="3"/>
        <v>0</v>
      </c>
      <c r="K253" s="133">
        <f t="shared" si="4"/>
        <v>0</v>
      </c>
    </row>
    <row r="254" ht="18.0" customHeight="1">
      <c r="A254" s="134"/>
      <c r="B254" s="77"/>
      <c r="C254" s="77"/>
      <c r="D254" s="135" t="str">
        <f t="array" ref="D254">IFERROR(IF(C254="","",INDEX(PRODUK!$B:$B,MATCH(C254,PRODUK!$A:$A,0))),"")</f>
        <v/>
      </c>
      <c r="E254" s="117"/>
      <c r="F254" s="119">
        <f t="array" ref="F254">IFERROR(IF(C254="",0,INDEX(PRODUK!$F:$F,MATCH(C254,PRODUK!$A:$A,0))),0)</f>
        <v>0</v>
      </c>
      <c r="G254" s="118">
        <f t="shared" si="1"/>
        <v>0</v>
      </c>
      <c r="H254" s="118">
        <f t="array" ref="H254">IFERROR(IF(B254="",0,INDEX(HPP_ENGINE!$J:$J,MATCH(B254,HPP_ENGINE!$A:$A,0))),0)</f>
        <v>0</v>
      </c>
      <c r="I254" s="118">
        <f t="shared" si="2"/>
        <v>0</v>
      </c>
      <c r="J254" s="118">
        <f t="shared" si="3"/>
        <v>0</v>
      </c>
      <c r="K254" s="136">
        <f t="shared" si="4"/>
        <v>0</v>
      </c>
    </row>
    <row r="255" ht="18.0" customHeight="1">
      <c r="A255" s="132"/>
      <c r="B255" s="72"/>
      <c r="C255" s="72"/>
      <c r="D255" s="137" t="str">
        <f t="array" ref="D255">IFERROR(IF(C255="","",INDEX(PRODUK!$B:$B,MATCH(C255,PRODUK!$A:$A,0))),"")</f>
        <v/>
      </c>
      <c r="E255" s="113"/>
      <c r="F255" s="115">
        <f t="array" ref="F255">IFERROR(IF(C255="",0,INDEX(PRODUK!$F:$F,MATCH(C255,PRODUK!$A:$A,0))),0)</f>
        <v>0</v>
      </c>
      <c r="G255" s="114">
        <f t="shared" si="1"/>
        <v>0</v>
      </c>
      <c r="H255" s="114">
        <f t="array" ref="H255">IFERROR(IF(B255="",0,INDEX(HPP_ENGINE!$J:$J,MATCH(B255,HPP_ENGINE!$A:$A,0))),0)</f>
        <v>0</v>
      </c>
      <c r="I255" s="114">
        <f t="shared" si="2"/>
        <v>0</v>
      </c>
      <c r="J255" s="114">
        <f t="shared" si="3"/>
        <v>0</v>
      </c>
      <c r="K255" s="133">
        <f t="shared" si="4"/>
        <v>0</v>
      </c>
    </row>
    <row r="256" ht="18.0" customHeight="1">
      <c r="A256" s="134"/>
      <c r="B256" s="77"/>
      <c r="C256" s="77"/>
      <c r="D256" s="135" t="str">
        <f t="array" ref="D256">IFERROR(IF(C256="","",INDEX(PRODUK!$B:$B,MATCH(C256,PRODUK!$A:$A,0))),"")</f>
        <v/>
      </c>
      <c r="E256" s="117"/>
      <c r="F256" s="119">
        <f t="array" ref="F256">IFERROR(IF(C256="",0,INDEX(PRODUK!$F:$F,MATCH(C256,PRODUK!$A:$A,0))),0)</f>
        <v>0</v>
      </c>
      <c r="G256" s="118">
        <f t="shared" si="1"/>
        <v>0</v>
      </c>
      <c r="H256" s="118">
        <f t="array" ref="H256">IFERROR(IF(B256="",0,INDEX(HPP_ENGINE!$J:$J,MATCH(B256,HPP_ENGINE!$A:$A,0))),0)</f>
        <v>0</v>
      </c>
      <c r="I256" s="118">
        <f t="shared" si="2"/>
        <v>0</v>
      </c>
      <c r="J256" s="118">
        <f t="shared" si="3"/>
        <v>0</v>
      </c>
      <c r="K256" s="136">
        <f t="shared" si="4"/>
        <v>0</v>
      </c>
    </row>
    <row r="257" ht="18.0" customHeight="1">
      <c r="A257" s="132"/>
      <c r="B257" s="72"/>
      <c r="C257" s="72"/>
      <c r="D257" s="137" t="str">
        <f t="array" ref="D257">IFERROR(IF(C257="","",INDEX(PRODUK!$B:$B,MATCH(C257,PRODUK!$A:$A,0))),"")</f>
        <v/>
      </c>
      <c r="E257" s="113"/>
      <c r="F257" s="115">
        <f t="array" ref="F257">IFERROR(IF(C257="",0,INDEX(PRODUK!$F:$F,MATCH(C257,PRODUK!$A:$A,0))),0)</f>
        <v>0</v>
      </c>
      <c r="G257" s="114">
        <f t="shared" si="1"/>
        <v>0</v>
      </c>
      <c r="H257" s="114">
        <f t="array" ref="H257">IFERROR(IF(B257="",0,INDEX(HPP_ENGINE!$J:$J,MATCH(B257,HPP_ENGINE!$A:$A,0))),0)</f>
        <v>0</v>
      </c>
      <c r="I257" s="114">
        <f t="shared" si="2"/>
        <v>0</v>
      </c>
      <c r="J257" s="114">
        <f t="shared" si="3"/>
        <v>0</v>
      </c>
      <c r="K257" s="133">
        <f t="shared" si="4"/>
        <v>0</v>
      </c>
    </row>
    <row r="258" ht="18.0" customHeight="1">
      <c r="A258" s="134"/>
      <c r="B258" s="77"/>
      <c r="C258" s="77"/>
      <c r="D258" s="135" t="str">
        <f t="array" ref="D258">IFERROR(IF(C258="","",INDEX(PRODUK!$B:$B,MATCH(C258,PRODUK!$A:$A,0))),"")</f>
        <v/>
      </c>
      <c r="E258" s="117"/>
      <c r="F258" s="119">
        <f t="array" ref="F258">IFERROR(IF(C258="",0,INDEX(PRODUK!$F:$F,MATCH(C258,PRODUK!$A:$A,0))),0)</f>
        <v>0</v>
      </c>
      <c r="G258" s="118">
        <f t="shared" si="1"/>
        <v>0</v>
      </c>
      <c r="H258" s="118">
        <f t="array" ref="H258">IFERROR(IF(B258="",0,INDEX(HPP_ENGINE!$J:$J,MATCH(B258,HPP_ENGINE!$A:$A,0))),0)</f>
        <v>0</v>
      </c>
      <c r="I258" s="118">
        <f t="shared" si="2"/>
        <v>0</v>
      </c>
      <c r="J258" s="118">
        <f t="shared" si="3"/>
        <v>0</v>
      </c>
      <c r="K258" s="136">
        <f t="shared" si="4"/>
        <v>0</v>
      </c>
    </row>
    <row r="259" ht="18.0" customHeight="1">
      <c r="A259" s="132"/>
      <c r="B259" s="72"/>
      <c r="C259" s="72"/>
      <c r="D259" s="137" t="str">
        <f t="array" ref="D259">IFERROR(IF(C259="","",INDEX(PRODUK!$B:$B,MATCH(C259,PRODUK!$A:$A,0))),"")</f>
        <v/>
      </c>
      <c r="E259" s="113"/>
      <c r="F259" s="115">
        <f t="array" ref="F259">IFERROR(IF(C259="",0,INDEX(PRODUK!$F:$F,MATCH(C259,PRODUK!$A:$A,0))),0)</f>
        <v>0</v>
      </c>
      <c r="G259" s="114">
        <f t="shared" si="1"/>
        <v>0</v>
      </c>
      <c r="H259" s="114">
        <f t="array" ref="H259">IFERROR(IF(B259="",0,INDEX(HPP_ENGINE!$J:$J,MATCH(B259,HPP_ENGINE!$A:$A,0))),0)</f>
        <v>0</v>
      </c>
      <c r="I259" s="114">
        <f t="shared" si="2"/>
        <v>0</v>
      </c>
      <c r="J259" s="114">
        <f t="shared" si="3"/>
        <v>0</v>
      </c>
      <c r="K259" s="133">
        <f t="shared" si="4"/>
        <v>0</v>
      </c>
    </row>
    <row r="260" ht="18.0" customHeight="1">
      <c r="A260" s="134"/>
      <c r="B260" s="77"/>
      <c r="C260" s="77"/>
      <c r="D260" s="135" t="str">
        <f t="array" ref="D260">IFERROR(IF(C260="","",INDEX(PRODUK!$B:$B,MATCH(C260,PRODUK!$A:$A,0))),"")</f>
        <v/>
      </c>
      <c r="E260" s="117"/>
      <c r="F260" s="119">
        <f t="array" ref="F260">IFERROR(IF(C260="",0,INDEX(PRODUK!$F:$F,MATCH(C260,PRODUK!$A:$A,0))),0)</f>
        <v>0</v>
      </c>
      <c r="G260" s="118">
        <f t="shared" si="1"/>
        <v>0</v>
      </c>
      <c r="H260" s="118">
        <f t="array" ref="H260">IFERROR(IF(B260="",0,INDEX(HPP_ENGINE!$J:$J,MATCH(B260,HPP_ENGINE!$A:$A,0))),0)</f>
        <v>0</v>
      </c>
      <c r="I260" s="118">
        <f t="shared" si="2"/>
        <v>0</v>
      </c>
      <c r="J260" s="118">
        <f t="shared" si="3"/>
        <v>0</v>
      </c>
      <c r="K260" s="136">
        <f t="shared" si="4"/>
        <v>0</v>
      </c>
    </row>
    <row r="261" ht="18.0" customHeight="1">
      <c r="A261" s="132"/>
      <c r="B261" s="72"/>
      <c r="C261" s="72"/>
      <c r="D261" s="137" t="str">
        <f t="array" ref="D261">IFERROR(IF(C261="","",INDEX(PRODUK!$B:$B,MATCH(C261,PRODUK!$A:$A,0))),"")</f>
        <v/>
      </c>
      <c r="E261" s="113"/>
      <c r="F261" s="115">
        <f t="array" ref="F261">IFERROR(IF(C261="",0,INDEX(PRODUK!$F:$F,MATCH(C261,PRODUK!$A:$A,0))),0)</f>
        <v>0</v>
      </c>
      <c r="G261" s="114">
        <f t="shared" si="1"/>
        <v>0</v>
      </c>
      <c r="H261" s="114">
        <f t="array" ref="H261">IFERROR(IF(B261="",0,INDEX(HPP_ENGINE!$J:$J,MATCH(B261,HPP_ENGINE!$A:$A,0))),0)</f>
        <v>0</v>
      </c>
      <c r="I261" s="114">
        <f t="shared" si="2"/>
        <v>0</v>
      </c>
      <c r="J261" s="114">
        <f t="shared" si="3"/>
        <v>0</v>
      </c>
      <c r="K261" s="133">
        <f t="shared" si="4"/>
        <v>0</v>
      </c>
    </row>
    <row r="262" ht="18.0" customHeight="1">
      <c r="A262" s="134"/>
      <c r="B262" s="77"/>
      <c r="C262" s="77"/>
      <c r="D262" s="135" t="str">
        <f t="array" ref="D262">IFERROR(IF(C262="","",INDEX(PRODUK!$B:$B,MATCH(C262,PRODUK!$A:$A,0))),"")</f>
        <v/>
      </c>
      <c r="E262" s="117"/>
      <c r="F262" s="119">
        <f t="array" ref="F262">IFERROR(IF(C262="",0,INDEX(PRODUK!$F:$F,MATCH(C262,PRODUK!$A:$A,0))),0)</f>
        <v>0</v>
      </c>
      <c r="G262" s="118">
        <f t="shared" si="1"/>
        <v>0</v>
      </c>
      <c r="H262" s="118">
        <f t="array" ref="H262">IFERROR(IF(B262="",0,INDEX(HPP_ENGINE!$J:$J,MATCH(B262,HPP_ENGINE!$A:$A,0))),0)</f>
        <v>0</v>
      </c>
      <c r="I262" s="118">
        <f t="shared" si="2"/>
        <v>0</v>
      </c>
      <c r="J262" s="118">
        <f t="shared" si="3"/>
        <v>0</v>
      </c>
      <c r="K262" s="136">
        <f t="shared" si="4"/>
        <v>0</v>
      </c>
    </row>
    <row r="263" ht="18.0" customHeight="1">
      <c r="A263" s="132"/>
      <c r="B263" s="72"/>
      <c r="C263" s="72"/>
      <c r="D263" s="137" t="str">
        <f t="array" ref="D263">IFERROR(IF(C263="","",INDEX(PRODUK!$B:$B,MATCH(C263,PRODUK!$A:$A,0))),"")</f>
        <v/>
      </c>
      <c r="E263" s="113"/>
      <c r="F263" s="115">
        <f t="array" ref="F263">IFERROR(IF(C263="",0,INDEX(PRODUK!$F:$F,MATCH(C263,PRODUK!$A:$A,0))),0)</f>
        <v>0</v>
      </c>
      <c r="G263" s="114">
        <f t="shared" si="1"/>
        <v>0</v>
      </c>
      <c r="H263" s="114">
        <f t="array" ref="H263">IFERROR(IF(B263="",0,INDEX(HPP_ENGINE!$J:$J,MATCH(B263,HPP_ENGINE!$A:$A,0))),0)</f>
        <v>0</v>
      </c>
      <c r="I263" s="114">
        <f t="shared" si="2"/>
        <v>0</v>
      </c>
      <c r="J263" s="114">
        <f t="shared" si="3"/>
        <v>0</v>
      </c>
      <c r="K263" s="133">
        <f t="shared" si="4"/>
        <v>0</v>
      </c>
    </row>
    <row r="264" ht="18.0" customHeight="1">
      <c r="A264" s="134"/>
      <c r="B264" s="77"/>
      <c r="C264" s="77"/>
      <c r="D264" s="135" t="str">
        <f t="array" ref="D264">IFERROR(IF(C264="","",INDEX(PRODUK!$B:$B,MATCH(C264,PRODUK!$A:$A,0))),"")</f>
        <v/>
      </c>
      <c r="E264" s="117"/>
      <c r="F264" s="119">
        <f t="array" ref="F264">IFERROR(IF(C264="",0,INDEX(PRODUK!$F:$F,MATCH(C264,PRODUK!$A:$A,0))),0)</f>
        <v>0</v>
      </c>
      <c r="G264" s="118">
        <f t="shared" si="1"/>
        <v>0</v>
      </c>
      <c r="H264" s="118">
        <f t="array" ref="H264">IFERROR(IF(B264="",0,INDEX(HPP_ENGINE!$J:$J,MATCH(B264,HPP_ENGINE!$A:$A,0))),0)</f>
        <v>0</v>
      </c>
      <c r="I264" s="118">
        <f t="shared" si="2"/>
        <v>0</v>
      </c>
      <c r="J264" s="118">
        <f t="shared" si="3"/>
        <v>0</v>
      </c>
      <c r="K264" s="136">
        <f t="shared" si="4"/>
        <v>0</v>
      </c>
    </row>
    <row r="265" ht="18.0" customHeight="1">
      <c r="A265" s="132"/>
      <c r="B265" s="72"/>
      <c r="C265" s="72"/>
      <c r="D265" s="137" t="str">
        <f t="array" ref="D265">IFERROR(IF(C265="","",INDEX(PRODUK!$B:$B,MATCH(C265,PRODUK!$A:$A,0))),"")</f>
        <v/>
      </c>
      <c r="E265" s="113"/>
      <c r="F265" s="115">
        <f t="array" ref="F265">IFERROR(IF(C265="",0,INDEX(PRODUK!$F:$F,MATCH(C265,PRODUK!$A:$A,0))),0)</f>
        <v>0</v>
      </c>
      <c r="G265" s="114">
        <f t="shared" si="1"/>
        <v>0</v>
      </c>
      <c r="H265" s="114">
        <f t="array" ref="H265">IFERROR(IF(B265="",0,INDEX(HPP_ENGINE!$J:$J,MATCH(B265,HPP_ENGINE!$A:$A,0))),0)</f>
        <v>0</v>
      </c>
      <c r="I265" s="114">
        <f t="shared" si="2"/>
        <v>0</v>
      </c>
      <c r="J265" s="114">
        <f t="shared" si="3"/>
        <v>0</v>
      </c>
      <c r="K265" s="133">
        <f t="shared" si="4"/>
        <v>0</v>
      </c>
    </row>
    <row r="266" ht="18.0" customHeight="1">
      <c r="A266" s="134"/>
      <c r="B266" s="77"/>
      <c r="C266" s="77"/>
      <c r="D266" s="135" t="str">
        <f t="array" ref="D266">IFERROR(IF(C266="","",INDEX(PRODUK!$B:$B,MATCH(C266,PRODUK!$A:$A,0))),"")</f>
        <v/>
      </c>
      <c r="E266" s="117"/>
      <c r="F266" s="119">
        <f t="array" ref="F266">IFERROR(IF(C266="",0,INDEX(PRODUK!$F:$F,MATCH(C266,PRODUK!$A:$A,0))),0)</f>
        <v>0</v>
      </c>
      <c r="G266" s="118">
        <f t="shared" si="1"/>
        <v>0</v>
      </c>
      <c r="H266" s="118">
        <f t="array" ref="H266">IFERROR(IF(B266="",0,INDEX(HPP_ENGINE!$J:$J,MATCH(B266,HPP_ENGINE!$A:$A,0))),0)</f>
        <v>0</v>
      </c>
      <c r="I266" s="118">
        <f t="shared" si="2"/>
        <v>0</v>
      </c>
      <c r="J266" s="118">
        <f t="shared" si="3"/>
        <v>0</v>
      </c>
      <c r="K266" s="136">
        <f t="shared" si="4"/>
        <v>0</v>
      </c>
    </row>
    <row r="267" ht="18.0" customHeight="1">
      <c r="A267" s="132"/>
      <c r="B267" s="72"/>
      <c r="C267" s="72"/>
      <c r="D267" s="137" t="str">
        <f t="array" ref="D267">IFERROR(IF(C267="","",INDEX(PRODUK!$B:$B,MATCH(C267,PRODUK!$A:$A,0))),"")</f>
        <v/>
      </c>
      <c r="E267" s="113"/>
      <c r="F267" s="115">
        <f t="array" ref="F267">IFERROR(IF(C267="",0,INDEX(PRODUK!$F:$F,MATCH(C267,PRODUK!$A:$A,0))),0)</f>
        <v>0</v>
      </c>
      <c r="G267" s="114">
        <f t="shared" si="1"/>
        <v>0</v>
      </c>
      <c r="H267" s="114">
        <f t="array" ref="H267">IFERROR(IF(B267="",0,INDEX(HPP_ENGINE!$J:$J,MATCH(B267,HPP_ENGINE!$A:$A,0))),0)</f>
        <v>0</v>
      </c>
      <c r="I267" s="114">
        <f t="shared" si="2"/>
        <v>0</v>
      </c>
      <c r="J267" s="114">
        <f t="shared" si="3"/>
        <v>0</v>
      </c>
      <c r="K267" s="133">
        <f t="shared" si="4"/>
        <v>0</v>
      </c>
    </row>
    <row r="268" ht="18.0" customHeight="1">
      <c r="A268" s="134"/>
      <c r="B268" s="77"/>
      <c r="C268" s="77"/>
      <c r="D268" s="135" t="str">
        <f t="array" ref="D268">IFERROR(IF(C268="","",INDEX(PRODUK!$B:$B,MATCH(C268,PRODUK!$A:$A,0))),"")</f>
        <v/>
      </c>
      <c r="E268" s="117"/>
      <c r="F268" s="119">
        <f t="array" ref="F268">IFERROR(IF(C268="",0,INDEX(PRODUK!$F:$F,MATCH(C268,PRODUK!$A:$A,0))),0)</f>
        <v>0</v>
      </c>
      <c r="G268" s="118">
        <f t="shared" si="1"/>
        <v>0</v>
      </c>
      <c r="H268" s="118">
        <f t="array" ref="H268">IFERROR(IF(B268="",0,INDEX(HPP_ENGINE!$J:$J,MATCH(B268,HPP_ENGINE!$A:$A,0))),0)</f>
        <v>0</v>
      </c>
      <c r="I268" s="118">
        <f t="shared" si="2"/>
        <v>0</v>
      </c>
      <c r="J268" s="118">
        <f t="shared" si="3"/>
        <v>0</v>
      </c>
      <c r="K268" s="136">
        <f t="shared" si="4"/>
        <v>0</v>
      </c>
    </row>
    <row r="269" ht="18.0" customHeight="1">
      <c r="A269" s="132"/>
      <c r="B269" s="72"/>
      <c r="C269" s="72"/>
      <c r="D269" s="137" t="str">
        <f t="array" ref="D269">IFERROR(IF(C269="","",INDEX(PRODUK!$B:$B,MATCH(C269,PRODUK!$A:$A,0))),"")</f>
        <v/>
      </c>
      <c r="E269" s="113"/>
      <c r="F269" s="115">
        <f t="array" ref="F269">IFERROR(IF(C269="",0,INDEX(PRODUK!$F:$F,MATCH(C269,PRODUK!$A:$A,0))),0)</f>
        <v>0</v>
      </c>
      <c r="G269" s="114">
        <f t="shared" si="1"/>
        <v>0</v>
      </c>
      <c r="H269" s="114">
        <f t="array" ref="H269">IFERROR(IF(B269="",0,INDEX(HPP_ENGINE!$J:$J,MATCH(B269,HPP_ENGINE!$A:$A,0))),0)</f>
        <v>0</v>
      </c>
      <c r="I269" s="114">
        <f t="shared" si="2"/>
        <v>0</v>
      </c>
      <c r="J269" s="114">
        <f t="shared" si="3"/>
        <v>0</v>
      </c>
      <c r="K269" s="133">
        <f t="shared" si="4"/>
        <v>0</v>
      </c>
    </row>
    <row r="270" ht="18.0" customHeight="1">
      <c r="A270" s="134"/>
      <c r="B270" s="77"/>
      <c r="C270" s="77"/>
      <c r="D270" s="135" t="str">
        <f t="array" ref="D270">IFERROR(IF(C270="","",INDEX(PRODUK!$B:$B,MATCH(C270,PRODUK!$A:$A,0))),"")</f>
        <v/>
      </c>
      <c r="E270" s="117"/>
      <c r="F270" s="119">
        <f t="array" ref="F270">IFERROR(IF(C270="",0,INDEX(PRODUK!$F:$F,MATCH(C270,PRODUK!$A:$A,0))),0)</f>
        <v>0</v>
      </c>
      <c r="G270" s="118">
        <f t="shared" si="1"/>
        <v>0</v>
      </c>
      <c r="H270" s="118">
        <f t="array" ref="H270">IFERROR(IF(B270="",0,INDEX(HPP_ENGINE!$J:$J,MATCH(B270,HPP_ENGINE!$A:$A,0))),0)</f>
        <v>0</v>
      </c>
      <c r="I270" s="118">
        <f t="shared" si="2"/>
        <v>0</v>
      </c>
      <c r="J270" s="118">
        <f t="shared" si="3"/>
        <v>0</v>
      </c>
      <c r="K270" s="136">
        <f t="shared" si="4"/>
        <v>0</v>
      </c>
    </row>
    <row r="271" ht="18.0" customHeight="1">
      <c r="A271" s="132"/>
      <c r="B271" s="72"/>
      <c r="C271" s="72"/>
      <c r="D271" s="137" t="str">
        <f t="array" ref="D271">IFERROR(IF(C271="","",INDEX(PRODUK!$B:$B,MATCH(C271,PRODUK!$A:$A,0))),"")</f>
        <v/>
      </c>
      <c r="E271" s="113"/>
      <c r="F271" s="115">
        <f t="array" ref="F271">IFERROR(IF(C271="",0,INDEX(PRODUK!$F:$F,MATCH(C271,PRODUK!$A:$A,0))),0)</f>
        <v>0</v>
      </c>
      <c r="G271" s="114">
        <f t="shared" si="1"/>
        <v>0</v>
      </c>
      <c r="H271" s="114">
        <f t="array" ref="H271">IFERROR(IF(B271="",0,INDEX(HPP_ENGINE!$J:$J,MATCH(B271,HPP_ENGINE!$A:$A,0))),0)</f>
        <v>0</v>
      </c>
      <c r="I271" s="114">
        <f t="shared" si="2"/>
        <v>0</v>
      </c>
      <c r="J271" s="114">
        <f t="shared" si="3"/>
        <v>0</v>
      </c>
      <c r="K271" s="133">
        <f t="shared" si="4"/>
        <v>0</v>
      </c>
    </row>
    <row r="272" ht="18.0" customHeight="1">
      <c r="A272" s="134"/>
      <c r="B272" s="77"/>
      <c r="C272" s="77"/>
      <c r="D272" s="135" t="str">
        <f t="array" ref="D272">IFERROR(IF(C272="","",INDEX(PRODUK!$B:$B,MATCH(C272,PRODUK!$A:$A,0))),"")</f>
        <v/>
      </c>
      <c r="E272" s="117"/>
      <c r="F272" s="119">
        <f t="array" ref="F272">IFERROR(IF(C272="",0,INDEX(PRODUK!$F:$F,MATCH(C272,PRODUK!$A:$A,0))),0)</f>
        <v>0</v>
      </c>
      <c r="G272" s="118">
        <f t="shared" si="1"/>
        <v>0</v>
      </c>
      <c r="H272" s="118">
        <f t="array" ref="H272">IFERROR(IF(B272="",0,INDEX(HPP_ENGINE!$J:$J,MATCH(B272,HPP_ENGINE!$A:$A,0))),0)</f>
        <v>0</v>
      </c>
      <c r="I272" s="118">
        <f t="shared" si="2"/>
        <v>0</v>
      </c>
      <c r="J272" s="118">
        <f t="shared" si="3"/>
        <v>0</v>
      </c>
      <c r="K272" s="136">
        <f t="shared" si="4"/>
        <v>0</v>
      </c>
    </row>
    <row r="273" ht="18.0" customHeight="1">
      <c r="A273" s="132"/>
      <c r="B273" s="72"/>
      <c r="C273" s="72"/>
      <c r="D273" s="137" t="str">
        <f t="array" ref="D273">IFERROR(IF(C273="","",INDEX(PRODUK!$B:$B,MATCH(C273,PRODUK!$A:$A,0))),"")</f>
        <v/>
      </c>
      <c r="E273" s="113"/>
      <c r="F273" s="115">
        <f t="array" ref="F273">IFERROR(IF(C273="",0,INDEX(PRODUK!$F:$F,MATCH(C273,PRODUK!$A:$A,0))),0)</f>
        <v>0</v>
      </c>
      <c r="G273" s="114">
        <f t="shared" si="1"/>
        <v>0</v>
      </c>
      <c r="H273" s="114">
        <f t="array" ref="H273">IFERROR(IF(B273="",0,INDEX(HPP_ENGINE!$J:$J,MATCH(B273,HPP_ENGINE!$A:$A,0))),0)</f>
        <v>0</v>
      </c>
      <c r="I273" s="114">
        <f t="shared" si="2"/>
        <v>0</v>
      </c>
      <c r="J273" s="114">
        <f t="shared" si="3"/>
        <v>0</v>
      </c>
      <c r="K273" s="133">
        <f t="shared" si="4"/>
        <v>0</v>
      </c>
    </row>
    <row r="274" ht="18.0" customHeight="1">
      <c r="A274" s="134"/>
      <c r="B274" s="77"/>
      <c r="C274" s="77"/>
      <c r="D274" s="135" t="str">
        <f t="array" ref="D274">IFERROR(IF(C274="","",INDEX(PRODUK!$B:$B,MATCH(C274,PRODUK!$A:$A,0))),"")</f>
        <v/>
      </c>
      <c r="E274" s="117"/>
      <c r="F274" s="119">
        <f t="array" ref="F274">IFERROR(IF(C274="",0,INDEX(PRODUK!$F:$F,MATCH(C274,PRODUK!$A:$A,0))),0)</f>
        <v>0</v>
      </c>
      <c r="G274" s="118">
        <f t="shared" si="1"/>
        <v>0</v>
      </c>
      <c r="H274" s="118">
        <f t="array" ref="H274">IFERROR(IF(B274="",0,INDEX(HPP_ENGINE!$J:$J,MATCH(B274,HPP_ENGINE!$A:$A,0))),0)</f>
        <v>0</v>
      </c>
      <c r="I274" s="118">
        <f t="shared" si="2"/>
        <v>0</v>
      </c>
      <c r="J274" s="118">
        <f t="shared" si="3"/>
        <v>0</v>
      </c>
      <c r="K274" s="136">
        <f t="shared" si="4"/>
        <v>0</v>
      </c>
    </row>
    <row r="275" ht="18.0" customHeight="1">
      <c r="A275" s="132"/>
      <c r="B275" s="72"/>
      <c r="C275" s="72"/>
      <c r="D275" s="137" t="str">
        <f t="array" ref="D275">IFERROR(IF(C275="","",INDEX(PRODUK!$B:$B,MATCH(C275,PRODUK!$A:$A,0))),"")</f>
        <v/>
      </c>
      <c r="E275" s="113"/>
      <c r="F275" s="115">
        <f t="array" ref="F275">IFERROR(IF(C275="",0,INDEX(PRODUK!$F:$F,MATCH(C275,PRODUK!$A:$A,0))),0)</f>
        <v>0</v>
      </c>
      <c r="G275" s="114">
        <f t="shared" si="1"/>
        <v>0</v>
      </c>
      <c r="H275" s="114">
        <f t="array" ref="H275">IFERROR(IF(B275="",0,INDEX(HPP_ENGINE!$J:$J,MATCH(B275,HPP_ENGINE!$A:$A,0))),0)</f>
        <v>0</v>
      </c>
      <c r="I275" s="114">
        <f t="shared" si="2"/>
        <v>0</v>
      </c>
      <c r="J275" s="114">
        <f t="shared" si="3"/>
        <v>0</v>
      </c>
      <c r="K275" s="133">
        <f t="shared" si="4"/>
        <v>0</v>
      </c>
    </row>
    <row r="276" ht="18.0" customHeight="1">
      <c r="A276" s="134"/>
      <c r="B276" s="77"/>
      <c r="C276" s="77"/>
      <c r="D276" s="135" t="str">
        <f t="array" ref="D276">IFERROR(IF(C276="","",INDEX(PRODUK!$B:$B,MATCH(C276,PRODUK!$A:$A,0))),"")</f>
        <v/>
      </c>
      <c r="E276" s="117"/>
      <c r="F276" s="119">
        <f t="array" ref="F276">IFERROR(IF(C276="",0,INDEX(PRODUK!$F:$F,MATCH(C276,PRODUK!$A:$A,0))),0)</f>
        <v>0</v>
      </c>
      <c r="G276" s="118">
        <f t="shared" si="1"/>
        <v>0</v>
      </c>
      <c r="H276" s="118">
        <f t="array" ref="H276">IFERROR(IF(B276="",0,INDEX(HPP_ENGINE!$J:$J,MATCH(B276,HPP_ENGINE!$A:$A,0))),0)</f>
        <v>0</v>
      </c>
      <c r="I276" s="118">
        <f t="shared" si="2"/>
        <v>0</v>
      </c>
      <c r="J276" s="118">
        <f t="shared" si="3"/>
        <v>0</v>
      </c>
      <c r="K276" s="136">
        <f t="shared" si="4"/>
        <v>0</v>
      </c>
    </row>
    <row r="277" ht="18.0" customHeight="1">
      <c r="A277" s="132"/>
      <c r="B277" s="72"/>
      <c r="C277" s="72"/>
      <c r="D277" s="137" t="str">
        <f t="array" ref="D277">IFERROR(IF(C277="","",INDEX(PRODUK!$B:$B,MATCH(C277,PRODUK!$A:$A,0))),"")</f>
        <v/>
      </c>
      <c r="E277" s="113"/>
      <c r="F277" s="115">
        <f t="array" ref="F277">IFERROR(IF(C277="",0,INDEX(PRODUK!$F:$F,MATCH(C277,PRODUK!$A:$A,0))),0)</f>
        <v>0</v>
      </c>
      <c r="G277" s="114">
        <f t="shared" si="1"/>
        <v>0</v>
      </c>
      <c r="H277" s="114">
        <f t="array" ref="H277">IFERROR(IF(B277="",0,INDEX(HPP_ENGINE!$J:$J,MATCH(B277,HPP_ENGINE!$A:$A,0))),0)</f>
        <v>0</v>
      </c>
      <c r="I277" s="114">
        <f t="shared" si="2"/>
        <v>0</v>
      </c>
      <c r="J277" s="114">
        <f t="shared" si="3"/>
        <v>0</v>
      </c>
      <c r="K277" s="133">
        <f t="shared" si="4"/>
        <v>0</v>
      </c>
    </row>
    <row r="278" ht="18.0" customHeight="1">
      <c r="A278" s="134"/>
      <c r="B278" s="77"/>
      <c r="C278" s="77"/>
      <c r="D278" s="135" t="str">
        <f t="array" ref="D278">IFERROR(IF(C278="","",INDEX(PRODUK!$B:$B,MATCH(C278,PRODUK!$A:$A,0))),"")</f>
        <v/>
      </c>
      <c r="E278" s="117"/>
      <c r="F278" s="119">
        <f t="array" ref="F278">IFERROR(IF(C278="",0,INDEX(PRODUK!$F:$F,MATCH(C278,PRODUK!$A:$A,0))),0)</f>
        <v>0</v>
      </c>
      <c r="G278" s="118">
        <f t="shared" si="1"/>
        <v>0</v>
      </c>
      <c r="H278" s="118">
        <f t="array" ref="H278">IFERROR(IF(B278="",0,INDEX(HPP_ENGINE!$J:$J,MATCH(B278,HPP_ENGINE!$A:$A,0))),0)</f>
        <v>0</v>
      </c>
      <c r="I278" s="118">
        <f t="shared" si="2"/>
        <v>0</v>
      </c>
      <c r="J278" s="118">
        <f t="shared" si="3"/>
        <v>0</v>
      </c>
      <c r="K278" s="136">
        <f t="shared" si="4"/>
        <v>0</v>
      </c>
    </row>
    <row r="279" ht="18.0" customHeight="1">
      <c r="A279" s="132"/>
      <c r="B279" s="72"/>
      <c r="C279" s="72"/>
      <c r="D279" s="137" t="str">
        <f t="array" ref="D279">IFERROR(IF(C279="","",INDEX(PRODUK!$B:$B,MATCH(C279,PRODUK!$A:$A,0))),"")</f>
        <v/>
      </c>
      <c r="E279" s="113"/>
      <c r="F279" s="115">
        <f t="array" ref="F279">IFERROR(IF(C279="",0,INDEX(PRODUK!$F:$F,MATCH(C279,PRODUK!$A:$A,0))),0)</f>
        <v>0</v>
      </c>
      <c r="G279" s="114">
        <f t="shared" si="1"/>
        <v>0</v>
      </c>
      <c r="H279" s="114">
        <f t="array" ref="H279">IFERROR(IF(B279="",0,INDEX(HPP_ENGINE!$J:$J,MATCH(B279,HPP_ENGINE!$A:$A,0))),0)</f>
        <v>0</v>
      </c>
      <c r="I279" s="114">
        <f t="shared" si="2"/>
        <v>0</v>
      </c>
      <c r="J279" s="114">
        <f t="shared" si="3"/>
        <v>0</v>
      </c>
      <c r="K279" s="133">
        <f t="shared" si="4"/>
        <v>0</v>
      </c>
    </row>
    <row r="280" ht="18.0" customHeight="1">
      <c r="A280" s="134"/>
      <c r="B280" s="77"/>
      <c r="C280" s="77"/>
      <c r="D280" s="135" t="str">
        <f t="array" ref="D280">IFERROR(IF(C280="","",INDEX(PRODUK!$B:$B,MATCH(C280,PRODUK!$A:$A,0))),"")</f>
        <v/>
      </c>
      <c r="E280" s="117"/>
      <c r="F280" s="119">
        <f t="array" ref="F280">IFERROR(IF(C280="",0,INDEX(PRODUK!$F:$F,MATCH(C280,PRODUK!$A:$A,0))),0)</f>
        <v>0</v>
      </c>
      <c r="G280" s="118">
        <f t="shared" si="1"/>
        <v>0</v>
      </c>
      <c r="H280" s="118">
        <f t="array" ref="H280">IFERROR(IF(B280="",0,INDEX(HPP_ENGINE!$J:$J,MATCH(B280,HPP_ENGINE!$A:$A,0))),0)</f>
        <v>0</v>
      </c>
      <c r="I280" s="118">
        <f t="shared" si="2"/>
        <v>0</v>
      </c>
      <c r="J280" s="118">
        <f t="shared" si="3"/>
        <v>0</v>
      </c>
      <c r="K280" s="136">
        <f t="shared" si="4"/>
        <v>0</v>
      </c>
    </row>
    <row r="281" ht="18.0" customHeight="1">
      <c r="A281" s="132"/>
      <c r="B281" s="72"/>
      <c r="C281" s="72"/>
      <c r="D281" s="137" t="str">
        <f t="array" ref="D281">IFERROR(IF(C281="","",INDEX(PRODUK!$B:$B,MATCH(C281,PRODUK!$A:$A,0))),"")</f>
        <v/>
      </c>
      <c r="E281" s="113"/>
      <c r="F281" s="115">
        <f t="array" ref="F281">IFERROR(IF(C281="",0,INDEX(PRODUK!$F:$F,MATCH(C281,PRODUK!$A:$A,0))),0)</f>
        <v>0</v>
      </c>
      <c r="G281" s="114">
        <f t="shared" si="1"/>
        <v>0</v>
      </c>
      <c r="H281" s="114">
        <f t="array" ref="H281">IFERROR(IF(B281="",0,INDEX(HPP_ENGINE!$J:$J,MATCH(B281,HPP_ENGINE!$A:$A,0))),0)</f>
        <v>0</v>
      </c>
      <c r="I281" s="114">
        <f t="shared" si="2"/>
        <v>0</v>
      </c>
      <c r="J281" s="114">
        <f t="shared" si="3"/>
        <v>0</v>
      </c>
      <c r="K281" s="133">
        <f t="shared" si="4"/>
        <v>0</v>
      </c>
    </row>
    <row r="282" ht="18.0" customHeight="1">
      <c r="A282" s="134"/>
      <c r="B282" s="77"/>
      <c r="C282" s="77"/>
      <c r="D282" s="135" t="str">
        <f t="array" ref="D282">IFERROR(IF(C282="","",INDEX(PRODUK!$B:$B,MATCH(C282,PRODUK!$A:$A,0))),"")</f>
        <v/>
      </c>
      <c r="E282" s="117"/>
      <c r="F282" s="119">
        <f t="array" ref="F282">IFERROR(IF(C282="",0,INDEX(PRODUK!$F:$F,MATCH(C282,PRODUK!$A:$A,0))),0)</f>
        <v>0</v>
      </c>
      <c r="G282" s="118">
        <f t="shared" si="1"/>
        <v>0</v>
      </c>
      <c r="H282" s="118">
        <f t="array" ref="H282">IFERROR(IF(B282="",0,INDEX(HPP_ENGINE!$J:$J,MATCH(B282,HPP_ENGINE!$A:$A,0))),0)</f>
        <v>0</v>
      </c>
      <c r="I282" s="118">
        <f t="shared" si="2"/>
        <v>0</v>
      </c>
      <c r="J282" s="118">
        <f t="shared" si="3"/>
        <v>0</v>
      </c>
      <c r="K282" s="136">
        <f t="shared" si="4"/>
        <v>0</v>
      </c>
    </row>
    <row r="283" ht="18.0" customHeight="1">
      <c r="A283" s="132"/>
      <c r="B283" s="72"/>
      <c r="C283" s="72"/>
      <c r="D283" s="137" t="str">
        <f t="array" ref="D283">IFERROR(IF(C283="","",INDEX(PRODUK!$B:$B,MATCH(C283,PRODUK!$A:$A,0))),"")</f>
        <v/>
      </c>
      <c r="E283" s="113"/>
      <c r="F283" s="115">
        <f t="array" ref="F283">IFERROR(IF(C283="",0,INDEX(PRODUK!$F:$F,MATCH(C283,PRODUK!$A:$A,0))),0)</f>
        <v>0</v>
      </c>
      <c r="G283" s="114">
        <f t="shared" si="1"/>
        <v>0</v>
      </c>
      <c r="H283" s="114">
        <f t="array" ref="H283">IFERROR(IF(B283="",0,INDEX(HPP_ENGINE!$J:$J,MATCH(B283,HPP_ENGINE!$A:$A,0))),0)</f>
        <v>0</v>
      </c>
      <c r="I283" s="114">
        <f t="shared" si="2"/>
        <v>0</v>
      </c>
      <c r="J283" s="114">
        <f t="shared" si="3"/>
        <v>0</v>
      </c>
      <c r="K283" s="133">
        <f t="shared" si="4"/>
        <v>0</v>
      </c>
    </row>
    <row r="284" ht="18.0" customHeight="1">
      <c r="A284" s="134"/>
      <c r="B284" s="77"/>
      <c r="C284" s="77"/>
      <c r="D284" s="135" t="str">
        <f t="array" ref="D284">IFERROR(IF(C284="","",INDEX(PRODUK!$B:$B,MATCH(C284,PRODUK!$A:$A,0))),"")</f>
        <v/>
      </c>
      <c r="E284" s="117"/>
      <c r="F284" s="119">
        <f t="array" ref="F284">IFERROR(IF(C284="",0,INDEX(PRODUK!$F:$F,MATCH(C284,PRODUK!$A:$A,0))),0)</f>
        <v>0</v>
      </c>
      <c r="G284" s="118">
        <f t="shared" si="1"/>
        <v>0</v>
      </c>
      <c r="H284" s="118">
        <f t="array" ref="H284">IFERROR(IF(B284="",0,INDEX(HPP_ENGINE!$J:$J,MATCH(B284,HPP_ENGINE!$A:$A,0))),0)</f>
        <v>0</v>
      </c>
      <c r="I284" s="118">
        <f t="shared" si="2"/>
        <v>0</v>
      </c>
      <c r="J284" s="118">
        <f t="shared" si="3"/>
        <v>0</v>
      </c>
      <c r="K284" s="136">
        <f t="shared" si="4"/>
        <v>0</v>
      </c>
    </row>
    <row r="285" ht="18.0" customHeight="1">
      <c r="A285" s="132"/>
      <c r="B285" s="72"/>
      <c r="C285" s="72"/>
      <c r="D285" s="137" t="str">
        <f t="array" ref="D285">IFERROR(IF(C285="","",INDEX(PRODUK!$B:$B,MATCH(C285,PRODUK!$A:$A,0))),"")</f>
        <v/>
      </c>
      <c r="E285" s="113"/>
      <c r="F285" s="115">
        <f t="array" ref="F285">IFERROR(IF(C285="",0,INDEX(PRODUK!$F:$F,MATCH(C285,PRODUK!$A:$A,0))),0)</f>
        <v>0</v>
      </c>
      <c r="G285" s="114">
        <f t="shared" si="1"/>
        <v>0</v>
      </c>
      <c r="H285" s="114">
        <f t="array" ref="H285">IFERROR(IF(B285="",0,INDEX(HPP_ENGINE!$J:$J,MATCH(B285,HPP_ENGINE!$A:$A,0))),0)</f>
        <v>0</v>
      </c>
      <c r="I285" s="114">
        <f t="shared" si="2"/>
        <v>0</v>
      </c>
      <c r="J285" s="114">
        <f t="shared" si="3"/>
        <v>0</v>
      </c>
      <c r="K285" s="133">
        <f t="shared" si="4"/>
        <v>0</v>
      </c>
    </row>
    <row r="286" ht="18.0" customHeight="1">
      <c r="A286" s="134"/>
      <c r="B286" s="77"/>
      <c r="C286" s="77"/>
      <c r="D286" s="135" t="str">
        <f t="array" ref="D286">IFERROR(IF(C286="","",INDEX(PRODUK!$B:$B,MATCH(C286,PRODUK!$A:$A,0))),"")</f>
        <v/>
      </c>
      <c r="E286" s="117"/>
      <c r="F286" s="119">
        <f t="array" ref="F286">IFERROR(IF(C286="",0,INDEX(PRODUK!$F:$F,MATCH(C286,PRODUK!$A:$A,0))),0)</f>
        <v>0</v>
      </c>
      <c r="G286" s="118">
        <f t="shared" si="1"/>
        <v>0</v>
      </c>
      <c r="H286" s="118">
        <f t="array" ref="H286">IFERROR(IF(B286="",0,INDEX(HPP_ENGINE!$J:$J,MATCH(B286,HPP_ENGINE!$A:$A,0))),0)</f>
        <v>0</v>
      </c>
      <c r="I286" s="118">
        <f t="shared" si="2"/>
        <v>0</v>
      </c>
      <c r="J286" s="118">
        <f t="shared" si="3"/>
        <v>0</v>
      </c>
      <c r="K286" s="136">
        <f t="shared" si="4"/>
        <v>0</v>
      </c>
    </row>
    <row r="287" ht="18.0" customHeight="1">
      <c r="A287" s="132"/>
      <c r="B287" s="72"/>
      <c r="C287" s="72"/>
      <c r="D287" s="137" t="str">
        <f t="array" ref="D287">IFERROR(IF(C287="","",INDEX(PRODUK!$B:$B,MATCH(C287,PRODUK!$A:$A,0))),"")</f>
        <v/>
      </c>
      <c r="E287" s="113"/>
      <c r="F287" s="115">
        <f t="array" ref="F287">IFERROR(IF(C287="",0,INDEX(PRODUK!$F:$F,MATCH(C287,PRODUK!$A:$A,0))),0)</f>
        <v>0</v>
      </c>
      <c r="G287" s="114">
        <f t="shared" si="1"/>
        <v>0</v>
      </c>
      <c r="H287" s="114">
        <f t="array" ref="H287">IFERROR(IF(B287="",0,INDEX(HPP_ENGINE!$J:$J,MATCH(B287,HPP_ENGINE!$A:$A,0))),0)</f>
        <v>0</v>
      </c>
      <c r="I287" s="114">
        <f t="shared" si="2"/>
        <v>0</v>
      </c>
      <c r="J287" s="114">
        <f t="shared" si="3"/>
        <v>0</v>
      </c>
      <c r="K287" s="133">
        <f t="shared" si="4"/>
        <v>0</v>
      </c>
    </row>
    <row r="288" ht="18.0" customHeight="1">
      <c r="A288" s="134"/>
      <c r="B288" s="77"/>
      <c r="C288" s="77"/>
      <c r="D288" s="135" t="str">
        <f t="array" ref="D288">IFERROR(IF(C288="","",INDEX(PRODUK!$B:$B,MATCH(C288,PRODUK!$A:$A,0))),"")</f>
        <v/>
      </c>
      <c r="E288" s="117"/>
      <c r="F288" s="119">
        <f t="array" ref="F288">IFERROR(IF(C288="",0,INDEX(PRODUK!$F:$F,MATCH(C288,PRODUK!$A:$A,0))),0)</f>
        <v>0</v>
      </c>
      <c r="G288" s="118">
        <f t="shared" si="1"/>
        <v>0</v>
      </c>
      <c r="H288" s="118">
        <f t="array" ref="H288">IFERROR(IF(B288="",0,INDEX(HPP_ENGINE!$J:$J,MATCH(B288,HPP_ENGINE!$A:$A,0))),0)</f>
        <v>0</v>
      </c>
      <c r="I288" s="118">
        <f t="shared" si="2"/>
        <v>0</v>
      </c>
      <c r="J288" s="118">
        <f t="shared" si="3"/>
        <v>0</v>
      </c>
      <c r="K288" s="136">
        <f t="shared" si="4"/>
        <v>0</v>
      </c>
    </row>
    <row r="289" ht="18.0" customHeight="1">
      <c r="A289" s="132"/>
      <c r="B289" s="72"/>
      <c r="C289" s="72"/>
      <c r="D289" s="137" t="str">
        <f t="array" ref="D289">IFERROR(IF(C289="","",INDEX(PRODUK!$B:$B,MATCH(C289,PRODUK!$A:$A,0))),"")</f>
        <v/>
      </c>
      <c r="E289" s="113"/>
      <c r="F289" s="115">
        <f t="array" ref="F289">IFERROR(IF(C289="",0,INDEX(PRODUK!$F:$F,MATCH(C289,PRODUK!$A:$A,0))),0)</f>
        <v>0</v>
      </c>
      <c r="G289" s="114">
        <f t="shared" si="1"/>
        <v>0</v>
      </c>
      <c r="H289" s="114">
        <f t="array" ref="H289">IFERROR(IF(B289="",0,INDEX(HPP_ENGINE!$J:$J,MATCH(B289,HPP_ENGINE!$A:$A,0))),0)</f>
        <v>0</v>
      </c>
      <c r="I289" s="114">
        <f t="shared" si="2"/>
        <v>0</v>
      </c>
      <c r="J289" s="114">
        <f t="shared" si="3"/>
        <v>0</v>
      </c>
      <c r="K289" s="133">
        <f t="shared" si="4"/>
        <v>0</v>
      </c>
    </row>
    <row r="290" ht="18.0" customHeight="1">
      <c r="A290" s="134"/>
      <c r="B290" s="77"/>
      <c r="C290" s="77"/>
      <c r="D290" s="135" t="str">
        <f t="array" ref="D290">IFERROR(IF(C290="","",INDEX(PRODUK!$B:$B,MATCH(C290,PRODUK!$A:$A,0))),"")</f>
        <v/>
      </c>
      <c r="E290" s="117"/>
      <c r="F290" s="119">
        <f t="array" ref="F290">IFERROR(IF(C290="",0,INDEX(PRODUK!$F:$F,MATCH(C290,PRODUK!$A:$A,0))),0)</f>
        <v>0</v>
      </c>
      <c r="G290" s="118">
        <f t="shared" si="1"/>
        <v>0</v>
      </c>
      <c r="H290" s="118">
        <f t="array" ref="H290">IFERROR(IF(B290="",0,INDEX(HPP_ENGINE!$J:$J,MATCH(B290,HPP_ENGINE!$A:$A,0))),0)</f>
        <v>0</v>
      </c>
      <c r="I290" s="118">
        <f t="shared" si="2"/>
        <v>0</v>
      </c>
      <c r="J290" s="118">
        <f t="shared" si="3"/>
        <v>0</v>
      </c>
      <c r="K290" s="136">
        <f t="shared" si="4"/>
        <v>0</v>
      </c>
    </row>
    <row r="291" ht="18.0" customHeight="1">
      <c r="A291" s="132"/>
      <c r="B291" s="72"/>
      <c r="C291" s="72"/>
      <c r="D291" s="137" t="str">
        <f t="array" ref="D291">IFERROR(IF(C291="","",INDEX(PRODUK!$B:$B,MATCH(C291,PRODUK!$A:$A,0))),"")</f>
        <v/>
      </c>
      <c r="E291" s="113"/>
      <c r="F291" s="115">
        <f t="array" ref="F291">IFERROR(IF(C291="",0,INDEX(PRODUK!$F:$F,MATCH(C291,PRODUK!$A:$A,0))),0)</f>
        <v>0</v>
      </c>
      <c r="G291" s="114">
        <f t="shared" si="1"/>
        <v>0</v>
      </c>
      <c r="H291" s="114">
        <f t="array" ref="H291">IFERROR(IF(B291="",0,INDEX(HPP_ENGINE!$J:$J,MATCH(B291,HPP_ENGINE!$A:$A,0))),0)</f>
        <v>0</v>
      </c>
      <c r="I291" s="114">
        <f t="shared" si="2"/>
        <v>0</v>
      </c>
      <c r="J291" s="114">
        <f t="shared" si="3"/>
        <v>0</v>
      </c>
      <c r="K291" s="133">
        <f t="shared" si="4"/>
        <v>0</v>
      </c>
    </row>
    <row r="292" ht="18.0" customHeight="1">
      <c r="A292" s="134"/>
      <c r="B292" s="77"/>
      <c r="C292" s="77"/>
      <c r="D292" s="135" t="str">
        <f t="array" ref="D292">IFERROR(IF(C292="","",INDEX(PRODUK!$B:$B,MATCH(C292,PRODUK!$A:$A,0))),"")</f>
        <v/>
      </c>
      <c r="E292" s="117"/>
      <c r="F292" s="119">
        <f t="array" ref="F292">IFERROR(IF(C292="",0,INDEX(PRODUK!$F:$F,MATCH(C292,PRODUK!$A:$A,0))),0)</f>
        <v>0</v>
      </c>
      <c r="G292" s="118">
        <f t="shared" si="1"/>
        <v>0</v>
      </c>
      <c r="H292" s="118">
        <f t="array" ref="H292">IFERROR(IF(B292="",0,INDEX(HPP_ENGINE!$J:$J,MATCH(B292,HPP_ENGINE!$A:$A,0))),0)</f>
        <v>0</v>
      </c>
      <c r="I292" s="118">
        <f t="shared" si="2"/>
        <v>0</v>
      </c>
      <c r="J292" s="118">
        <f t="shared" si="3"/>
        <v>0</v>
      </c>
      <c r="K292" s="136">
        <f t="shared" si="4"/>
        <v>0</v>
      </c>
    </row>
    <row r="293" ht="18.0" customHeight="1">
      <c r="A293" s="132"/>
      <c r="B293" s="72"/>
      <c r="C293" s="72"/>
      <c r="D293" s="137" t="str">
        <f t="array" ref="D293">IFERROR(IF(C293="","",INDEX(PRODUK!$B:$B,MATCH(C293,PRODUK!$A:$A,0))),"")</f>
        <v/>
      </c>
      <c r="E293" s="113"/>
      <c r="F293" s="115">
        <f t="array" ref="F293">IFERROR(IF(C293="",0,INDEX(PRODUK!$F:$F,MATCH(C293,PRODUK!$A:$A,0))),0)</f>
        <v>0</v>
      </c>
      <c r="G293" s="114">
        <f t="shared" si="1"/>
        <v>0</v>
      </c>
      <c r="H293" s="114">
        <f t="array" ref="H293">IFERROR(IF(B293="",0,INDEX(HPP_ENGINE!$J:$J,MATCH(B293,HPP_ENGINE!$A:$A,0))),0)</f>
        <v>0</v>
      </c>
      <c r="I293" s="114">
        <f t="shared" si="2"/>
        <v>0</v>
      </c>
      <c r="J293" s="114">
        <f t="shared" si="3"/>
        <v>0</v>
      </c>
      <c r="K293" s="133">
        <f t="shared" si="4"/>
        <v>0</v>
      </c>
    </row>
    <row r="294" ht="18.0" customHeight="1">
      <c r="A294" s="134"/>
      <c r="B294" s="77"/>
      <c r="C294" s="77"/>
      <c r="D294" s="135" t="str">
        <f t="array" ref="D294">IFERROR(IF(C294="","",INDEX(PRODUK!$B:$B,MATCH(C294,PRODUK!$A:$A,0))),"")</f>
        <v/>
      </c>
      <c r="E294" s="117"/>
      <c r="F294" s="119">
        <f t="array" ref="F294">IFERROR(IF(C294="",0,INDEX(PRODUK!$F:$F,MATCH(C294,PRODUK!$A:$A,0))),0)</f>
        <v>0</v>
      </c>
      <c r="G294" s="118">
        <f t="shared" si="1"/>
        <v>0</v>
      </c>
      <c r="H294" s="118">
        <f t="array" ref="H294">IFERROR(IF(B294="",0,INDEX(HPP_ENGINE!$J:$J,MATCH(B294,HPP_ENGINE!$A:$A,0))),0)</f>
        <v>0</v>
      </c>
      <c r="I294" s="118">
        <f t="shared" si="2"/>
        <v>0</v>
      </c>
      <c r="J294" s="118">
        <f t="shared" si="3"/>
        <v>0</v>
      </c>
      <c r="K294" s="136">
        <f t="shared" si="4"/>
        <v>0</v>
      </c>
    </row>
    <row r="295" ht="18.0" customHeight="1">
      <c r="A295" s="132"/>
      <c r="B295" s="72"/>
      <c r="C295" s="72"/>
      <c r="D295" s="137" t="str">
        <f t="array" ref="D295">IFERROR(IF(C295="","",INDEX(PRODUK!$B:$B,MATCH(C295,PRODUK!$A:$A,0))),"")</f>
        <v/>
      </c>
      <c r="E295" s="113"/>
      <c r="F295" s="115">
        <f t="array" ref="F295">IFERROR(IF(C295="",0,INDEX(PRODUK!$F:$F,MATCH(C295,PRODUK!$A:$A,0))),0)</f>
        <v>0</v>
      </c>
      <c r="G295" s="114">
        <f t="shared" si="1"/>
        <v>0</v>
      </c>
      <c r="H295" s="114">
        <f t="array" ref="H295">IFERROR(IF(B295="",0,INDEX(HPP_ENGINE!$J:$J,MATCH(B295,HPP_ENGINE!$A:$A,0))),0)</f>
        <v>0</v>
      </c>
      <c r="I295" s="114">
        <f t="shared" si="2"/>
        <v>0</v>
      </c>
      <c r="J295" s="114">
        <f t="shared" si="3"/>
        <v>0</v>
      </c>
      <c r="K295" s="133">
        <f t="shared" si="4"/>
        <v>0</v>
      </c>
    </row>
    <row r="296" ht="18.0" customHeight="1">
      <c r="A296" s="134"/>
      <c r="B296" s="77"/>
      <c r="C296" s="77"/>
      <c r="D296" s="135" t="str">
        <f t="array" ref="D296">IFERROR(IF(C296="","",INDEX(PRODUK!$B:$B,MATCH(C296,PRODUK!$A:$A,0))),"")</f>
        <v/>
      </c>
      <c r="E296" s="117"/>
      <c r="F296" s="119">
        <f t="array" ref="F296">IFERROR(IF(C296="",0,INDEX(PRODUK!$F:$F,MATCH(C296,PRODUK!$A:$A,0))),0)</f>
        <v>0</v>
      </c>
      <c r="G296" s="118">
        <f t="shared" si="1"/>
        <v>0</v>
      </c>
      <c r="H296" s="118">
        <f t="array" ref="H296">IFERROR(IF(B296="",0,INDEX(HPP_ENGINE!$J:$J,MATCH(B296,HPP_ENGINE!$A:$A,0))),0)</f>
        <v>0</v>
      </c>
      <c r="I296" s="118">
        <f t="shared" si="2"/>
        <v>0</v>
      </c>
      <c r="J296" s="118">
        <f t="shared" si="3"/>
        <v>0</v>
      </c>
      <c r="K296" s="136">
        <f t="shared" si="4"/>
        <v>0</v>
      </c>
    </row>
    <row r="297" ht="18.0" customHeight="1">
      <c r="A297" s="132"/>
      <c r="B297" s="72"/>
      <c r="C297" s="72"/>
      <c r="D297" s="137" t="str">
        <f t="array" ref="D297">IFERROR(IF(C297="","",INDEX(PRODUK!$B:$B,MATCH(C297,PRODUK!$A:$A,0))),"")</f>
        <v/>
      </c>
      <c r="E297" s="113"/>
      <c r="F297" s="115">
        <f t="array" ref="F297">IFERROR(IF(C297="",0,INDEX(PRODUK!$F:$F,MATCH(C297,PRODUK!$A:$A,0))),0)</f>
        <v>0</v>
      </c>
      <c r="G297" s="114">
        <f t="shared" si="1"/>
        <v>0</v>
      </c>
      <c r="H297" s="114">
        <f t="array" ref="H297">IFERROR(IF(B297="",0,INDEX(HPP_ENGINE!$J:$J,MATCH(B297,HPP_ENGINE!$A:$A,0))),0)</f>
        <v>0</v>
      </c>
      <c r="I297" s="114">
        <f t="shared" si="2"/>
        <v>0</v>
      </c>
      <c r="J297" s="114">
        <f t="shared" si="3"/>
        <v>0</v>
      </c>
      <c r="K297" s="133">
        <f t="shared" si="4"/>
        <v>0</v>
      </c>
    </row>
    <row r="298" ht="18.0" customHeight="1">
      <c r="A298" s="134"/>
      <c r="B298" s="77"/>
      <c r="C298" s="77"/>
      <c r="D298" s="135" t="str">
        <f t="array" ref="D298">IFERROR(IF(C298="","",INDEX(PRODUK!$B:$B,MATCH(C298,PRODUK!$A:$A,0))),"")</f>
        <v/>
      </c>
      <c r="E298" s="117"/>
      <c r="F298" s="119">
        <f t="array" ref="F298">IFERROR(IF(C298="",0,INDEX(PRODUK!$F:$F,MATCH(C298,PRODUK!$A:$A,0))),0)</f>
        <v>0</v>
      </c>
      <c r="G298" s="118">
        <f t="shared" si="1"/>
        <v>0</v>
      </c>
      <c r="H298" s="118">
        <f t="array" ref="H298">IFERROR(IF(B298="",0,INDEX(HPP_ENGINE!$J:$J,MATCH(B298,HPP_ENGINE!$A:$A,0))),0)</f>
        <v>0</v>
      </c>
      <c r="I298" s="118">
        <f t="shared" si="2"/>
        <v>0</v>
      </c>
      <c r="J298" s="118">
        <f t="shared" si="3"/>
        <v>0</v>
      </c>
      <c r="K298" s="136">
        <f t="shared" si="4"/>
        <v>0</v>
      </c>
    </row>
    <row r="299" ht="18.0" customHeight="1">
      <c r="A299" s="132"/>
      <c r="B299" s="72"/>
      <c r="C299" s="72"/>
      <c r="D299" s="137" t="str">
        <f t="array" ref="D299">IFERROR(IF(C299="","",INDEX(PRODUK!$B:$B,MATCH(C299,PRODUK!$A:$A,0))),"")</f>
        <v/>
      </c>
      <c r="E299" s="113"/>
      <c r="F299" s="115">
        <f t="array" ref="F299">IFERROR(IF(C299="",0,INDEX(PRODUK!$F:$F,MATCH(C299,PRODUK!$A:$A,0))),0)</f>
        <v>0</v>
      </c>
      <c r="G299" s="114">
        <f t="shared" si="1"/>
        <v>0</v>
      </c>
      <c r="H299" s="114">
        <f t="array" ref="H299">IFERROR(IF(B299="",0,INDEX(HPP_ENGINE!$J:$J,MATCH(B299,HPP_ENGINE!$A:$A,0))),0)</f>
        <v>0</v>
      </c>
      <c r="I299" s="114">
        <f t="shared" si="2"/>
        <v>0</v>
      </c>
      <c r="J299" s="114">
        <f t="shared" si="3"/>
        <v>0</v>
      </c>
      <c r="K299" s="133">
        <f t="shared" si="4"/>
        <v>0</v>
      </c>
    </row>
    <row r="300" ht="18.0" customHeight="1">
      <c r="A300" s="134"/>
      <c r="B300" s="77"/>
      <c r="C300" s="77"/>
      <c r="D300" s="135" t="str">
        <f t="array" ref="D300">IFERROR(IF(C300="","",INDEX(PRODUK!$B:$B,MATCH(C300,PRODUK!$A:$A,0))),"")</f>
        <v/>
      </c>
      <c r="E300" s="117"/>
      <c r="F300" s="119">
        <f t="array" ref="F300">IFERROR(IF(C300="",0,INDEX(PRODUK!$F:$F,MATCH(C300,PRODUK!$A:$A,0))),0)</f>
        <v>0</v>
      </c>
      <c r="G300" s="118">
        <f t="shared" si="1"/>
        <v>0</v>
      </c>
      <c r="H300" s="118">
        <f t="array" ref="H300">IFERROR(IF(B300="",0,INDEX(HPP_ENGINE!$J:$J,MATCH(B300,HPP_ENGINE!$A:$A,0))),0)</f>
        <v>0</v>
      </c>
      <c r="I300" s="118">
        <f t="shared" si="2"/>
        <v>0</v>
      </c>
      <c r="J300" s="118">
        <f t="shared" si="3"/>
        <v>0</v>
      </c>
      <c r="K300" s="136">
        <f t="shared" si="4"/>
        <v>0</v>
      </c>
    </row>
    <row r="301" ht="18.0" customHeight="1">
      <c r="A301" s="132"/>
      <c r="B301" s="72"/>
      <c r="C301" s="72"/>
      <c r="D301" s="137" t="str">
        <f t="array" ref="D301">IFERROR(IF(C301="","",INDEX(PRODUK!$B:$B,MATCH(C301,PRODUK!$A:$A,0))),"")</f>
        <v/>
      </c>
      <c r="E301" s="113"/>
      <c r="F301" s="115">
        <f t="array" ref="F301">IFERROR(IF(C301="",0,INDEX(PRODUK!$F:$F,MATCH(C301,PRODUK!$A:$A,0))),0)</f>
        <v>0</v>
      </c>
      <c r="G301" s="114">
        <f t="shared" si="1"/>
        <v>0</v>
      </c>
      <c r="H301" s="114">
        <f t="array" ref="H301">IFERROR(IF(B301="",0,INDEX(HPP_ENGINE!$J:$J,MATCH(B301,HPP_ENGINE!$A:$A,0))),0)</f>
        <v>0</v>
      </c>
      <c r="I301" s="114">
        <f t="shared" si="2"/>
        <v>0</v>
      </c>
      <c r="J301" s="114">
        <f t="shared" si="3"/>
        <v>0</v>
      </c>
      <c r="K301" s="133">
        <f t="shared" si="4"/>
        <v>0</v>
      </c>
    </row>
    <row r="302" ht="18.0" customHeight="1">
      <c r="A302" s="134"/>
      <c r="B302" s="77"/>
      <c r="C302" s="77"/>
      <c r="D302" s="135" t="str">
        <f t="array" ref="D302">IFERROR(IF(C302="","",INDEX(PRODUK!$B:$B,MATCH(C302,PRODUK!$A:$A,0))),"")</f>
        <v/>
      </c>
      <c r="E302" s="117"/>
      <c r="F302" s="119">
        <f t="array" ref="F302">IFERROR(IF(C302="",0,INDEX(PRODUK!$F:$F,MATCH(C302,PRODUK!$A:$A,0))),0)</f>
        <v>0</v>
      </c>
      <c r="G302" s="118">
        <f t="shared" si="1"/>
        <v>0</v>
      </c>
      <c r="H302" s="118">
        <f t="array" ref="H302">IFERROR(IF(B302="",0,INDEX(HPP_ENGINE!$J:$J,MATCH(B302,HPP_ENGINE!$A:$A,0))),0)</f>
        <v>0</v>
      </c>
      <c r="I302" s="118">
        <f t="shared" si="2"/>
        <v>0</v>
      </c>
      <c r="J302" s="118">
        <f t="shared" si="3"/>
        <v>0</v>
      </c>
      <c r="K302" s="136">
        <f t="shared" si="4"/>
        <v>0</v>
      </c>
    </row>
    <row r="303" ht="18.0" customHeight="1">
      <c r="A303" s="132"/>
      <c r="B303" s="72"/>
      <c r="C303" s="72"/>
      <c r="D303" s="137" t="str">
        <f t="array" ref="D303">IFERROR(IF(C303="","",INDEX(PRODUK!$B:$B,MATCH(C303,PRODUK!$A:$A,0))),"")</f>
        <v/>
      </c>
      <c r="E303" s="113"/>
      <c r="F303" s="115">
        <f t="array" ref="F303">IFERROR(IF(C303="",0,INDEX(PRODUK!$F:$F,MATCH(C303,PRODUK!$A:$A,0))),0)</f>
        <v>0</v>
      </c>
      <c r="G303" s="114">
        <f t="shared" si="1"/>
        <v>0</v>
      </c>
      <c r="H303" s="114">
        <f t="array" ref="H303">IFERROR(IF(B303="",0,INDEX(HPP_ENGINE!$J:$J,MATCH(B303,HPP_ENGINE!$A:$A,0))),0)</f>
        <v>0</v>
      </c>
      <c r="I303" s="114">
        <f t="shared" si="2"/>
        <v>0</v>
      </c>
      <c r="J303" s="114">
        <f t="shared" si="3"/>
        <v>0</v>
      </c>
      <c r="K303" s="133">
        <f t="shared" si="4"/>
        <v>0</v>
      </c>
    </row>
    <row r="304" ht="18.0" customHeight="1">
      <c r="A304" s="134"/>
      <c r="B304" s="77"/>
      <c r="C304" s="77"/>
      <c r="D304" s="135" t="str">
        <f t="array" ref="D304">IFERROR(IF(C304="","",INDEX(PRODUK!$B:$B,MATCH(C304,PRODUK!$A:$A,0))),"")</f>
        <v/>
      </c>
      <c r="E304" s="117"/>
      <c r="F304" s="119">
        <f t="array" ref="F304">IFERROR(IF(C304="",0,INDEX(PRODUK!$F:$F,MATCH(C304,PRODUK!$A:$A,0))),0)</f>
        <v>0</v>
      </c>
      <c r="G304" s="118">
        <f t="shared" si="1"/>
        <v>0</v>
      </c>
      <c r="H304" s="118">
        <f t="array" ref="H304">IFERROR(IF(B304="",0,INDEX(HPP_ENGINE!$J:$J,MATCH(B304,HPP_ENGINE!$A:$A,0))),0)</f>
        <v>0</v>
      </c>
      <c r="I304" s="118">
        <f t="shared" si="2"/>
        <v>0</v>
      </c>
      <c r="J304" s="118">
        <f t="shared" si="3"/>
        <v>0</v>
      </c>
      <c r="K304" s="136">
        <f t="shared" si="4"/>
        <v>0</v>
      </c>
    </row>
    <row r="305" ht="18.0" customHeight="1">
      <c r="A305" s="132"/>
      <c r="B305" s="72"/>
      <c r="C305" s="72"/>
      <c r="D305" s="137" t="str">
        <f t="array" ref="D305">IFERROR(IF(C305="","",INDEX(PRODUK!$B:$B,MATCH(C305,PRODUK!$A:$A,0))),"")</f>
        <v/>
      </c>
      <c r="E305" s="113"/>
      <c r="F305" s="115">
        <f t="array" ref="F305">IFERROR(IF(C305="",0,INDEX(PRODUK!$F:$F,MATCH(C305,PRODUK!$A:$A,0))),0)</f>
        <v>0</v>
      </c>
      <c r="G305" s="114">
        <f t="shared" si="1"/>
        <v>0</v>
      </c>
      <c r="H305" s="114">
        <f t="array" ref="H305">IFERROR(IF(B305="",0,INDEX(HPP_ENGINE!$J:$J,MATCH(B305,HPP_ENGINE!$A:$A,0))),0)</f>
        <v>0</v>
      </c>
      <c r="I305" s="114">
        <f t="shared" si="2"/>
        <v>0</v>
      </c>
      <c r="J305" s="114">
        <f t="shared" si="3"/>
        <v>0</v>
      </c>
      <c r="K305" s="133">
        <f t="shared" si="4"/>
        <v>0</v>
      </c>
    </row>
    <row r="306" ht="18.0" customHeight="1">
      <c r="A306" s="134"/>
      <c r="B306" s="77"/>
      <c r="C306" s="77"/>
      <c r="D306" s="135" t="str">
        <f t="array" ref="D306">IFERROR(IF(C306="","",INDEX(PRODUK!$B:$B,MATCH(C306,PRODUK!$A:$A,0))),"")</f>
        <v/>
      </c>
      <c r="E306" s="117"/>
      <c r="F306" s="119">
        <f t="array" ref="F306">IFERROR(IF(C306="",0,INDEX(PRODUK!$F:$F,MATCH(C306,PRODUK!$A:$A,0))),0)</f>
        <v>0</v>
      </c>
      <c r="G306" s="118">
        <f t="shared" si="1"/>
        <v>0</v>
      </c>
      <c r="H306" s="118">
        <f t="array" ref="H306">IFERROR(IF(B306="",0,INDEX(HPP_ENGINE!$J:$J,MATCH(B306,HPP_ENGINE!$A:$A,0))),0)</f>
        <v>0</v>
      </c>
      <c r="I306" s="118">
        <f t="shared" si="2"/>
        <v>0</v>
      </c>
      <c r="J306" s="118">
        <f t="shared" si="3"/>
        <v>0</v>
      </c>
      <c r="K306" s="136">
        <f t="shared" si="4"/>
        <v>0</v>
      </c>
    </row>
    <row r="307" ht="18.0" customHeight="1">
      <c r="A307" s="132"/>
      <c r="B307" s="72"/>
      <c r="C307" s="72"/>
      <c r="D307" s="137" t="str">
        <f t="array" ref="D307">IFERROR(IF(C307="","",INDEX(PRODUK!$B:$B,MATCH(C307,PRODUK!$A:$A,0))),"")</f>
        <v/>
      </c>
      <c r="E307" s="113"/>
      <c r="F307" s="115">
        <f t="array" ref="F307">IFERROR(IF(C307="",0,INDEX(PRODUK!$F:$F,MATCH(C307,PRODUK!$A:$A,0))),0)</f>
        <v>0</v>
      </c>
      <c r="G307" s="114">
        <f t="shared" si="1"/>
        <v>0</v>
      </c>
      <c r="H307" s="114">
        <f t="array" ref="H307">IFERROR(IF(B307="",0,INDEX(HPP_ENGINE!$J:$J,MATCH(B307,HPP_ENGINE!$A:$A,0))),0)</f>
        <v>0</v>
      </c>
      <c r="I307" s="114">
        <f t="shared" si="2"/>
        <v>0</v>
      </c>
      <c r="J307" s="114">
        <f t="shared" si="3"/>
        <v>0</v>
      </c>
      <c r="K307" s="133">
        <f t="shared" si="4"/>
        <v>0</v>
      </c>
    </row>
    <row r="308" ht="18.0" customHeight="1">
      <c r="A308" s="134"/>
      <c r="B308" s="77"/>
      <c r="C308" s="77"/>
      <c r="D308" s="135" t="str">
        <f t="array" ref="D308">IFERROR(IF(C308="","",INDEX(PRODUK!$B:$B,MATCH(C308,PRODUK!$A:$A,0))),"")</f>
        <v/>
      </c>
      <c r="E308" s="117"/>
      <c r="F308" s="119">
        <f t="array" ref="F308">IFERROR(IF(C308="",0,INDEX(PRODUK!$F:$F,MATCH(C308,PRODUK!$A:$A,0))),0)</f>
        <v>0</v>
      </c>
      <c r="G308" s="118">
        <f t="shared" si="1"/>
        <v>0</v>
      </c>
      <c r="H308" s="118">
        <f t="array" ref="H308">IFERROR(IF(B308="",0,INDEX(HPP_ENGINE!$J:$J,MATCH(B308,HPP_ENGINE!$A:$A,0))),0)</f>
        <v>0</v>
      </c>
      <c r="I308" s="118">
        <f t="shared" si="2"/>
        <v>0</v>
      </c>
      <c r="J308" s="118">
        <f t="shared" si="3"/>
        <v>0</v>
      </c>
      <c r="K308" s="136">
        <f t="shared" si="4"/>
        <v>0</v>
      </c>
    </row>
    <row r="309" ht="18.0" customHeight="1">
      <c r="A309" s="132"/>
      <c r="B309" s="72"/>
      <c r="C309" s="72"/>
      <c r="D309" s="137" t="str">
        <f t="array" ref="D309">IFERROR(IF(C309="","",INDEX(PRODUK!$B:$B,MATCH(C309,PRODUK!$A:$A,0))),"")</f>
        <v/>
      </c>
      <c r="E309" s="113"/>
      <c r="F309" s="115">
        <f t="array" ref="F309">IFERROR(IF(C309="",0,INDEX(PRODUK!$F:$F,MATCH(C309,PRODUK!$A:$A,0))),0)</f>
        <v>0</v>
      </c>
      <c r="G309" s="114">
        <f t="shared" si="1"/>
        <v>0</v>
      </c>
      <c r="H309" s="114">
        <f t="array" ref="H309">IFERROR(IF(B309="",0,INDEX(HPP_ENGINE!$J:$J,MATCH(B309,HPP_ENGINE!$A:$A,0))),0)</f>
        <v>0</v>
      </c>
      <c r="I309" s="114">
        <f t="shared" si="2"/>
        <v>0</v>
      </c>
      <c r="J309" s="114">
        <f t="shared" si="3"/>
        <v>0</v>
      </c>
      <c r="K309" s="133">
        <f t="shared" si="4"/>
        <v>0</v>
      </c>
    </row>
    <row r="310" ht="18.0" customHeight="1">
      <c r="A310" s="134"/>
      <c r="B310" s="77"/>
      <c r="C310" s="77"/>
      <c r="D310" s="135" t="str">
        <f t="array" ref="D310">IFERROR(IF(C310="","",INDEX(PRODUK!$B:$B,MATCH(C310,PRODUK!$A:$A,0))),"")</f>
        <v/>
      </c>
      <c r="E310" s="117"/>
      <c r="F310" s="119">
        <f t="array" ref="F310">IFERROR(IF(C310="",0,INDEX(PRODUK!$F:$F,MATCH(C310,PRODUK!$A:$A,0))),0)</f>
        <v>0</v>
      </c>
      <c r="G310" s="118">
        <f t="shared" si="1"/>
        <v>0</v>
      </c>
      <c r="H310" s="118">
        <f t="array" ref="H310">IFERROR(IF(B310="",0,INDEX(HPP_ENGINE!$J:$J,MATCH(B310,HPP_ENGINE!$A:$A,0))),0)</f>
        <v>0</v>
      </c>
      <c r="I310" s="118">
        <f t="shared" si="2"/>
        <v>0</v>
      </c>
      <c r="J310" s="118">
        <f t="shared" si="3"/>
        <v>0</v>
      </c>
      <c r="K310" s="136">
        <f t="shared" si="4"/>
        <v>0</v>
      </c>
    </row>
    <row r="311" ht="18.0" customHeight="1">
      <c r="A311" s="132"/>
      <c r="B311" s="72"/>
      <c r="C311" s="72"/>
      <c r="D311" s="137" t="str">
        <f t="array" ref="D311">IFERROR(IF(C311="","",INDEX(PRODUK!$B:$B,MATCH(C311,PRODUK!$A:$A,0))),"")</f>
        <v/>
      </c>
      <c r="E311" s="113"/>
      <c r="F311" s="115">
        <f t="array" ref="F311">IFERROR(IF(C311="",0,INDEX(PRODUK!$F:$F,MATCH(C311,PRODUK!$A:$A,0))),0)</f>
        <v>0</v>
      </c>
      <c r="G311" s="114">
        <f t="shared" si="1"/>
        <v>0</v>
      </c>
      <c r="H311" s="114">
        <f t="array" ref="H311">IFERROR(IF(B311="",0,INDEX(HPP_ENGINE!$J:$J,MATCH(B311,HPP_ENGINE!$A:$A,0))),0)</f>
        <v>0</v>
      </c>
      <c r="I311" s="114">
        <f t="shared" si="2"/>
        <v>0</v>
      </c>
      <c r="J311" s="114">
        <f t="shared" si="3"/>
        <v>0</v>
      </c>
      <c r="K311" s="133">
        <f t="shared" si="4"/>
        <v>0</v>
      </c>
    </row>
    <row r="312" ht="18.0" customHeight="1">
      <c r="A312" s="134"/>
      <c r="B312" s="77"/>
      <c r="C312" s="77"/>
      <c r="D312" s="135" t="str">
        <f t="array" ref="D312">IFERROR(IF(C312="","",INDEX(PRODUK!$B:$B,MATCH(C312,PRODUK!$A:$A,0))),"")</f>
        <v/>
      </c>
      <c r="E312" s="117"/>
      <c r="F312" s="119">
        <f t="array" ref="F312">IFERROR(IF(C312="",0,INDEX(PRODUK!$F:$F,MATCH(C312,PRODUK!$A:$A,0))),0)</f>
        <v>0</v>
      </c>
      <c r="G312" s="118">
        <f t="shared" si="1"/>
        <v>0</v>
      </c>
      <c r="H312" s="118">
        <f t="array" ref="H312">IFERROR(IF(B312="",0,INDEX(HPP_ENGINE!$J:$J,MATCH(B312,HPP_ENGINE!$A:$A,0))),0)</f>
        <v>0</v>
      </c>
      <c r="I312" s="118">
        <f t="shared" si="2"/>
        <v>0</v>
      </c>
      <c r="J312" s="118">
        <f t="shared" si="3"/>
        <v>0</v>
      </c>
      <c r="K312" s="136">
        <f t="shared" si="4"/>
        <v>0</v>
      </c>
    </row>
    <row r="313" ht="18.0" customHeight="1">
      <c r="A313" s="132"/>
      <c r="B313" s="72"/>
      <c r="C313" s="72"/>
      <c r="D313" s="137" t="str">
        <f t="array" ref="D313">IFERROR(IF(C313="","",INDEX(PRODUK!$B:$B,MATCH(C313,PRODUK!$A:$A,0))),"")</f>
        <v/>
      </c>
      <c r="E313" s="113"/>
      <c r="F313" s="115">
        <f t="array" ref="F313">IFERROR(IF(C313="",0,INDEX(PRODUK!$F:$F,MATCH(C313,PRODUK!$A:$A,0))),0)</f>
        <v>0</v>
      </c>
      <c r="G313" s="114">
        <f t="shared" si="1"/>
        <v>0</v>
      </c>
      <c r="H313" s="114">
        <f t="array" ref="H313">IFERROR(IF(B313="",0,INDEX(HPP_ENGINE!$J:$J,MATCH(B313,HPP_ENGINE!$A:$A,0))),0)</f>
        <v>0</v>
      </c>
      <c r="I313" s="114">
        <f t="shared" si="2"/>
        <v>0</v>
      </c>
      <c r="J313" s="114">
        <f t="shared" si="3"/>
        <v>0</v>
      </c>
      <c r="K313" s="133">
        <f t="shared" si="4"/>
        <v>0</v>
      </c>
    </row>
    <row r="314" ht="18.0" customHeight="1">
      <c r="A314" s="134"/>
      <c r="B314" s="77"/>
      <c r="C314" s="77"/>
      <c r="D314" s="135" t="str">
        <f t="array" ref="D314">IFERROR(IF(C314="","",INDEX(PRODUK!$B:$B,MATCH(C314,PRODUK!$A:$A,0))),"")</f>
        <v/>
      </c>
      <c r="E314" s="117"/>
      <c r="F314" s="119">
        <f t="array" ref="F314">IFERROR(IF(C314="",0,INDEX(PRODUK!$F:$F,MATCH(C314,PRODUK!$A:$A,0))),0)</f>
        <v>0</v>
      </c>
      <c r="G314" s="118">
        <f t="shared" si="1"/>
        <v>0</v>
      </c>
      <c r="H314" s="118">
        <f t="array" ref="H314">IFERROR(IF(B314="",0,INDEX(HPP_ENGINE!$J:$J,MATCH(B314,HPP_ENGINE!$A:$A,0))),0)</f>
        <v>0</v>
      </c>
      <c r="I314" s="118">
        <f t="shared" si="2"/>
        <v>0</v>
      </c>
      <c r="J314" s="118">
        <f t="shared" si="3"/>
        <v>0</v>
      </c>
      <c r="K314" s="136">
        <f t="shared" si="4"/>
        <v>0</v>
      </c>
    </row>
    <row r="315" ht="18.0" customHeight="1">
      <c r="A315" s="132"/>
      <c r="B315" s="72"/>
      <c r="C315" s="72"/>
      <c r="D315" s="137" t="str">
        <f t="array" ref="D315">IFERROR(IF(C315="","",INDEX(PRODUK!$B:$B,MATCH(C315,PRODUK!$A:$A,0))),"")</f>
        <v/>
      </c>
      <c r="E315" s="113"/>
      <c r="F315" s="115">
        <f t="array" ref="F315">IFERROR(IF(C315="",0,INDEX(PRODUK!$F:$F,MATCH(C315,PRODUK!$A:$A,0))),0)</f>
        <v>0</v>
      </c>
      <c r="G315" s="114">
        <f t="shared" si="1"/>
        <v>0</v>
      </c>
      <c r="H315" s="114">
        <f t="array" ref="H315">IFERROR(IF(B315="",0,INDEX(HPP_ENGINE!$J:$J,MATCH(B315,HPP_ENGINE!$A:$A,0))),0)</f>
        <v>0</v>
      </c>
      <c r="I315" s="114">
        <f t="shared" si="2"/>
        <v>0</v>
      </c>
      <c r="J315" s="114">
        <f t="shared" si="3"/>
        <v>0</v>
      </c>
      <c r="K315" s="133">
        <f t="shared" si="4"/>
        <v>0</v>
      </c>
    </row>
    <row r="316" ht="18.0" customHeight="1">
      <c r="A316" s="134"/>
      <c r="B316" s="77"/>
      <c r="C316" s="77"/>
      <c r="D316" s="135" t="str">
        <f t="array" ref="D316">IFERROR(IF(C316="","",INDEX(PRODUK!$B:$B,MATCH(C316,PRODUK!$A:$A,0))),"")</f>
        <v/>
      </c>
      <c r="E316" s="117"/>
      <c r="F316" s="119">
        <f t="array" ref="F316">IFERROR(IF(C316="",0,INDEX(PRODUK!$F:$F,MATCH(C316,PRODUK!$A:$A,0))),0)</f>
        <v>0</v>
      </c>
      <c r="G316" s="118">
        <f t="shared" si="1"/>
        <v>0</v>
      </c>
      <c r="H316" s="118">
        <f t="array" ref="H316">IFERROR(IF(B316="",0,INDEX(HPP_ENGINE!$J:$J,MATCH(B316,HPP_ENGINE!$A:$A,0))),0)</f>
        <v>0</v>
      </c>
      <c r="I316" s="118">
        <f t="shared" si="2"/>
        <v>0</v>
      </c>
      <c r="J316" s="118">
        <f t="shared" si="3"/>
        <v>0</v>
      </c>
      <c r="K316" s="136">
        <f t="shared" si="4"/>
        <v>0</v>
      </c>
    </row>
    <row r="317" ht="18.0" customHeight="1">
      <c r="A317" s="132"/>
      <c r="B317" s="72"/>
      <c r="C317" s="72"/>
      <c r="D317" s="137" t="str">
        <f t="array" ref="D317">IFERROR(IF(C317="","",INDEX(PRODUK!$B:$B,MATCH(C317,PRODUK!$A:$A,0))),"")</f>
        <v/>
      </c>
      <c r="E317" s="113"/>
      <c r="F317" s="115">
        <f t="array" ref="F317">IFERROR(IF(C317="",0,INDEX(PRODUK!$F:$F,MATCH(C317,PRODUK!$A:$A,0))),0)</f>
        <v>0</v>
      </c>
      <c r="G317" s="114">
        <f t="shared" si="1"/>
        <v>0</v>
      </c>
      <c r="H317" s="114">
        <f t="array" ref="H317">IFERROR(IF(B317="",0,INDEX(HPP_ENGINE!$J:$J,MATCH(B317,HPP_ENGINE!$A:$A,0))),0)</f>
        <v>0</v>
      </c>
      <c r="I317" s="114">
        <f t="shared" si="2"/>
        <v>0</v>
      </c>
      <c r="J317" s="114">
        <f t="shared" si="3"/>
        <v>0</v>
      </c>
      <c r="K317" s="133">
        <f t="shared" si="4"/>
        <v>0</v>
      </c>
    </row>
    <row r="318" ht="18.0" customHeight="1">
      <c r="A318" s="134"/>
      <c r="B318" s="77"/>
      <c r="C318" s="77"/>
      <c r="D318" s="135" t="str">
        <f t="array" ref="D318">IFERROR(IF(C318="","",INDEX(PRODUK!$B:$B,MATCH(C318,PRODUK!$A:$A,0))),"")</f>
        <v/>
      </c>
      <c r="E318" s="117"/>
      <c r="F318" s="119">
        <f t="array" ref="F318">IFERROR(IF(C318="",0,INDEX(PRODUK!$F:$F,MATCH(C318,PRODUK!$A:$A,0))),0)</f>
        <v>0</v>
      </c>
      <c r="G318" s="118">
        <f t="shared" si="1"/>
        <v>0</v>
      </c>
      <c r="H318" s="118">
        <f t="array" ref="H318">IFERROR(IF(B318="",0,INDEX(HPP_ENGINE!$J:$J,MATCH(B318,HPP_ENGINE!$A:$A,0))),0)</f>
        <v>0</v>
      </c>
      <c r="I318" s="118">
        <f t="shared" si="2"/>
        <v>0</v>
      </c>
      <c r="J318" s="118">
        <f t="shared" si="3"/>
        <v>0</v>
      </c>
      <c r="K318" s="136">
        <f t="shared" si="4"/>
        <v>0</v>
      </c>
    </row>
    <row r="319" ht="18.0" customHeight="1">
      <c r="A319" s="132"/>
      <c r="B319" s="72"/>
      <c r="C319" s="72"/>
      <c r="D319" s="137" t="str">
        <f t="array" ref="D319">IFERROR(IF(C319="","",INDEX(PRODUK!$B:$B,MATCH(C319,PRODUK!$A:$A,0))),"")</f>
        <v/>
      </c>
      <c r="E319" s="113"/>
      <c r="F319" s="115">
        <f t="array" ref="F319">IFERROR(IF(C319="",0,INDEX(PRODUK!$F:$F,MATCH(C319,PRODUK!$A:$A,0))),0)</f>
        <v>0</v>
      </c>
      <c r="G319" s="114">
        <f t="shared" si="1"/>
        <v>0</v>
      </c>
      <c r="H319" s="114">
        <f t="array" ref="H319">IFERROR(IF(B319="",0,INDEX(HPP_ENGINE!$J:$J,MATCH(B319,HPP_ENGINE!$A:$A,0))),0)</f>
        <v>0</v>
      </c>
      <c r="I319" s="114">
        <f t="shared" si="2"/>
        <v>0</v>
      </c>
      <c r="J319" s="114">
        <f t="shared" si="3"/>
        <v>0</v>
      </c>
      <c r="K319" s="133">
        <f t="shared" si="4"/>
        <v>0</v>
      </c>
    </row>
    <row r="320" ht="18.0" customHeight="1">
      <c r="A320" s="134"/>
      <c r="B320" s="77"/>
      <c r="C320" s="77"/>
      <c r="D320" s="135" t="str">
        <f t="array" ref="D320">IFERROR(IF(C320="","",INDEX(PRODUK!$B:$B,MATCH(C320,PRODUK!$A:$A,0))),"")</f>
        <v/>
      </c>
      <c r="E320" s="117"/>
      <c r="F320" s="119">
        <f t="array" ref="F320">IFERROR(IF(C320="",0,INDEX(PRODUK!$F:$F,MATCH(C320,PRODUK!$A:$A,0))),0)</f>
        <v>0</v>
      </c>
      <c r="G320" s="118">
        <f t="shared" si="1"/>
        <v>0</v>
      </c>
      <c r="H320" s="118">
        <f t="array" ref="H320">IFERROR(IF(B320="",0,INDEX(HPP_ENGINE!$J:$J,MATCH(B320,HPP_ENGINE!$A:$A,0))),0)</f>
        <v>0</v>
      </c>
      <c r="I320" s="118">
        <f t="shared" si="2"/>
        <v>0</v>
      </c>
      <c r="J320" s="118">
        <f t="shared" si="3"/>
        <v>0</v>
      </c>
      <c r="K320" s="136">
        <f t="shared" si="4"/>
        <v>0</v>
      </c>
    </row>
    <row r="321" ht="18.0" customHeight="1">
      <c r="A321" s="132"/>
      <c r="B321" s="72"/>
      <c r="C321" s="72"/>
      <c r="D321" s="137" t="str">
        <f t="array" ref="D321">IFERROR(IF(C321="","",INDEX(PRODUK!$B:$B,MATCH(C321,PRODUK!$A:$A,0))),"")</f>
        <v/>
      </c>
      <c r="E321" s="113"/>
      <c r="F321" s="115">
        <f t="array" ref="F321">IFERROR(IF(C321="",0,INDEX(PRODUK!$F:$F,MATCH(C321,PRODUK!$A:$A,0))),0)</f>
        <v>0</v>
      </c>
      <c r="G321" s="114">
        <f t="shared" si="1"/>
        <v>0</v>
      </c>
      <c r="H321" s="114">
        <f t="array" ref="H321">IFERROR(IF(B321="",0,INDEX(HPP_ENGINE!$J:$J,MATCH(B321,HPP_ENGINE!$A:$A,0))),0)</f>
        <v>0</v>
      </c>
      <c r="I321" s="114">
        <f t="shared" si="2"/>
        <v>0</v>
      </c>
      <c r="J321" s="114">
        <f t="shared" si="3"/>
        <v>0</v>
      </c>
      <c r="K321" s="133">
        <f t="shared" si="4"/>
        <v>0</v>
      </c>
    </row>
    <row r="322" ht="18.0" customHeight="1">
      <c r="A322" s="134"/>
      <c r="B322" s="77"/>
      <c r="C322" s="77"/>
      <c r="D322" s="135" t="str">
        <f t="array" ref="D322">IFERROR(IF(C322="","",INDEX(PRODUK!$B:$B,MATCH(C322,PRODUK!$A:$A,0))),"")</f>
        <v/>
      </c>
      <c r="E322" s="117"/>
      <c r="F322" s="119">
        <f t="array" ref="F322">IFERROR(IF(C322="",0,INDEX(PRODUK!$F:$F,MATCH(C322,PRODUK!$A:$A,0))),0)</f>
        <v>0</v>
      </c>
      <c r="G322" s="118">
        <f t="shared" si="1"/>
        <v>0</v>
      </c>
      <c r="H322" s="118">
        <f t="array" ref="H322">IFERROR(IF(B322="",0,INDEX(HPP_ENGINE!$J:$J,MATCH(B322,HPP_ENGINE!$A:$A,0))),0)</f>
        <v>0</v>
      </c>
      <c r="I322" s="118">
        <f t="shared" si="2"/>
        <v>0</v>
      </c>
      <c r="J322" s="118">
        <f t="shared" si="3"/>
        <v>0</v>
      </c>
      <c r="K322" s="136">
        <f t="shared" si="4"/>
        <v>0</v>
      </c>
    </row>
    <row r="323" ht="18.0" customHeight="1">
      <c r="A323" s="132"/>
      <c r="B323" s="72"/>
      <c r="C323" s="72"/>
      <c r="D323" s="137" t="str">
        <f t="array" ref="D323">IFERROR(IF(C323="","",INDEX(PRODUK!$B:$B,MATCH(C323,PRODUK!$A:$A,0))),"")</f>
        <v/>
      </c>
      <c r="E323" s="113"/>
      <c r="F323" s="115">
        <f t="array" ref="F323">IFERROR(IF(C323="",0,INDEX(PRODUK!$F:$F,MATCH(C323,PRODUK!$A:$A,0))),0)</f>
        <v>0</v>
      </c>
      <c r="G323" s="114">
        <f t="shared" si="1"/>
        <v>0</v>
      </c>
      <c r="H323" s="114">
        <f t="array" ref="H323">IFERROR(IF(B323="",0,INDEX(HPP_ENGINE!$J:$J,MATCH(B323,HPP_ENGINE!$A:$A,0))),0)</f>
        <v>0</v>
      </c>
      <c r="I323" s="114">
        <f t="shared" si="2"/>
        <v>0</v>
      </c>
      <c r="J323" s="114">
        <f t="shared" si="3"/>
        <v>0</v>
      </c>
      <c r="K323" s="133">
        <f t="shared" si="4"/>
        <v>0</v>
      </c>
    </row>
    <row r="324" ht="18.0" customHeight="1">
      <c r="A324" s="134"/>
      <c r="B324" s="77"/>
      <c r="C324" s="77"/>
      <c r="D324" s="135" t="str">
        <f t="array" ref="D324">IFERROR(IF(C324="","",INDEX(PRODUK!$B:$B,MATCH(C324,PRODUK!$A:$A,0))),"")</f>
        <v/>
      </c>
      <c r="E324" s="117"/>
      <c r="F324" s="119">
        <f t="array" ref="F324">IFERROR(IF(C324="",0,INDEX(PRODUK!$F:$F,MATCH(C324,PRODUK!$A:$A,0))),0)</f>
        <v>0</v>
      </c>
      <c r="G324" s="118">
        <f t="shared" si="1"/>
        <v>0</v>
      </c>
      <c r="H324" s="118">
        <f t="array" ref="H324">IFERROR(IF(B324="",0,INDEX(HPP_ENGINE!$J:$J,MATCH(B324,HPP_ENGINE!$A:$A,0))),0)</f>
        <v>0</v>
      </c>
      <c r="I324" s="118">
        <f t="shared" si="2"/>
        <v>0</v>
      </c>
      <c r="J324" s="118">
        <f t="shared" si="3"/>
        <v>0</v>
      </c>
      <c r="K324" s="136">
        <f t="shared" si="4"/>
        <v>0</v>
      </c>
    </row>
    <row r="325" ht="18.0" customHeight="1">
      <c r="A325" s="132"/>
      <c r="B325" s="72"/>
      <c r="C325" s="72"/>
      <c r="D325" s="137" t="str">
        <f t="array" ref="D325">IFERROR(IF(C325="","",INDEX(PRODUK!$B:$B,MATCH(C325,PRODUK!$A:$A,0))),"")</f>
        <v/>
      </c>
      <c r="E325" s="113"/>
      <c r="F325" s="115">
        <f t="array" ref="F325">IFERROR(IF(C325="",0,INDEX(PRODUK!$F:$F,MATCH(C325,PRODUK!$A:$A,0))),0)</f>
        <v>0</v>
      </c>
      <c r="G325" s="114">
        <f t="shared" si="1"/>
        <v>0</v>
      </c>
      <c r="H325" s="114">
        <f t="array" ref="H325">IFERROR(IF(B325="",0,INDEX(HPP_ENGINE!$J:$J,MATCH(B325,HPP_ENGINE!$A:$A,0))),0)</f>
        <v>0</v>
      </c>
      <c r="I325" s="114">
        <f t="shared" si="2"/>
        <v>0</v>
      </c>
      <c r="J325" s="114">
        <f t="shared" si="3"/>
        <v>0</v>
      </c>
      <c r="K325" s="133">
        <f t="shared" si="4"/>
        <v>0</v>
      </c>
    </row>
    <row r="326" ht="18.0" customHeight="1">
      <c r="A326" s="134"/>
      <c r="B326" s="77"/>
      <c r="C326" s="77"/>
      <c r="D326" s="135" t="str">
        <f t="array" ref="D326">IFERROR(IF(C326="","",INDEX(PRODUK!$B:$B,MATCH(C326,PRODUK!$A:$A,0))),"")</f>
        <v/>
      </c>
      <c r="E326" s="117"/>
      <c r="F326" s="119">
        <f t="array" ref="F326">IFERROR(IF(C326="",0,INDEX(PRODUK!$F:$F,MATCH(C326,PRODUK!$A:$A,0))),0)</f>
        <v>0</v>
      </c>
      <c r="G326" s="118">
        <f t="shared" si="1"/>
        <v>0</v>
      </c>
      <c r="H326" s="118">
        <f t="array" ref="H326">IFERROR(IF(B326="",0,INDEX(HPP_ENGINE!$J:$J,MATCH(B326,HPP_ENGINE!$A:$A,0))),0)</f>
        <v>0</v>
      </c>
      <c r="I326" s="118">
        <f t="shared" si="2"/>
        <v>0</v>
      </c>
      <c r="J326" s="118">
        <f t="shared" si="3"/>
        <v>0</v>
      </c>
      <c r="K326" s="136">
        <f t="shared" si="4"/>
        <v>0</v>
      </c>
    </row>
    <row r="327" ht="18.0" customHeight="1">
      <c r="A327" s="132"/>
      <c r="B327" s="72"/>
      <c r="C327" s="72"/>
      <c r="D327" s="137" t="str">
        <f t="array" ref="D327">IFERROR(IF(C327="","",INDEX(PRODUK!$B:$B,MATCH(C327,PRODUK!$A:$A,0))),"")</f>
        <v/>
      </c>
      <c r="E327" s="113"/>
      <c r="F327" s="115">
        <f t="array" ref="F327">IFERROR(IF(C327="",0,INDEX(PRODUK!$F:$F,MATCH(C327,PRODUK!$A:$A,0))),0)</f>
        <v>0</v>
      </c>
      <c r="G327" s="114">
        <f t="shared" si="1"/>
        <v>0</v>
      </c>
      <c r="H327" s="114">
        <f t="array" ref="H327">IFERROR(IF(B327="",0,INDEX(HPP_ENGINE!$J:$J,MATCH(B327,HPP_ENGINE!$A:$A,0))),0)</f>
        <v>0</v>
      </c>
      <c r="I327" s="114">
        <f t="shared" si="2"/>
        <v>0</v>
      </c>
      <c r="J327" s="114">
        <f t="shared" si="3"/>
        <v>0</v>
      </c>
      <c r="K327" s="133">
        <f t="shared" si="4"/>
        <v>0</v>
      </c>
    </row>
    <row r="328" ht="18.0" customHeight="1">
      <c r="A328" s="134"/>
      <c r="B328" s="77"/>
      <c r="C328" s="77"/>
      <c r="D328" s="135" t="str">
        <f t="array" ref="D328">IFERROR(IF(C328="","",INDEX(PRODUK!$B:$B,MATCH(C328,PRODUK!$A:$A,0))),"")</f>
        <v/>
      </c>
      <c r="E328" s="117"/>
      <c r="F328" s="119">
        <f t="array" ref="F328">IFERROR(IF(C328="",0,INDEX(PRODUK!$F:$F,MATCH(C328,PRODUK!$A:$A,0))),0)</f>
        <v>0</v>
      </c>
      <c r="G328" s="118">
        <f t="shared" si="1"/>
        <v>0</v>
      </c>
      <c r="H328" s="118">
        <f t="array" ref="H328">IFERROR(IF(B328="",0,INDEX(HPP_ENGINE!$J:$J,MATCH(B328,HPP_ENGINE!$A:$A,0))),0)</f>
        <v>0</v>
      </c>
      <c r="I328" s="118">
        <f t="shared" si="2"/>
        <v>0</v>
      </c>
      <c r="J328" s="118">
        <f t="shared" si="3"/>
        <v>0</v>
      </c>
      <c r="K328" s="136">
        <f t="shared" si="4"/>
        <v>0</v>
      </c>
    </row>
    <row r="329" ht="18.0" customHeight="1">
      <c r="A329" s="132"/>
      <c r="B329" s="72"/>
      <c r="C329" s="72"/>
      <c r="D329" s="137" t="str">
        <f t="array" ref="D329">IFERROR(IF(C329="","",INDEX(PRODUK!$B:$B,MATCH(C329,PRODUK!$A:$A,0))),"")</f>
        <v/>
      </c>
      <c r="E329" s="113"/>
      <c r="F329" s="115">
        <f t="array" ref="F329">IFERROR(IF(C329="",0,INDEX(PRODUK!$F:$F,MATCH(C329,PRODUK!$A:$A,0))),0)</f>
        <v>0</v>
      </c>
      <c r="G329" s="114">
        <f t="shared" si="1"/>
        <v>0</v>
      </c>
      <c r="H329" s="114">
        <f t="array" ref="H329">IFERROR(IF(B329="",0,INDEX(HPP_ENGINE!$J:$J,MATCH(B329,HPP_ENGINE!$A:$A,0))),0)</f>
        <v>0</v>
      </c>
      <c r="I329" s="114">
        <f t="shared" si="2"/>
        <v>0</v>
      </c>
      <c r="J329" s="114">
        <f t="shared" si="3"/>
        <v>0</v>
      </c>
      <c r="K329" s="133">
        <f t="shared" si="4"/>
        <v>0</v>
      </c>
    </row>
    <row r="330" ht="18.0" customHeight="1">
      <c r="A330" s="134"/>
      <c r="B330" s="77"/>
      <c r="C330" s="77"/>
      <c r="D330" s="135" t="str">
        <f t="array" ref="D330">IFERROR(IF(C330="","",INDEX(PRODUK!$B:$B,MATCH(C330,PRODUK!$A:$A,0))),"")</f>
        <v/>
      </c>
      <c r="E330" s="117"/>
      <c r="F330" s="119">
        <f t="array" ref="F330">IFERROR(IF(C330="",0,INDEX(PRODUK!$F:$F,MATCH(C330,PRODUK!$A:$A,0))),0)</f>
        <v>0</v>
      </c>
      <c r="G330" s="118">
        <f t="shared" si="1"/>
        <v>0</v>
      </c>
      <c r="H330" s="118">
        <f t="array" ref="H330">IFERROR(IF(B330="",0,INDEX(HPP_ENGINE!$J:$J,MATCH(B330,HPP_ENGINE!$A:$A,0))),0)</f>
        <v>0</v>
      </c>
      <c r="I330" s="118">
        <f t="shared" si="2"/>
        <v>0</v>
      </c>
      <c r="J330" s="118">
        <f t="shared" si="3"/>
        <v>0</v>
      </c>
      <c r="K330" s="136">
        <f t="shared" si="4"/>
        <v>0</v>
      </c>
    </row>
    <row r="331" ht="18.0" customHeight="1">
      <c r="A331" s="132"/>
      <c r="B331" s="72"/>
      <c r="C331" s="72"/>
      <c r="D331" s="137" t="str">
        <f t="array" ref="D331">IFERROR(IF(C331="","",INDEX(PRODUK!$B:$B,MATCH(C331,PRODUK!$A:$A,0))),"")</f>
        <v/>
      </c>
      <c r="E331" s="113"/>
      <c r="F331" s="115">
        <f t="array" ref="F331">IFERROR(IF(C331="",0,INDEX(PRODUK!$F:$F,MATCH(C331,PRODUK!$A:$A,0))),0)</f>
        <v>0</v>
      </c>
      <c r="G331" s="114">
        <f t="shared" si="1"/>
        <v>0</v>
      </c>
      <c r="H331" s="114">
        <f t="array" ref="H331">IFERROR(IF(B331="",0,INDEX(HPP_ENGINE!$J:$J,MATCH(B331,HPP_ENGINE!$A:$A,0))),0)</f>
        <v>0</v>
      </c>
      <c r="I331" s="114">
        <f t="shared" si="2"/>
        <v>0</v>
      </c>
      <c r="J331" s="114">
        <f t="shared" si="3"/>
        <v>0</v>
      </c>
      <c r="K331" s="133">
        <f t="shared" si="4"/>
        <v>0</v>
      </c>
    </row>
    <row r="332" ht="18.0" customHeight="1">
      <c r="A332" s="134"/>
      <c r="B332" s="77"/>
      <c r="C332" s="77"/>
      <c r="D332" s="135" t="str">
        <f t="array" ref="D332">IFERROR(IF(C332="","",INDEX(PRODUK!$B:$B,MATCH(C332,PRODUK!$A:$A,0))),"")</f>
        <v/>
      </c>
      <c r="E332" s="117"/>
      <c r="F332" s="119">
        <f t="array" ref="F332">IFERROR(IF(C332="",0,INDEX(PRODUK!$F:$F,MATCH(C332,PRODUK!$A:$A,0))),0)</f>
        <v>0</v>
      </c>
      <c r="G332" s="118">
        <f t="shared" si="1"/>
        <v>0</v>
      </c>
      <c r="H332" s="118">
        <f t="array" ref="H332">IFERROR(IF(B332="",0,INDEX(HPP_ENGINE!$J:$J,MATCH(B332,HPP_ENGINE!$A:$A,0))),0)</f>
        <v>0</v>
      </c>
      <c r="I332" s="118">
        <f t="shared" si="2"/>
        <v>0</v>
      </c>
      <c r="J332" s="118">
        <f t="shared" si="3"/>
        <v>0</v>
      </c>
      <c r="K332" s="136">
        <f t="shared" si="4"/>
        <v>0</v>
      </c>
    </row>
    <row r="333" ht="18.0" customHeight="1">
      <c r="A333" s="132"/>
      <c r="B333" s="72"/>
      <c r="C333" s="72"/>
      <c r="D333" s="137" t="str">
        <f t="array" ref="D333">IFERROR(IF(C333="","",INDEX(PRODUK!$B:$B,MATCH(C333,PRODUK!$A:$A,0))),"")</f>
        <v/>
      </c>
      <c r="E333" s="113"/>
      <c r="F333" s="115">
        <f t="array" ref="F333">IFERROR(IF(C333="",0,INDEX(PRODUK!$F:$F,MATCH(C333,PRODUK!$A:$A,0))),0)</f>
        <v>0</v>
      </c>
      <c r="G333" s="114">
        <f t="shared" si="1"/>
        <v>0</v>
      </c>
      <c r="H333" s="114">
        <f t="array" ref="H333">IFERROR(IF(B333="",0,INDEX(HPP_ENGINE!$J:$J,MATCH(B333,HPP_ENGINE!$A:$A,0))),0)</f>
        <v>0</v>
      </c>
      <c r="I333" s="114">
        <f t="shared" si="2"/>
        <v>0</v>
      </c>
      <c r="J333" s="114">
        <f t="shared" si="3"/>
        <v>0</v>
      </c>
      <c r="K333" s="133">
        <f t="shared" si="4"/>
        <v>0</v>
      </c>
    </row>
    <row r="334" ht="18.0" customHeight="1">
      <c r="A334" s="134"/>
      <c r="B334" s="77"/>
      <c r="C334" s="77"/>
      <c r="D334" s="135" t="str">
        <f t="array" ref="D334">IFERROR(IF(C334="","",INDEX(PRODUK!$B:$B,MATCH(C334,PRODUK!$A:$A,0))),"")</f>
        <v/>
      </c>
      <c r="E334" s="117"/>
      <c r="F334" s="119">
        <f t="array" ref="F334">IFERROR(IF(C334="",0,INDEX(PRODUK!$F:$F,MATCH(C334,PRODUK!$A:$A,0))),0)</f>
        <v>0</v>
      </c>
      <c r="G334" s="118">
        <f t="shared" si="1"/>
        <v>0</v>
      </c>
      <c r="H334" s="118">
        <f t="array" ref="H334">IFERROR(IF(B334="",0,INDEX(HPP_ENGINE!$J:$J,MATCH(B334,HPP_ENGINE!$A:$A,0))),0)</f>
        <v>0</v>
      </c>
      <c r="I334" s="118">
        <f t="shared" si="2"/>
        <v>0</v>
      </c>
      <c r="J334" s="118">
        <f t="shared" si="3"/>
        <v>0</v>
      </c>
      <c r="K334" s="136">
        <f t="shared" si="4"/>
        <v>0</v>
      </c>
    </row>
    <row r="335" ht="18.0" customHeight="1">
      <c r="A335" s="132"/>
      <c r="B335" s="72"/>
      <c r="C335" s="72"/>
      <c r="D335" s="137" t="str">
        <f t="array" ref="D335">IFERROR(IF(C335="","",INDEX(PRODUK!$B:$B,MATCH(C335,PRODUK!$A:$A,0))),"")</f>
        <v/>
      </c>
      <c r="E335" s="113"/>
      <c r="F335" s="115">
        <f t="array" ref="F335">IFERROR(IF(C335="",0,INDEX(PRODUK!$F:$F,MATCH(C335,PRODUK!$A:$A,0))),0)</f>
        <v>0</v>
      </c>
      <c r="G335" s="114">
        <f t="shared" si="1"/>
        <v>0</v>
      </c>
      <c r="H335" s="114">
        <f t="array" ref="H335">IFERROR(IF(B335="",0,INDEX(HPP_ENGINE!$J:$J,MATCH(B335,HPP_ENGINE!$A:$A,0))),0)</f>
        <v>0</v>
      </c>
      <c r="I335" s="114">
        <f t="shared" si="2"/>
        <v>0</v>
      </c>
      <c r="J335" s="114">
        <f t="shared" si="3"/>
        <v>0</v>
      </c>
      <c r="K335" s="133">
        <f t="shared" si="4"/>
        <v>0</v>
      </c>
    </row>
    <row r="336" ht="18.0" customHeight="1">
      <c r="A336" s="134"/>
      <c r="B336" s="77"/>
      <c r="C336" s="77"/>
      <c r="D336" s="135" t="str">
        <f t="array" ref="D336">IFERROR(IF(C336="","",INDEX(PRODUK!$B:$B,MATCH(C336,PRODUK!$A:$A,0))),"")</f>
        <v/>
      </c>
      <c r="E336" s="117"/>
      <c r="F336" s="119">
        <f t="array" ref="F336">IFERROR(IF(C336="",0,INDEX(PRODUK!$F:$F,MATCH(C336,PRODUK!$A:$A,0))),0)</f>
        <v>0</v>
      </c>
      <c r="G336" s="118">
        <f t="shared" si="1"/>
        <v>0</v>
      </c>
      <c r="H336" s="118">
        <f t="array" ref="H336">IFERROR(IF(B336="",0,INDEX(HPP_ENGINE!$J:$J,MATCH(B336,HPP_ENGINE!$A:$A,0))),0)</f>
        <v>0</v>
      </c>
      <c r="I336" s="118">
        <f t="shared" si="2"/>
        <v>0</v>
      </c>
      <c r="J336" s="118">
        <f t="shared" si="3"/>
        <v>0</v>
      </c>
      <c r="K336" s="136">
        <f t="shared" si="4"/>
        <v>0</v>
      </c>
    </row>
    <row r="337" ht="18.0" customHeight="1">
      <c r="A337" s="132"/>
      <c r="B337" s="72"/>
      <c r="C337" s="72"/>
      <c r="D337" s="137" t="str">
        <f t="array" ref="D337">IFERROR(IF(C337="","",INDEX(PRODUK!$B:$B,MATCH(C337,PRODUK!$A:$A,0))),"")</f>
        <v/>
      </c>
      <c r="E337" s="113"/>
      <c r="F337" s="115">
        <f t="array" ref="F337">IFERROR(IF(C337="",0,INDEX(PRODUK!$F:$F,MATCH(C337,PRODUK!$A:$A,0))),0)</f>
        <v>0</v>
      </c>
      <c r="G337" s="114">
        <f t="shared" si="1"/>
        <v>0</v>
      </c>
      <c r="H337" s="114">
        <f t="array" ref="H337">IFERROR(IF(B337="",0,INDEX(HPP_ENGINE!$J:$J,MATCH(B337,HPP_ENGINE!$A:$A,0))),0)</f>
        <v>0</v>
      </c>
      <c r="I337" s="114">
        <f t="shared" si="2"/>
        <v>0</v>
      </c>
      <c r="J337" s="114">
        <f t="shared" si="3"/>
        <v>0</v>
      </c>
      <c r="K337" s="133">
        <f t="shared" si="4"/>
        <v>0</v>
      </c>
    </row>
    <row r="338" ht="18.0" customHeight="1">
      <c r="A338" s="134"/>
      <c r="B338" s="77"/>
      <c r="C338" s="77"/>
      <c r="D338" s="135" t="str">
        <f t="array" ref="D338">IFERROR(IF(C338="","",INDEX(PRODUK!$B:$B,MATCH(C338,PRODUK!$A:$A,0))),"")</f>
        <v/>
      </c>
      <c r="E338" s="117"/>
      <c r="F338" s="119">
        <f t="array" ref="F338">IFERROR(IF(C338="",0,INDEX(PRODUK!$F:$F,MATCH(C338,PRODUK!$A:$A,0))),0)</f>
        <v>0</v>
      </c>
      <c r="G338" s="118">
        <f t="shared" si="1"/>
        <v>0</v>
      </c>
      <c r="H338" s="118">
        <f t="array" ref="H338">IFERROR(IF(B338="",0,INDEX(HPP_ENGINE!$J:$J,MATCH(B338,HPP_ENGINE!$A:$A,0))),0)</f>
        <v>0</v>
      </c>
      <c r="I338" s="118">
        <f t="shared" si="2"/>
        <v>0</v>
      </c>
      <c r="J338" s="118">
        <f t="shared" si="3"/>
        <v>0</v>
      </c>
      <c r="K338" s="136">
        <f t="shared" si="4"/>
        <v>0</v>
      </c>
    </row>
    <row r="339" ht="18.0" customHeight="1">
      <c r="A339" s="132"/>
      <c r="B339" s="72"/>
      <c r="C339" s="72"/>
      <c r="D339" s="137" t="str">
        <f t="array" ref="D339">IFERROR(IF(C339="","",INDEX(PRODUK!$B:$B,MATCH(C339,PRODUK!$A:$A,0))),"")</f>
        <v/>
      </c>
      <c r="E339" s="113"/>
      <c r="F339" s="115">
        <f t="array" ref="F339">IFERROR(IF(C339="",0,INDEX(PRODUK!$F:$F,MATCH(C339,PRODUK!$A:$A,0))),0)</f>
        <v>0</v>
      </c>
      <c r="G339" s="114">
        <f t="shared" si="1"/>
        <v>0</v>
      </c>
      <c r="H339" s="114">
        <f t="array" ref="H339">IFERROR(IF(B339="",0,INDEX(HPP_ENGINE!$J:$J,MATCH(B339,HPP_ENGINE!$A:$A,0))),0)</f>
        <v>0</v>
      </c>
      <c r="I339" s="114">
        <f t="shared" si="2"/>
        <v>0</v>
      </c>
      <c r="J339" s="114">
        <f t="shared" si="3"/>
        <v>0</v>
      </c>
      <c r="K339" s="133">
        <f t="shared" si="4"/>
        <v>0</v>
      </c>
    </row>
    <row r="340" ht="18.0" customHeight="1">
      <c r="A340" s="134"/>
      <c r="B340" s="77"/>
      <c r="C340" s="77"/>
      <c r="D340" s="135" t="str">
        <f t="array" ref="D340">IFERROR(IF(C340="","",INDEX(PRODUK!$B:$B,MATCH(C340,PRODUK!$A:$A,0))),"")</f>
        <v/>
      </c>
      <c r="E340" s="117"/>
      <c r="F340" s="119">
        <f t="array" ref="F340">IFERROR(IF(C340="",0,INDEX(PRODUK!$F:$F,MATCH(C340,PRODUK!$A:$A,0))),0)</f>
        <v>0</v>
      </c>
      <c r="G340" s="118">
        <f t="shared" si="1"/>
        <v>0</v>
      </c>
      <c r="H340" s="118">
        <f t="array" ref="H340">IFERROR(IF(B340="",0,INDEX(HPP_ENGINE!$J:$J,MATCH(B340,HPP_ENGINE!$A:$A,0))),0)</f>
        <v>0</v>
      </c>
      <c r="I340" s="118">
        <f t="shared" si="2"/>
        <v>0</v>
      </c>
      <c r="J340" s="118">
        <f t="shared" si="3"/>
        <v>0</v>
      </c>
      <c r="K340" s="136">
        <f t="shared" si="4"/>
        <v>0</v>
      </c>
    </row>
    <row r="341" ht="18.0" customHeight="1">
      <c r="A341" s="132"/>
      <c r="B341" s="72"/>
      <c r="C341" s="72"/>
      <c r="D341" s="137" t="str">
        <f t="array" ref="D341">IFERROR(IF(C341="","",INDEX(PRODUK!$B:$B,MATCH(C341,PRODUK!$A:$A,0))),"")</f>
        <v/>
      </c>
      <c r="E341" s="113"/>
      <c r="F341" s="115">
        <f t="array" ref="F341">IFERROR(IF(C341="",0,INDEX(PRODUK!$F:$F,MATCH(C341,PRODUK!$A:$A,0))),0)</f>
        <v>0</v>
      </c>
      <c r="G341" s="114">
        <f t="shared" si="1"/>
        <v>0</v>
      </c>
      <c r="H341" s="114">
        <f t="array" ref="H341">IFERROR(IF(B341="",0,INDEX(HPP_ENGINE!$J:$J,MATCH(B341,HPP_ENGINE!$A:$A,0))),0)</f>
        <v>0</v>
      </c>
      <c r="I341" s="114">
        <f t="shared" si="2"/>
        <v>0</v>
      </c>
      <c r="J341" s="114">
        <f t="shared" si="3"/>
        <v>0</v>
      </c>
      <c r="K341" s="133">
        <f t="shared" si="4"/>
        <v>0</v>
      </c>
    </row>
    <row r="342" ht="18.0" customHeight="1">
      <c r="A342" s="134"/>
      <c r="B342" s="77"/>
      <c r="C342" s="77"/>
      <c r="D342" s="135" t="str">
        <f t="array" ref="D342">IFERROR(IF(C342="","",INDEX(PRODUK!$B:$B,MATCH(C342,PRODUK!$A:$A,0))),"")</f>
        <v/>
      </c>
      <c r="E342" s="117"/>
      <c r="F342" s="119">
        <f t="array" ref="F342">IFERROR(IF(C342="",0,INDEX(PRODUK!$F:$F,MATCH(C342,PRODUK!$A:$A,0))),0)</f>
        <v>0</v>
      </c>
      <c r="G342" s="118">
        <f t="shared" si="1"/>
        <v>0</v>
      </c>
      <c r="H342" s="118">
        <f t="array" ref="H342">IFERROR(IF(B342="",0,INDEX(HPP_ENGINE!$J:$J,MATCH(B342,HPP_ENGINE!$A:$A,0))),0)</f>
        <v>0</v>
      </c>
      <c r="I342" s="118">
        <f t="shared" si="2"/>
        <v>0</v>
      </c>
      <c r="J342" s="118">
        <f t="shared" si="3"/>
        <v>0</v>
      </c>
      <c r="K342" s="136">
        <f t="shared" si="4"/>
        <v>0</v>
      </c>
    </row>
    <row r="343" ht="18.0" customHeight="1">
      <c r="A343" s="132"/>
      <c r="B343" s="72"/>
      <c r="C343" s="72"/>
      <c r="D343" s="137" t="str">
        <f t="array" ref="D343">IFERROR(IF(C343="","",INDEX(PRODUK!$B:$B,MATCH(C343,PRODUK!$A:$A,0))),"")</f>
        <v/>
      </c>
      <c r="E343" s="113"/>
      <c r="F343" s="115">
        <f t="array" ref="F343">IFERROR(IF(C343="",0,INDEX(PRODUK!$F:$F,MATCH(C343,PRODUK!$A:$A,0))),0)</f>
        <v>0</v>
      </c>
      <c r="G343" s="114">
        <f t="shared" si="1"/>
        <v>0</v>
      </c>
      <c r="H343" s="114">
        <f t="array" ref="H343">IFERROR(IF(B343="",0,INDEX(HPP_ENGINE!$J:$J,MATCH(B343,HPP_ENGINE!$A:$A,0))),0)</f>
        <v>0</v>
      </c>
      <c r="I343" s="114">
        <f t="shared" si="2"/>
        <v>0</v>
      </c>
      <c r="J343" s="114">
        <f t="shared" si="3"/>
        <v>0</v>
      </c>
      <c r="K343" s="133">
        <f t="shared" si="4"/>
        <v>0</v>
      </c>
    </row>
    <row r="344" ht="18.0" customHeight="1">
      <c r="A344" s="134"/>
      <c r="B344" s="77"/>
      <c r="C344" s="77"/>
      <c r="D344" s="135" t="str">
        <f t="array" ref="D344">IFERROR(IF(C344="","",INDEX(PRODUK!$B:$B,MATCH(C344,PRODUK!$A:$A,0))),"")</f>
        <v/>
      </c>
      <c r="E344" s="117"/>
      <c r="F344" s="119">
        <f t="array" ref="F344">IFERROR(IF(C344="",0,INDEX(PRODUK!$F:$F,MATCH(C344,PRODUK!$A:$A,0))),0)</f>
        <v>0</v>
      </c>
      <c r="G344" s="118">
        <f t="shared" si="1"/>
        <v>0</v>
      </c>
      <c r="H344" s="118">
        <f t="array" ref="H344">IFERROR(IF(B344="",0,INDEX(HPP_ENGINE!$J:$J,MATCH(B344,HPP_ENGINE!$A:$A,0))),0)</f>
        <v>0</v>
      </c>
      <c r="I344" s="118">
        <f t="shared" si="2"/>
        <v>0</v>
      </c>
      <c r="J344" s="118">
        <f t="shared" si="3"/>
        <v>0</v>
      </c>
      <c r="K344" s="136">
        <f t="shared" si="4"/>
        <v>0</v>
      </c>
    </row>
    <row r="345" ht="18.0" customHeight="1">
      <c r="A345" s="132"/>
      <c r="B345" s="72"/>
      <c r="C345" s="72"/>
      <c r="D345" s="137" t="str">
        <f t="array" ref="D345">IFERROR(IF(C345="","",INDEX(PRODUK!$B:$B,MATCH(C345,PRODUK!$A:$A,0))),"")</f>
        <v/>
      </c>
      <c r="E345" s="113"/>
      <c r="F345" s="115">
        <f t="array" ref="F345">IFERROR(IF(C345="",0,INDEX(PRODUK!$F:$F,MATCH(C345,PRODUK!$A:$A,0))),0)</f>
        <v>0</v>
      </c>
      <c r="G345" s="114">
        <f t="shared" si="1"/>
        <v>0</v>
      </c>
      <c r="H345" s="114">
        <f t="array" ref="H345">IFERROR(IF(B345="",0,INDEX(HPP_ENGINE!$J:$J,MATCH(B345,HPP_ENGINE!$A:$A,0))),0)</f>
        <v>0</v>
      </c>
      <c r="I345" s="114">
        <f t="shared" si="2"/>
        <v>0</v>
      </c>
      <c r="J345" s="114">
        <f t="shared" si="3"/>
        <v>0</v>
      </c>
      <c r="K345" s="133">
        <f t="shared" si="4"/>
        <v>0</v>
      </c>
    </row>
    <row r="346" ht="18.0" customHeight="1">
      <c r="A346" s="134"/>
      <c r="B346" s="77"/>
      <c r="C346" s="77"/>
      <c r="D346" s="135" t="str">
        <f t="array" ref="D346">IFERROR(IF(C346="","",INDEX(PRODUK!$B:$B,MATCH(C346,PRODUK!$A:$A,0))),"")</f>
        <v/>
      </c>
      <c r="E346" s="117"/>
      <c r="F346" s="119">
        <f t="array" ref="F346">IFERROR(IF(C346="",0,INDEX(PRODUK!$F:$F,MATCH(C346,PRODUK!$A:$A,0))),0)</f>
        <v>0</v>
      </c>
      <c r="G346" s="118">
        <f t="shared" si="1"/>
        <v>0</v>
      </c>
      <c r="H346" s="118">
        <f t="array" ref="H346">IFERROR(IF(B346="",0,INDEX(HPP_ENGINE!$J:$J,MATCH(B346,HPP_ENGINE!$A:$A,0))),0)</f>
        <v>0</v>
      </c>
      <c r="I346" s="118">
        <f t="shared" si="2"/>
        <v>0</v>
      </c>
      <c r="J346" s="118">
        <f t="shared" si="3"/>
        <v>0</v>
      </c>
      <c r="K346" s="136">
        <f t="shared" si="4"/>
        <v>0</v>
      </c>
    </row>
    <row r="347" ht="18.0" customHeight="1">
      <c r="A347" s="132"/>
      <c r="B347" s="72"/>
      <c r="C347" s="72"/>
      <c r="D347" s="137" t="str">
        <f t="array" ref="D347">IFERROR(IF(C347="","",INDEX(PRODUK!$B:$B,MATCH(C347,PRODUK!$A:$A,0))),"")</f>
        <v/>
      </c>
      <c r="E347" s="113"/>
      <c r="F347" s="115">
        <f t="array" ref="F347">IFERROR(IF(C347="",0,INDEX(PRODUK!$F:$F,MATCH(C347,PRODUK!$A:$A,0))),0)</f>
        <v>0</v>
      </c>
      <c r="G347" s="114">
        <f t="shared" si="1"/>
        <v>0</v>
      </c>
      <c r="H347" s="114">
        <f t="array" ref="H347">IFERROR(IF(B347="",0,INDEX(HPP_ENGINE!$J:$J,MATCH(B347,HPP_ENGINE!$A:$A,0))),0)</f>
        <v>0</v>
      </c>
      <c r="I347" s="114">
        <f t="shared" si="2"/>
        <v>0</v>
      </c>
      <c r="J347" s="114">
        <f t="shared" si="3"/>
        <v>0</v>
      </c>
      <c r="K347" s="133">
        <f t="shared" si="4"/>
        <v>0</v>
      </c>
    </row>
    <row r="348" ht="18.0" customHeight="1">
      <c r="A348" s="134"/>
      <c r="B348" s="77"/>
      <c r="C348" s="77"/>
      <c r="D348" s="135" t="str">
        <f t="array" ref="D348">IFERROR(IF(C348="","",INDEX(PRODUK!$B:$B,MATCH(C348,PRODUK!$A:$A,0))),"")</f>
        <v/>
      </c>
      <c r="E348" s="117"/>
      <c r="F348" s="119">
        <f t="array" ref="F348">IFERROR(IF(C348="",0,INDEX(PRODUK!$F:$F,MATCH(C348,PRODUK!$A:$A,0))),0)</f>
        <v>0</v>
      </c>
      <c r="G348" s="118">
        <f t="shared" si="1"/>
        <v>0</v>
      </c>
      <c r="H348" s="118">
        <f t="array" ref="H348">IFERROR(IF(B348="",0,INDEX(HPP_ENGINE!$J:$J,MATCH(B348,HPP_ENGINE!$A:$A,0))),0)</f>
        <v>0</v>
      </c>
      <c r="I348" s="118">
        <f t="shared" si="2"/>
        <v>0</v>
      </c>
      <c r="J348" s="118">
        <f t="shared" si="3"/>
        <v>0</v>
      </c>
      <c r="K348" s="136">
        <f t="shared" si="4"/>
        <v>0</v>
      </c>
    </row>
    <row r="349" ht="18.0" customHeight="1">
      <c r="A349" s="132"/>
      <c r="B349" s="72"/>
      <c r="C349" s="72"/>
      <c r="D349" s="137" t="str">
        <f t="array" ref="D349">IFERROR(IF(C349="","",INDEX(PRODUK!$B:$B,MATCH(C349,PRODUK!$A:$A,0))),"")</f>
        <v/>
      </c>
      <c r="E349" s="113"/>
      <c r="F349" s="115">
        <f t="array" ref="F349">IFERROR(IF(C349="",0,INDEX(PRODUK!$F:$F,MATCH(C349,PRODUK!$A:$A,0))),0)</f>
        <v>0</v>
      </c>
      <c r="G349" s="114">
        <f t="shared" si="1"/>
        <v>0</v>
      </c>
      <c r="H349" s="114">
        <f t="array" ref="H349">IFERROR(IF(B349="",0,INDEX(HPP_ENGINE!$J:$J,MATCH(B349,HPP_ENGINE!$A:$A,0))),0)</f>
        <v>0</v>
      </c>
      <c r="I349" s="114">
        <f t="shared" si="2"/>
        <v>0</v>
      </c>
      <c r="J349" s="114">
        <f t="shared" si="3"/>
        <v>0</v>
      </c>
      <c r="K349" s="133">
        <f t="shared" si="4"/>
        <v>0</v>
      </c>
    </row>
    <row r="350" ht="18.0" customHeight="1">
      <c r="A350" s="134"/>
      <c r="B350" s="77"/>
      <c r="C350" s="77"/>
      <c r="D350" s="135" t="str">
        <f t="array" ref="D350">IFERROR(IF(C350="","",INDEX(PRODUK!$B:$B,MATCH(C350,PRODUK!$A:$A,0))),"")</f>
        <v/>
      </c>
      <c r="E350" s="117"/>
      <c r="F350" s="119">
        <f t="array" ref="F350">IFERROR(IF(C350="",0,INDEX(PRODUK!$F:$F,MATCH(C350,PRODUK!$A:$A,0))),0)</f>
        <v>0</v>
      </c>
      <c r="G350" s="118">
        <f t="shared" si="1"/>
        <v>0</v>
      </c>
      <c r="H350" s="118">
        <f t="array" ref="H350">IFERROR(IF(B350="",0,INDEX(HPP_ENGINE!$J:$J,MATCH(B350,HPP_ENGINE!$A:$A,0))),0)</f>
        <v>0</v>
      </c>
      <c r="I350" s="118">
        <f t="shared" si="2"/>
        <v>0</v>
      </c>
      <c r="J350" s="118">
        <f t="shared" si="3"/>
        <v>0</v>
      </c>
      <c r="K350" s="136">
        <f t="shared" si="4"/>
        <v>0</v>
      </c>
    </row>
    <row r="351" ht="18.0" customHeight="1">
      <c r="A351" s="132"/>
      <c r="B351" s="72"/>
      <c r="C351" s="72"/>
      <c r="D351" s="137" t="str">
        <f t="array" ref="D351">IFERROR(IF(C351="","",INDEX(PRODUK!$B:$B,MATCH(C351,PRODUK!$A:$A,0))),"")</f>
        <v/>
      </c>
      <c r="E351" s="113"/>
      <c r="F351" s="115">
        <f t="array" ref="F351">IFERROR(IF(C351="",0,INDEX(PRODUK!$F:$F,MATCH(C351,PRODUK!$A:$A,0))),0)</f>
        <v>0</v>
      </c>
      <c r="G351" s="114">
        <f t="shared" si="1"/>
        <v>0</v>
      </c>
      <c r="H351" s="114">
        <f t="array" ref="H351">IFERROR(IF(B351="",0,INDEX(HPP_ENGINE!$J:$J,MATCH(B351,HPP_ENGINE!$A:$A,0))),0)</f>
        <v>0</v>
      </c>
      <c r="I351" s="114">
        <f t="shared" si="2"/>
        <v>0</v>
      </c>
      <c r="J351" s="114">
        <f t="shared" si="3"/>
        <v>0</v>
      </c>
      <c r="K351" s="133">
        <f t="shared" si="4"/>
        <v>0</v>
      </c>
    </row>
    <row r="352" ht="18.0" customHeight="1">
      <c r="A352" s="134"/>
      <c r="B352" s="77"/>
      <c r="C352" s="77"/>
      <c r="D352" s="135" t="str">
        <f t="array" ref="D352">IFERROR(IF(C352="","",INDEX(PRODUK!$B:$B,MATCH(C352,PRODUK!$A:$A,0))),"")</f>
        <v/>
      </c>
      <c r="E352" s="117"/>
      <c r="F352" s="119">
        <f t="array" ref="F352">IFERROR(IF(C352="",0,INDEX(PRODUK!$F:$F,MATCH(C352,PRODUK!$A:$A,0))),0)</f>
        <v>0</v>
      </c>
      <c r="G352" s="118">
        <f t="shared" si="1"/>
        <v>0</v>
      </c>
      <c r="H352" s="118">
        <f t="array" ref="H352">IFERROR(IF(B352="",0,INDEX(HPP_ENGINE!$J:$J,MATCH(B352,HPP_ENGINE!$A:$A,0))),0)</f>
        <v>0</v>
      </c>
      <c r="I352" s="118">
        <f t="shared" si="2"/>
        <v>0</v>
      </c>
      <c r="J352" s="118">
        <f t="shared" si="3"/>
        <v>0</v>
      </c>
      <c r="K352" s="136">
        <f t="shared" si="4"/>
        <v>0</v>
      </c>
    </row>
    <row r="353" ht="18.0" customHeight="1">
      <c r="A353" s="132"/>
      <c r="B353" s="72"/>
      <c r="C353" s="72"/>
      <c r="D353" s="137" t="str">
        <f t="array" ref="D353">IFERROR(IF(C353="","",INDEX(PRODUK!$B:$B,MATCH(C353,PRODUK!$A:$A,0))),"")</f>
        <v/>
      </c>
      <c r="E353" s="113"/>
      <c r="F353" s="115">
        <f t="array" ref="F353">IFERROR(IF(C353="",0,INDEX(PRODUK!$F:$F,MATCH(C353,PRODUK!$A:$A,0))),0)</f>
        <v>0</v>
      </c>
      <c r="G353" s="114">
        <f t="shared" si="1"/>
        <v>0</v>
      </c>
      <c r="H353" s="114">
        <f t="array" ref="H353">IFERROR(IF(B353="",0,INDEX(HPP_ENGINE!$J:$J,MATCH(B353,HPP_ENGINE!$A:$A,0))),0)</f>
        <v>0</v>
      </c>
      <c r="I353" s="114">
        <f t="shared" si="2"/>
        <v>0</v>
      </c>
      <c r="J353" s="114">
        <f t="shared" si="3"/>
        <v>0</v>
      </c>
      <c r="K353" s="133">
        <f t="shared" si="4"/>
        <v>0</v>
      </c>
    </row>
    <row r="354" ht="18.0" customHeight="1">
      <c r="A354" s="134"/>
      <c r="B354" s="77"/>
      <c r="C354" s="77"/>
      <c r="D354" s="135" t="str">
        <f t="array" ref="D354">IFERROR(IF(C354="","",INDEX(PRODUK!$B:$B,MATCH(C354,PRODUK!$A:$A,0))),"")</f>
        <v/>
      </c>
      <c r="E354" s="117"/>
      <c r="F354" s="119">
        <f t="array" ref="F354">IFERROR(IF(C354="",0,INDEX(PRODUK!$F:$F,MATCH(C354,PRODUK!$A:$A,0))),0)</f>
        <v>0</v>
      </c>
      <c r="G354" s="118">
        <f t="shared" si="1"/>
        <v>0</v>
      </c>
      <c r="H354" s="118">
        <f t="array" ref="H354">IFERROR(IF(B354="",0,INDEX(HPP_ENGINE!$J:$J,MATCH(B354,HPP_ENGINE!$A:$A,0))),0)</f>
        <v>0</v>
      </c>
      <c r="I354" s="118">
        <f t="shared" si="2"/>
        <v>0</v>
      </c>
      <c r="J354" s="118">
        <f t="shared" si="3"/>
        <v>0</v>
      </c>
      <c r="K354" s="136">
        <f t="shared" si="4"/>
        <v>0</v>
      </c>
    </row>
    <row r="355" ht="18.0" customHeight="1">
      <c r="A355" s="132"/>
      <c r="B355" s="72"/>
      <c r="C355" s="72"/>
      <c r="D355" s="137" t="str">
        <f t="array" ref="D355">IFERROR(IF(C355="","",INDEX(PRODUK!$B:$B,MATCH(C355,PRODUK!$A:$A,0))),"")</f>
        <v/>
      </c>
      <c r="E355" s="113"/>
      <c r="F355" s="115">
        <f t="array" ref="F355">IFERROR(IF(C355="",0,INDEX(PRODUK!$F:$F,MATCH(C355,PRODUK!$A:$A,0))),0)</f>
        <v>0</v>
      </c>
      <c r="G355" s="114">
        <f t="shared" si="1"/>
        <v>0</v>
      </c>
      <c r="H355" s="114">
        <f t="array" ref="H355">IFERROR(IF(B355="",0,INDEX(HPP_ENGINE!$J:$J,MATCH(B355,HPP_ENGINE!$A:$A,0))),0)</f>
        <v>0</v>
      </c>
      <c r="I355" s="114">
        <f t="shared" si="2"/>
        <v>0</v>
      </c>
      <c r="J355" s="114">
        <f t="shared" si="3"/>
        <v>0</v>
      </c>
      <c r="K355" s="133">
        <f t="shared" si="4"/>
        <v>0</v>
      </c>
    </row>
    <row r="356" ht="18.0" customHeight="1">
      <c r="A356" s="134"/>
      <c r="B356" s="77"/>
      <c r="C356" s="77"/>
      <c r="D356" s="135" t="str">
        <f t="array" ref="D356">IFERROR(IF(C356="","",INDEX(PRODUK!$B:$B,MATCH(C356,PRODUK!$A:$A,0))),"")</f>
        <v/>
      </c>
      <c r="E356" s="117"/>
      <c r="F356" s="119">
        <f t="array" ref="F356">IFERROR(IF(C356="",0,INDEX(PRODUK!$F:$F,MATCH(C356,PRODUK!$A:$A,0))),0)</f>
        <v>0</v>
      </c>
      <c r="G356" s="118">
        <f t="shared" si="1"/>
        <v>0</v>
      </c>
      <c r="H356" s="118">
        <f t="array" ref="H356">IFERROR(IF(B356="",0,INDEX(HPP_ENGINE!$J:$J,MATCH(B356,HPP_ENGINE!$A:$A,0))),0)</f>
        <v>0</v>
      </c>
      <c r="I356" s="118">
        <f t="shared" si="2"/>
        <v>0</v>
      </c>
      <c r="J356" s="118">
        <f t="shared" si="3"/>
        <v>0</v>
      </c>
      <c r="K356" s="136">
        <f t="shared" si="4"/>
        <v>0</v>
      </c>
    </row>
    <row r="357" ht="18.0" customHeight="1">
      <c r="A357" s="132"/>
      <c r="B357" s="72"/>
      <c r="C357" s="72"/>
      <c r="D357" s="137" t="str">
        <f t="array" ref="D357">IFERROR(IF(C357="","",INDEX(PRODUK!$B:$B,MATCH(C357,PRODUK!$A:$A,0))),"")</f>
        <v/>
      </c>
      <c r="E357" s="113"/>
      <c r="F357" s="115">
        <f t="array" ref="F357">IFERROR(IF(C357="",0,INDEX(PRODUK!$F:$F,MATCH(C357,PRODUK!$A:$A,0))),0)</f>
        <v>0</v>
      </c>
      <c r="G357" s="114">
        <f t="shared" si="1"/>
        <v>0</v>
      </c>
      <c r="H357" s="114">
        <f t="array" ref="H357">IFERROR(IF(B357="",0,INDEX(HPP_ENGINE!$J:$J,MATCH(B357,HPP_ENGINE!$A:$A,0))),0)</f>
        <v>0</v>
      </c>
      <c r="I357" s="114">
        <f t="shared" si="2"/>
        <v>0</v>
      </c>
      <c r="J357" s="114">
        <f t="shared" si="3"/>
        <v>0</v>
      </c>
      <c r="K357" s="133">
        <f t="shared" si="4"/>
        <v>0</v>
      </c>
    </row>
    <row r="358" ht="18.0" customHeight="1">
      <c r="A358" s="134"/>
      <c r="B358" s="77"/>
      <c r="C358" s="77"/>
      <c r="D358" s="135" t="str">
        <f t="array" ref="D358">IFERROR(IF(C358="","",INDEX(PRODUK!$B:$B,MATCH(C358,PRODUK!$A:$A,0))),"")</f>
        <v/>
      </c>
      <c r="E358" s="117"/>
      <c r="F358" s="119">
        <f t="array" ref="F358">IFERROR(IF(C358="",0,INDEX(PRODUK!$F:$F,MATCH(C358,PRODUK!$A:$A,0))),0)</f>
        <v>0</v>
      </c>
      <c r="G358" s="118">
        <f t="shared" si="1"/>
        <v>0</v>
      </c>
      <c r="H358" s="118">
        <f t="array" ref="H358">IFERROR(IF(B358="",0,INDEX(HPP_ENGINE!$J:$J,MATCH(B358,HPP_ENGINE!$A:$A,0))),0)</f>
        <v>0</v>
      </c>
      <c r="I358" s="118">
        <f t="shared" si="2"/>
        <v>0</v>
      </c>
      <c r="J358" s="118">
        <f t="shared" si="3"/>
        <v>0</v>
      </c>
      <c r="K358" s="136">
        <f t="shared" si="4"/>
        <v>0</v>
      </c>
    </row>
    <row r="359" ht="18.0" customHeight="1">
      <c r="A359" s="132"/>
      <c r="B359" s="72"/>
      <c r="C359" s="72"/>
      <c r="D359" s="137" t="str">
        <f t="array" ref="D359">IFERROR(IF(C359="","",INDEX(PRODUK!$B:$B,MATCH(C359,PRODUK!$A:$A,0))),"")</f>
        <v/>
      </c>
      <c r="E359" s="113"/>
      <c r="F359" s="115">
        <f t="array" ref="F359">IFERROR(IF(C359="",0,INDEX(PRODUK!$F:$F,MATCH(C359,PRODUK!$A:$A,0))),0)</f>
        <v>0</v>
      </c>
      <c r="G359" s="114">
        <f t="shared" si="1"/>
        <v>0</v>
      </c>
      <c r="H359" s="114">
        <f t="array" ref="H359">IFERROR(IF(B359="",0,INDEX(HPP_ENGINE!$J:$J,MATCH(B359,HPP_ENGINE!$A:$A,0))),0)</f>
        <v>0</v>
      </c>
      <c r="I359" s="114">
        <f t="shared" si="2"/>
        <v>0</v>
      </c>
      <c r="J359" s="114">
        <f t="shared" si="3"/>
        <v>0</v>
      </c>
      <c r="K359" s="133">
        <f t="shared" si="4"/>
        <v>0</v>
      </c>
    </row>
    <row r="360" ht="18.0" customHeight="1">
      <c r="A360" s="134"/>
      <c r="B360" s="77"/>
      <c r="C360" s="77"/>
      <c r="D360" s="135" t="str">
        <f t="array" ref="D360">IFERROR(IF(C360="","",INDEX(PRODUK!$B:$B,MATCH(C360,PRODUK!$A:$A,0))),"")</f>
        <v/>
      </c>
      <c r="E360" s="117"/>
      <c r="F360" s="119">
        <f t="array" ref="F360">IFERROR(IF(C360="",0,INDEX(PRODUK!$F:$F,MATCH(C360,PRODUK!$A:$A,0))),0)</f>
        <v>0</v>
      </c>
      <c r="G360" s="118">
        <f t="shared" si="1"/>
        <v>0</v>
      </c>
      <c r="H360" s="118">
        <f t="array" ref="H360">IFERROR(IF(B360="",0,INDEX(HPP_ENGINE!$J:$J,MATCH(B360,HPP_ENGINE!$A:$A,0))),0)</f>
        <v>0</v>
      </c>
      <c r="I360" s="118">
        <f t="shared" si="2"/>
        <v>0</v>
      </c>
      <c r="J360" s="118">
        <f t="shared" si="3"/>
        <v>0</v>
      </c>
      <c r="K360" s="136">
        <f t="shared" si="4"/>
        <v>0</v>
      </c>
    </row>
    <row r="361" ht="18.0" customHeight="1">
      <c r="A361" s="132"/>
      <c r="B361" s="72"/>
      <c r="C361" s="72"/>
      <c r="D361" s="137" t="str">
        <f t="array" ref="D361">IFERROR(IF(C361="","",INDEX(PRODUK!$B:$B,MATCH(C361,PRODUK!$A:$A,0))),"")</f>
        <v/>
      </c>
      <c r="E361" s="113"/>
      <c r="F361" s="115">
        <f t="array" ref="F361">IFERROR(IF(C361="",0,INDEX(PRODUK!$F:$F,MATCH(C361,PRODUK!$A:$A,0))),0)</f>
        <v>0</v>
      </c>
      <c r="G361" s="114">
        <f t="shared" si="1"/>
        <v>0</v>
      </c>
      <c r="H361" s="114">
        <f t="array" ref="H361">IFERROR(IF(B361="",0,INDEX(HPP_ENGINE!$J:$J,MATCH(B361,HPP_ENGINE!$A:$A,0))),0)</f>
        <v>0</v>
      </c>
      <c r="I361" s="114">
        <f t="shared" si="2"/>
        <v>0</v>
      </c>
      <c r="J361" s="114">
        <f t="shared" si="3"/>
        <v>0</v>
      </c>
      <c r="K361" s="133">
        <f t="shared" si="4"/>
        <v>0</v>
      </c>
    </row>
    <row r="362" ht="18.0" customHeight="1">
      <c r="A362" s="134"/>
      <c r="B362" s="77"/>
      <c r="C362" s="77"/>
      <c r="D362" s="135" t="str">
        <f t="array" ref="D362">IFERROR(IF(C362="","",INDEX(PRODUK!$B:$B,MATCH(C362,PRODUK!$A:$A,0))),"")</f>
        <v/>
      </c>
      <c r="E362" s="117"/>
      <c r="F362" s="119">
        <f t="array" ref="F362">IFERROR(IF(C362="",0,INDEX(PRODUK!$F:$F,MATCH(C362,PRODUK!$A:$A,0))),0)</f>
        <v>0</v>
      </c>
      <c r="G362" s="118">
        <f t="shared" si="1"/>
        <v>0</v>
      </c>
      <c r="H362" s="118">
        <f t="array" ref="H362">IFERROR(IF(B362="",0,INDEX(HPP_ENGINE!$J:$J,MATCH(B362,HPP_ENGINE!$A:$A,0))),0)</f>
        <v>0</v>
      </c>
      <c r="I362" s="118">
        <f t="shared" si="2"/>
        <v>0</v>
      </c>
      <c r="J362" s="118">
        <f t="shared" si="3"/>
        <v>0</v>
      </c>
      <c r="K362" s="136">
        <f t="shared" si="4"/>
        <v>0</v>
      </c>
    </row>
    <row r="363" ht="18.0" customHeight="1">
      <c r="A363" s="132"/>
      <c r="B363" s="72"/>
      <c r="C363" s="72"/>
      <c r="D363" s="137" t="str">
        <f t="array" ref="D363">IFERROR(IF(C363="","",INDEX(PRODUK!$B:$B,MATCH(C363,PRODUK!$A:$A,0))),"")</f>
        <v/>
      </c>
      <c r="E363" s="113"/>
      <c r="F363" s="115">
        <f t="array" ref="F363">IFERROR(IF(C363="",0,INDEX(PRODUK!$F:$F,MATCH(C363,PRODUK!$A:$A,0))),0)</f>
        <v>0</v>
      </c>
      <c r="G363" s="114">
        <f t="shared" si="1"/>
        <v>0</v>
      </c>
      <c r="H363" s="114">
        <f t="array" ref="H363">IFERROR(IF(B363="",0,INDEX(HPP_ENGINE!$J:$J,MATCH(B363,HPP_ENGINE!$A:$A,0))),0)</f>
        <v>0</v>
      </c>
      <c r="I363" s="114">
        <f t="shared" si="2"/>
        <v>0</v>
      </c>
      <c r="J363" s="114">
        <f t="shared" si="3"/>
        <v>0</v>
      </c>
      <c r="K363" s="133">
        <f t="shared" si="4"/>
        <v>0</v>
      </c>
    </row>
    <row r="364" ht="18.0" customHeight="1">
      <c r="A364" s="134"/>
      <c r="B364" s="77"/>
      <c r="C364" s="77"/>
      <c r="D364" s="135" t="str">
        <f t="array" ref="D364">IFERROR(IF(C364="","",INDEX(PRODUK!$B:$B,MATCH(C364,PRODUK!$A:$A,0))),"")</f>
        <v/>
      </c>
      <c r="E364" s="117"/>
      <c r="F364" s="119">
        <f t="array" ref="F364">IFERROR(IF(C364="",0,INDEX(PRODUK!$F:$F,MATCH(C364,PRODUK!$A:$A,0))),0)</f>
        <v>0</v>
      </c>
      <c r="G364" s="118">
        <f t="shared" si="1"/>
        <v>0</v>
      </c>
      <c r="H364" s="118">
        <f t="array" ref="H364">IFERROR(IF(B364="",0,INDEX(HPP_ENGINE!$J:$J,MATCH(B364,HPP_ENGINE!$A:$A,0))),0)</f>
        <v>0</v>
      </c>
      <c r="I364" s="118">
        <f t="shared" si="2"/>
        <v>0</v>
      </c>
      <c r="J364" s="118">
        <f t="shared" si="3"/>
        <v>0</v>
      </c>
      <c r="K364" s="136">
        <f t="shared" si="4"/>
        <v>0</v>
      </c>
    </row>
    <row r="365" ht="18.0" customHeight="1">
      <c r="A365" s="132"/>
      <c r="B365" s="72"/>
      <c r="C365" s="72"/>
      <c r="D365" s="137" t="str">
        <f t="array" ref="D365">IFERROR(IF(C365="","",INDEX(PRODUK!$B:$B,MATCH(C365,PRODUK!$A:$A,0))),"")</f>
        <v/>
      </c>
      <c r="E365" s="113"/>
      <c r="F365" s="115">
        <f t="array" ref="F365">IFERROR(IF(C365="",0,INDEX(PRODUK!$F:$F,MATCH(C365,PRODUK!$A:$A,0))),0)</f>
        <v>0</v>
      </c>
      <c r="G365" s="114">
        <f t="shared" si="1"/>
        <v>0</v>
      </c>
      <c r="H365" s="114">
        <f t="array" ref="H365">IFERROR(IF(B365="",0,INDEX(HPP_ENGINE!$J:$J,MATCH(B365,HPP_ENGINE!$A:$A,0))),0)</f>
        <v>0</v>
      </c>
      <c r="I365" s="114">
        <f t="shared" si="2"/>
        <v>0</v>
      </c>
      <c r="J365" s="114">
        <f t="shared" si="3"/>
        <v>0</v>
      </c>
      <c r="K365" s="133">
        <f t="shared" si="4"/>
        <v>0</v>
      </c>
    </row>
    <row r="366" ht="18.0" customHeight="1">
      <c r="A366" s="134"/>
      <c r="B366" s="77"/>
      <c r="C366" s="77"/>
      <c r="D366" s="135" t="str">
        <f t="array" ref="D366">IFERROR(IF(C366="","",INDEX(PRODUK!$B:$B,MATCH(C366,PRODUK!$A:$A,0))),"")</f>
        <v/>
      </c>
      <c r="E366" s="117"/>
      <c r="F366" s="119">
        <f t="array" ref="F366">IFERROR(IF(C366="",0,INDEX(PRODUK!$F:$F,MATCH(C366,PRODUK!$A:$A,0))),0)</f>
        <v>0</v>
      </c>
      <c r="G366" s="118">
        <f t="shared" si="1"/>
        <v>0</v>
      </c>
      <c r="H366" s="118">
        <f t="array" ref="H366">IFERROR(IF(B366="",0,INDEX(HPP_ENGINE!$J:$J,MATCH(B366,HPP_ENGINE!$A:$A,0))),0)</f>
        <v>0</v>
      </c>
      <c r="I366" s="118">
        <f t="shared" si="2"/>
        <v>0</v>
      </c>
      <c r="J366" s="118">
        <f t="shared" si="3"/>
        <v>0</v>
      </c>
      <c r="K366" s="136">
        <f t="shared" si="4"/>
        <v>0</v>
      </c>
    </row>
    <row r="367" ht="18.0" customHeight="1">
      <c r="A367" s="132"/>
      <c r="B367" s="72"/>
      <c r="C367" s="72"/>
      <c r="D367" s="137" t="str">
        <f t="array" ref="D367">IFERROR(IF(C367="","",INDEX(PRODUK!$B:$B,MATCH(C367,PRODUK!$A:$A,0))),"")</f>
        <v/>
      </c>
      <c r="E367" s="113"/>
      <c r="F367" s="115">
        <f t="array" ref="F367">IFERROR(IF(C367="",0,INDEX(PRODUK!$F:$F,MATCH(C367,PRODUK!$A:$A,0))),0)</f>
        <v>0</v>
      </c>
      <c r="G367" s="114">
        <f t="shared" si="1"/>
        <v>0</v>
      </c>
      <c r="H367" s="114">
        <f t="array" ref="H367">IFERROR(IF(B367="",0,INDEX(HPP_ENGINE!$J:$J,MATCH(B367,HPP_ENGINE!$A:$A,0))),0)</f>
        <v>0</v>
      </c>
      <c r="I367" s="114">
        <f t="shared" si="2"/>
        <v>0</v>
      </c>
      <c r="J367" s="114">
        <f t="shared" si="3"/>
        <v>0</v>
      </c>
      <c r="K367" s="133">
        <f t="shared" si="4"/>
        <v>0</v>
      </c>
    </row>
    <row r="368" ht="18.0" customHeight="1">
      <c r="A368" s="134"/>
      <c r="B368" s="77"/>
      <c r="C368" s="77"/>
      <c r="D368" s="135" t="str">
        <f t="array" ref="D368">IFERROR(IF(C368="","",INDEX(PRODUK!$B:$B,MATCH(C368,PRODUK!$A:$A,0))),"")</f>
        <v/>
      </c>
      <c r="E368" s="117"/>
      <c r="F368" s="119">
        <f t="array" ref="F368">IFERROR(IF(C368="",0,INDEX(PRODUK!$F:$F,MATCH(C368,PRODUK!$A:$A,0))),0)</f>
        <v>0</v>
      </c>
      <c r="G368" s="118">
        <f t="shared" si="1"/>
        <v>0</v>
      </c>
      <c r="H368" s="118">
        <f t="array" ref="H368">IFERROR(IF(B368="",0,INDEX(HPP_ENGINE!$J:$J,MATCH(B368,HPP_ENGINE!$A:$A,0))),0)</f>
        <v>0</v>
      </c>
      <c r="I368" s="118">
        <f t="shared" si="2"/>
        <v>0</v>
      </c>
      <c r="J368" s="118">
        <f t="shared" si="3"/>
        <v>0</v>
      </c>
      <c r="K368" s="136">
        <f t="shared" si="4"/>
        <v>0</v>
      </c>
    </row>
    <row r="369" ht="18.0" customHeight="1">
      <c r="A369" s="132"/>
      <c r="B369" s="72"/>
      <c r="C369" s="72"/>
      <c r="D369" s="137" t="str">
        <f t="array" ref="D369">IFERROR(IF(C369="","",INDEX(PRODUK!$B:$B,MATCH(C369,PRODUK!$A:$A,0))),"")</f>
        <v/>
      </c>
      <c r="E369" s="113"/>
      <c r="F369" s="115">
        <f t="array" ref="F369">IFERROR(IF(C369="",0,INDEX(PRODUK!$F:$F,MATCH(C369,PRODUK!$A:$A,0))),0)</f>
        <v>0</v>
      </c>
      <c r="G369" s="114">
        <f t="shared" si="1"/>
        <v>0</v>
      </c>
      <c r="H369" s="114">
        <f t="array" ref="H369">IFERROR(IF(B369="",0,INDEX(HPP_ENGINE!$J:$J,MATCH(B369,HPP_ENGINE!$A:$A,0))),0)</f>
        <v>0</v>
      </c>
      <c r="I369" s="114">
        <f t="shared" si="2"/>
        <v>0</v>
      </c>
      <c r="J369" s="114">
        <f t="shared" si="3"/>
        <v>0</v>
      </c>
      <c r="K369" s="133">
        <f t="shared" si="4"/>
        <v>0</v>
      </c>
    </row>
    <row r="370" ht="18.0" customHeight="1">
      <c r="A370" s="134"/>
      <c r="B370" s="77"/>
      <c r="C370" s="77"/>
      <c r="D370" s="135" t="str">
        <f t="array" ref="D370">IFERROR(IF(C370="","",INDEX(PRODUK!$B:$B,MATCH(C370,PRODUK!$A:$A,0))),"")</f>
        <v/>
      </c>
      <c r="E370" s="117"/>
      <c r="F370" s="119">
        <f t="array" ref="F370">IFERROR(IF(C370="",0,INDEX(PRODUK!$F:$F,MATCH(C370,PRODUK!$A:$A,0))),0)</f>
        <v>0</v>
      </c>
      <c r="G370" s="118">
        <f t="shared" si="1"/>
        <v>0</v>
      </c>
      <c r="H370" s="118">
        <f t="array" ref="H370">IFERROR(IF(B370="",0,INDEX(HPP_ENGINE!$J:$J,MATCH(B370,HPP_ENGINE!$A:$A,0))),0)</f>
        <v>0</v>
      </c>
      <c r="I370" s="118">
        <f t="shared" si="2"/>
        <v>0</v>
      </c>
      <c r="J370" s="118">
        <f t="shared" si="3"/>
        <v>0</v>
      </c>
      <c r="K370" s="136">
        <f t="shared" si="4"/>
        <v>0</v>
      </c>
    </row>
    <row r="371" ht="18.0" customHeight="1">
      <c r="A371" s="132"/>
      <c r="B371" s="72"/>
      <c r="C371" s="72"/>
      <c r="D371" s="137" t="str">
        <f t="array" ref="D371">IFERROR(IF(C371="","",INDEX(PRODUK!$B:$B,MATCH(C371,PRODUK!$A:$A,0))),"")</f>
        <v/>
      </c>
      <c r="E371" s="113"/>
      <c r="F371" s="115">
        <f t="array" ref="F371">IFERROR(IF(C371="",0,INDEX(PRODUK!$F:$F,MATCH(C371,PRODUK!$A:$A,0))),0)</f>
        <v>0</v>
      </c>
      <c r="G371" s="114">
        <f t="shared" si="1"/>
        <v>0</v>
      </c>
      <c r="H371" s="114">
        <f t="array" ref="H371">IFERROR(IF(B371="",0,INDEX(HPP_ENGINE!$J:$J,MATCH(B371,HPP_ENGINE!$A:$A,0))),0)</f>
        <v>0</v>
      </c>
      <c r="I371" s="114">
        <f t="shared" si="2"/>
        <v>0</v>
      </c>
      <c r="J371" s="114">
        <f t="shared" si="3"/>
        <v>0</v>
      </c>
      <c r="K371" s="133">
        <f t="shared" si="4"/>
        <v>0</v>
      </c>
    </row>
    <row r="372" ht="18.0" customHeight="1">
      <c r="A372" s="134"/>
      <c r="B372" s="77"/>
      <c r="C372" s="77"/>
      <c r="D372" s="135" t="str">
        <f t="array" ref="D372">IFERROR(IF(C372="","",INDEX(PRODUK!$B:$B,MATCH(C372,PRODUK!$A:$A,0))),"")</f>
        <v/>
      </c>
      <c r="E372" s="117"/>
      <c r="F372" s="119">
        <f t="array" ref="F372">IFERROR(IF(C372="",0,INDEX(PRODUK!$F:$F,MATCH(C372,PRODUK!$A:$A,0))),0)</f>
        <v>0</v>
      </c>
      <c r="G372" s="118">
        <f t="shared" si="1"/>
        <v>0</v>
      </c>
      <c r="H372" s="118">
        <f t="array" ref="H372">IFERROR(IF(B372="",0,INDEX(HPP_ENGINE!$J:$J,MATCH(B372,HPP_ENGINE!$A:$A,0))),0)</f>
        <v>0</v>
      </c>
      <c r="I372" s="118">
        <f t="shared" si="2"/>
        <v>0</v>
      </c>
      <c r="J372" s="118">
        <f t="shared" si="3"/>
        <v>0</v>
      </c>
      <c r="K372" s="136">
        <f t="shared" si="4"/>
        <v>0</v>
      </c>
    </row>
    <row r="373" ht="18.0" customHeight="1">
      <c r="A373" s="132"/>
      <c r="B373" s="72"/>
      <c r="C373" s="72"/>
      <c r="D373" s="137" t="str">
        <f t="array" ref="D373">IFERROR(IF(C373="","",INDEX(PRODUK!$B:$B,MATCH(C373,PRODUK!$A:$A,0))),"")</f>
        <v/>
      </c>
      <c r="E373" s="113"/>
      <c r="F373" s="115">
        <f t="array" ref="F373">IFERROR(IF(C373="",0,INDEX(PRODUK!$F:$F,MATCH(C373,PRODUK!$A:$A,0))),0)</f>
        <v>0</v>
      </c>
      <c r="G373" s="114">
        <f t="shared" si="1"/>
        <v>0</v>
      </c>
      <c r="H373" s="114">
        <f t="array" ref="H373">IFERROR(IF(B373="",0,INDEX(HPP_ENGINE!$J:$J,MATCH(B373,HPP_ENGINE!$A:$A,0))),0)</f>
        <v>0</v>
      </c>
      <c r="I373" s="114">
        <f t="shared" si="2"/>
        <v>0</v>
      </c>
      <c r="J373" s="114">
        <f t="shared" si="3"/>
        <v>0</v>
      </c>
      <c r="K373" s="133">
        <f t="shared" si="4"/>
        <v>0</v>
      </c>
    </row>
    <row r="374" ht="18.0" customHeight="1">
      <c r="A374" s="134"/>
      <c r="B374" s="77"/>
      <c r="C374" s="77"/>
      <c r="D374" s="135" t="str">
        <f t="array" ref="D374">IFERROR(IF(C374="","",INDEX(PRODUK!$B:$B,MATCH(C374,PRODUK!$A:$A,0))),"")</f>
        <v/>
      </c>
      <c r="E374" s="117"/>
      <c r="F374" s="119">
        <f t="array" ref="F374">IFERROR(IF(C374="",0,INDEX(PRODUK!$F:$F,MATCH(C374,PRODUK!$A:$A,0))),0)</f>
        <v>0</v>
      </c>
      <c r="G374" s="118">
        <f t="shared" si="1"/>
        <v>0</v>
      </c>
      <c r="H374" s="118">
        <f t="array" ref="H374">IFERROR(IF(B374="",0,INDEX(HPP_ENGINE!$J:$J,MATCH(B374,HPP_ENGINE!$A:$A,0))),0)</f>
        <v>0</v>
      </c>
      <c r="I374" s="118">
        <f t="shared" si="2"/>
        <v>0</v>
      </c>
      <c r="J374" s="118">
        <f t="shared" si="3"/>
        <v>0</v>
      </c>
      <c r="K374" s="136">
        <f t="shared" si="4"/>
        <v>0</v>
      </c>
    </row>
    <row r="375" ht="18.0" customHeight="1">
      <c r="A375" s="132"/>
      <c r="B375" s="72"/>
      <c r="C375" s="72"/>
      <c r="D375" s="137" t="str">
        <f t="array" ref="D375">IFERROR(IF(C375="","",INDEX(PRODUK!$B:$B,MATCH(C375,PRODUK!$A:$A,0))),"")</f>
        <v/>
      </c>
      <c r="E375" s="113"/>
      <c r="F375" s="115">
        <f t="array" ref="F375">IFERROR(IF(C375="",0,INDEX(PRODUK!$F:$F,MATCH(C375,PRODUK!$A:$A,0))),0)</f>
        <v>0</v>
      </c>
      <c r="G375" s="114">
        <f t="shared" si="1"/>
        <v>0</v>
      </c>
      <c r="H375" s="114">
        <f t="array" ref="H375">IFERROR(IF(B375="",0,INDEX(HPP_ENGINE!$J:$J,MATCH(B375,HPP_ENGINE!$A:$A,0))),0)</f>
        <v>0</v>
      </c>
      <c r="I375" s="114">
        <f t="shared" si="2"/>
        <v>0</v>
      </c>
      <c r="J375" s="114">
        <f t="shared" si="3"/>
        <v>0</v>
      </c>
      <c r="K375" s="133">
        <f t="shared" si="4"/>
        <v>0</v>
      </c>
    </row>
    <row r="376" ht="18.0" customHeight="1">
      <c r="A376" s="134"/>
      <c r="B376" s="77"/>
      <c r="C376" s="77"/>
      <c r="D376" s="135" t="str">
        <f t="array" ref="D376">IFERROR(IF(C376="","",INDEX(PRODUK!$B:$B,MATCH(C376,PRODUK!$A:$A,0))),"")</f>
        <v/>
      </c>
      <c r="E376" s="117"/>
      <c r="F376" s="119">
        <f t="array" ref="F376">IFERROR(IF(C376="",0,INDEX(PRODUK!$F:$F,MATCH(C376,PRODUK!$A:$A,0))),0)</f>
        <v>0</v>
      </c>
      <c r="G376" s="118">
        <f t="shared" si="1"/>
        <v>0</v>
      </c>
      <c r="H376" s="118">
        <f t="array" ref="H376">IFERROR(IF(B376="",0,INDEX(HPP_ENGINE!$J:$J,MATCH(B376,HPP_ENGINE!$A:$A,0))),0)</f>
        <v>0</v>
      </c>
      <c r="I376" s="118">
        <f t="shared" si="2"/>
        <v>0</v>
      </c>
      <c r="J376" s="118">
        <f t="shared" si="3"/>
        <v>0</v>
      </c>
      <c r="K376" s="136">
        <f t="shared" si="4"/>
        <v>0</v>
      </c>
    </row>
    <row r="377" ht="18.0" customHeight="1">
      <c r="A377" s="132"/>
      <c r="B377" s="72"/>
      <c r="C377" s="72"/>
      <c r="D377" s="137" t="str">
        <f t="array" ref="D377">IFERROR(IF(C377="","",INDEX(PRODUK!$B:$B,MATCH(C377,PRODUK!$A:$A,0))),"")</f>
        <v/>
      </c>
      <c r="E377" s="113"/>
      <c r="F377" s="115">
        <f t="array" ref="F377">IFERROR(IF(C377="",0,INDEX(PRODUK!$F:$F,MATCH(C377,PRODUK!$A:$A,0))),0)</f>
        <v>0</v>
      </c>
      <c r="G377" s="114">
        <f t="shared" si="1"/>
        <v>0</v>
      </c>
      <c r="H377" s="114">
        <f t="array" ref="H377">IFERROR(IF(B377="",0,INDEX(HPP_ENGINE!$J:$J,MATCH(B377,HPP_ENGINE!$A:$A,0))),0)</f>
        <v>0</v>
      </c>
      <c r="I377" s="114">
        <f t="shared" si="2"/>
        <v>0</v>
      </c>
      <c r="J377" s="114">
        <f t="shared" si="3"/>
        <v>0</v>
      </c>
      <c r="K377" s="133">
        <f t="shared" si="4"/>
        <v>0</v>
      </c>
    </row>
    <row r="378" ht="18.0" customHeight="1">
      <c r="A378" s="134"/>
      <c r="B378" s="77"/>
      <c r="C378" s="77"/>
      <c r="D378" s="135" t="str">
        <f t="array" ref="D378">IFERROR(IF(C378="","",INDEX(PRODUK!$B:$B,MATCH(C378,PRODUK!$A:$A,0))),"")</f>
        <v/>
      </c>
      <c r="E378" s="117"/>
      <c r="F378" s="119">
        <f t="array" ref="F378">IFERROR(IF(C378="",0,INDEX(PRODUK!$F:$F,MATCH(C378,PRODUK!$A:$A,0))),0)</f>
        <v>0</v>
      </c>
      <c r="G378" s="118">
        <f t="shared" si="1"/>
        <v>0</v>
      </c>
      <c r="H378" s="118">
        <f t="array" ref="H378">IFERROR(IF(B378="",0,INDEX(HPP_ENGINE!$J:$J,MATCH(B378,HPP_ENGINE!$A:$A,0))),0)</f>
        <v>0</v>
      </c>
      <c r="I378" s="118">
        <f t="shared" si="2"/>
        <v>0</v>
      </c>
      <c r="J378" s="118">
        <f t="shared" si="3"/>
        <v>0</v>
      </c>
      <c r="K378" s="136">
        <f t="shared" si="4"/>
        <v>0</v>
      </c>
    </row>
    <row r="379" ht="18.0" customHeight="1">
      <c r="A379" s="132"/>
      <c r="B379" s="72"/>
      <c r="C379" s="72"/>
      <c r="D379" s="137" t="str">
        <f t="array" ref="D379">IFERROR(IF(C379="","",INDEX(PRODUK!$B:$B,MATCH(C379,PRODUK!$A:$A,0))),"")</f>
        <v/>
      </c>
      <c r="E379" s="113"/>
      <c r="F379" s="115">
        <f t="array" ref="F379">IFERROR(IF(C379="",0,INDEX(PRODUK!$F:$F,MATCH(C379,PRODUK!$A:$A,0))),0)</f>
        <v>0</v>
      </c>
      <c r="G379" s="114">
        <f t="shared" si="1"/>
        <v>0</v>
      </c>
      <c r="H379" s="114">
        <f t="array" ref="H379">IFERROR(IF(B379="",0,INDEX(HPP_ENGINE!$J:$J,MATCH(B379,HPP_ENGINE!$A:$A,0))),0)</f>
        <v>0</v>
      </c>
      <c r="I379" s="114">
        <f t="shared" si="2"/>
        <v>0</v>
      </c>
      <c r="J379" s="114">
        <f t="shared" si="3"/>
        <v>0</v>
      </c>
      <c r="K379" s="133">
        <f t="shared" si="4"/>
        <v>0</v>
      </c>
    </row>
    <row r="380" ht="18.0" customHeight="1">
      <c r="A380" s="134"/>
      <c r="B380" s="77"/>
      <c r="C380" s="77"/>
      <c r="D380" s="135" t="str">
        <f t="array" ref="D380">IFERROR(IF(C380="","",INDEX(PRODUK!$B:$B,MATCH(C380,PRODUK!$A:$A,0))),"")</f>
        <v/>
      </c>
      <c r="E380" s="117"/>
      <c r="F380" s="119">
        <f t="array" ref="F380">IFERROR(IF(C380="",0,INDEX(PRODUK!$F:$F,MATCH(C380,PRODUK!$A:$A,0))),0)</f>
        <v>0</v>
      </c>
      <c r="G380" s="118">
        <f t="shared" si="1"/>
        <v>0</v>
      </c>
      <c r="H380" s="118">
        <f t="array" ref="H380">IFERROR(IF(B380="",0,INDEX(HPP_ENGINE!$J:$J,MATCH(B380,HPP_ENGINE!$A:$A,0))),0)</f>
        <v>0</v>
      </c>
      <c r="I380" s="118">
        <f t="shared" si="2"/>
        <v>0</v>
      </c>
      <c r="J380" s="118">
        <f t="shared" si="3"/>
        <v>0</v>
      </c>
      <c r="K380" s="136">
        <f t="shared" si="4"/>
        <v>0</v>
      </c>
    </row>
    <row r="381" ht="18.0" customHeight="1">
      <c r="A381" s="132"/>
      <c r="B381" s="72"/>
      <c r="C381" s="72"/>
      <c r="D381" s="137" t="str">
        <f t="array" ref="D381">IFERROR(IF(C381="","",INDEX(PRODUK!$B:$B,MATCH(C381,PRODUK!$A:$A,0))),"")</f>
        <v/>
      </c>
      <c r="E381" s="113"/>
      <c r="F381" s="115">
        <f t="array" ref="F381">IFERROR(IF(C381="",0,INDEX(PRODUK!$F:$F,MATCH(C381,PRODUK!$A:$A,0))),0)</f>
        <v>0</v>
      </c>
      <c r="G381" s="114">
        <f t="shared" si="1"/>
        <v>0</v>
      </c>
      <c r="H381" s="114">
        <f t="array" ref="H381">IFERROR(IF(B381="",0,INDEX(HPP_ENGINE!$J:$J,MATCH(B381,HPP_ENGINE!$A:$A,0))),0)</f>
        <v>0</v>
      </c>
      <c r="I381" s="114">
        <f t="shared" si="2"/>
        <v>0</v>
      </c>
      <c r="J381" s="114">
        <f t="shared" si="3"/>
        <v>0</v>
      </c>
      <c r="K381" s="133">
        <f t="shared" si="4"/>
        <v>0</v>
      </c>
    </row>
    <row r="382" ht="18.0" customHeight="1">
      <c r="A382" s="134"/>
      <c r="B382" s="77"/>
      <c r="C382" s="77"/>
      <c r="D382" s="135" t="str">
        <f t="array" ref="D382">IFERROR(IF(C382="","",INDEX(PRODUK!$B:$B,MATCH(C382,PRODUK!$A:$A,0))),"")</f>
        <v/>
      </c>
      <c r="E382" s="117"/>
      <c r="F382" s="119">
        <f t="array" ref="F382">IFERROR(IF(C382="",0,INDEX(PRODUK!$F:$F,MATCH(C382,PRODUK!$A:$A,0))),0)</f>
        <v>0</v>
      </c>
      <c r="G382" s="118">
        <f t="shared" si="1"/>
        <v>0</v>
      </c>
      <c r="H382" s="118">
        <f t="array" ref="H382">IFERROR(IF(B382="",0,INDEX(HPP_ENGINE!$J:$J,MATCH(B382,HPP_ENGINE!$A:$A,0))),0)</f>
        <v>0</v>
      </c>
      <c r="I382" s="118">
        <f t="shared" si="2"/>
        <v>0</v>
      </c>
      <c r="J382" s="118">
        <f t="shared" si="3"/>
        <v>0</v>
      </c>
      <c r="K382" s="136">
        <f t="shared" si="4"/>
        <v>0</v>
      </c>
    </row>
    <row r="383" ht="18.0" customHeight="1">
      <c r="A383" s="132"/>
      <c r="B383" s="72"/>
      <c r="C383" s="72"/>
      <c r="D383" s="137" t="str">
        <f t="array" ref="D383">IFERROR(IF(C383="","",INDEX(PRODUK!$B:$B,MATCH(C383,PRODUK!$A:$A,0))),"")</f>
        <v/>
      </c>
      <c r="E383" s="113"/>
      <c r="F383" s="115">
        <f t="array" ref="F383">IFERROR(IF(C383="",0,INDEX(PRODUK!$F:$F,MATCH(C383,PRODUK!$A:$A,0))),0)</f>
        <v>0</v>
      </c>
      <c r="G383" s="114">
        <f t="shared" si="1"/>
        <v>0</v>
      </c>
      <c r="H383" s="114">
        <f t="array" ref="H383">IFERROR(IF(B383="",0,INDEX(HPP_ENGINE!$J:$J,MATCH(B383,HPP_ENGINE!$A:$A,0))),0)</f>
        <v>0</v>
      </c>
      <c r="I383" s="114">
        <f t="shared" si="2"/>
        <v>0</v>
      </c>
      <c r="J383" s="114">
        <f t="shared" si="3"/>
        <v>0</v>
      </c>
      <c r="K383" s="133">
        <f t="shared" si="4"/>
        <v>0</v>
      </c>
    </row>
    <row r="384" ht="18.0" customHeight="1">
      <c r="A384" s="134"/>
      <c r="B384" s="77"/>
      <c r="C384" s="77"/>
      <c r="D384" s="135" t="str">
        <f t="array" ref="D384">IFERROR(IF(C384="","",INDEX(PRODUK!$B:$B,MATCH(C384,PRODUK!$A:$A,0))),"")</f>
        <v/>
      </c>
      <c r="E384" s="117"/>
      <c r="F384" s="119">
        <f t="array" ref="F384">IFERROR(IF(C384="",0,INDEX(PRODUK!$F:$F,MATCH(C384,PRODUK!$A:$A,0))),0)</f>
        <v>0</v>
      </c>
      <c r="G384" s="118">
        <f t="shared" si="1"/>
        <v>0</v>
      </c>
      <c r="H384" s="118">
        <f t="array" ref="H384">IFERROR(IF(B384="",0,INDEX(HPP_ENGINE!$J:$J,MATCH(B384,HPP_ENGINE!$A:$A,0))),0)</f>
        <v>0</v>
      </c>
      <c r="I384" s="118">
        <f t="shared" si="2"/>
        <v>0</v>
      </c>
      <c r="J384" s="118">
        <f t="shared" si="3"/>
        <v>0</v>
      </c>
      <c r="K384" s="136">
        <f t="shared" si="4"/>
        <v>0</v>
      </c>
    </row>
    <row r="385" ht="18.0" customHeight="1">
      <c r="A385" s="132"/>
      <c r="B385" s="72"/>
      <c r="C385" s="72"/>
      <c r="D385" s="137" t="str">
        <f t="array" ref="D385">IFERROR(IF(C385="","",INDEX(PRODUK!$B:$B,MATCH(C385,PRODUK!$A:$A,0))),"")</f>
        <v/>
      </c>
      <c r="E385" s="113"/>
      <c r="F385" s="115">
        <f t="array" ref="F385">IFERROR(IF(C385="",0,INDEX(PRODUK!$F:$F,MATCH(C385,PRODUK!$A:$A,0))),0)</f>
        <v>0</v>
      </c>
      <c r="G385" s="114">
        <f t="shared" si="1"/>
        <v>0</v>
      </c>
      <c r="H385" s="114">
        <f t="array" ref="H385">IFERROR(IF(B385="",0,INDEX(HPP_ENGINE!$J:$J,MATCH(B385,HPP_ENGINE!$A:$A,0))),0)</f>
        <v>0</v>
      </c>
      <c r="I385" s="114">
        <f t="shared" si="2"/>
        <v>0</v>
      </c>
      <c r="J385" s="114">
        <f t="shared" si="3"/>
        <v>0</v>
      </c>
      <c r="K385" s="133">
        <f t="shared" si="4"/>
        <v>0</v>
      </c>
    </row>
    <row r="386" ht="18.0" customHeight="1">
      <c r="A386" s="134"/>
      <c r="B386" s="77"/>
      <c r="C386" s="77"/>
      <c r="D386" s="135" t="str">
        <f t="array" ref="D386">IFERROR(IF(C386="","",INDEX(PRODUK!$B:$B,MATCH(C386,PRODUK!$A:$A,0))),"")</f>
        <v/>
      </c>
      <c r="E386" s="117"/>
      <c r="F386" s="119">
        <f t="array" ref="F386">IFERROR(IF(C386="",0,INDEX(PRODUK!$F:$F,MATCH(C386,PRODUK!$A:$A,0))),0)</f>
        <v>0</v>
      </c>
      <c r="G386" s="118">
        <f t="shared" si="1"/>
        <v>0</v>
      </c>
      <c r="H386" s="118">
        <f t="array" ref="H386">IFERROR(IF(B386="",0,INDEX(HPP_ENGINE!$J:$J,MATCH(B386,HPP_ENGINE!$A:$A,0))),0)</f>
        <v>0</v>
      </c>
      <c r="I386" s="118">
        <f t="shared" si="2"/>
        <v>0</v>
      </c>
      <c r="J386" s="118">
        <f t="shared" si="3"/>
        <v>0</v>
      </c>
      <c r="K386" s="136">
        <f t="shared" si="4"/>
        <v>0</v>
      </c>
    </row>
    <row r="387" ht="18.0" customHeight="1">
      <c r="A387" s="132"/>
      <c r="B387" s="72"/>
      <c r="C387" s="72"/>
      <c r="D387" s="137" t="str">
        <f t="array" ref="D387">IFERROR(IF(C387="","",INDEX(PRODUK!$B:$B,MATCH(C387,PRODUK!$A:$A,0))),"")</f>
        <v/>
      </c>
      <c r="E387" s="113"/>
      <c r="F387" s="115">
        <f t="array" ref="F387">IFERROR(IF(C387="",0,INDEX(PRODUK!$F:$F,MATCH(C387,PRODUK!$A:$A,0))),0)</f>
        <v>0</v>
      </c>
      <c r="G387" s="114">
        <f t="shared" si="1"/>
        <v>0</v>
      </c>
      <c r="H387" s="114">
        <f t="array" ref="H387">IFERROR(IF(B387="",0,INDEX(HPP_ENGINE!$J:$J,MATCH(B387,HPP_ENGINE!$A:$A,0))),0)</f>
        <v>0</v>
      </c>
      <c r="I387" s="114">
        <f t="shared" si="2"/>
        <v>0</v>
      </c>
      <c r="J387" s="114">
        <f t="shared" si="3"/>
        <v>0</v>
      </c>
      <c r="K387" s="133">
        <f t="shared" si="4"/>
        <v>0</v>
      </c>
    </row>
    <row r="388" ht="18.0" customHeight="1">
      <c r="A388" s="134"/>
      <c r="B388" s="77"/>
      <c r="C388" s="77"/>
      <c r="D388" s="135" t="str">
        <f t="array" ref="D388">IFERROR(IF(C388="","",INDEX(PRODUK!$B:$B,MATCH(C388,PRODUK!$A:$A,0))),"")</f>
        <v/>
      </c>
      <c r="E388" s="117"/>
      <c r="F388" s="119">
        <f t="array" ref="F388">IFERROR(IF(C388="",0,INDEX(PRODUK!$F:$F,MATCH(C388,PRODUK!$A:$A,0))),0)</f>
        <v>0</v>
      </c>
      <c r="G388" s="118">
        <f t="shared" si="1"/>
        <v>0</v>
      </c>
      <c r="H388" s="118">
        <f t="array" ref="H388">IFERROR(IF(B388="",0,INDEX(HPP_ENGINE!$J:$J,MATCH(B388,HPP_ENGINE!$A:$A,0))),0)</f>
        <v>0</v>
      </c>
      <c r="I388" s="118">
        <f t="shared" si="2"/>
        <v>0</v>
      </c>
      <c r="J388" s="118">
        <f t="shared" si="3"/>
        <v>0</v>
      </c>
      <c r="K388" s="136">
        <f t="shared" si="4"/>
        <v>0</v>
      </c>
    </row>
    <row r="389" ht="18.0" customHeight="1">
      <c r="A389" s="132"/>
      <c r="B389" s="72"/>
      <c r="C389" s="72"/>
      <c r="D389" s="137" t="str">
        <f t="array" ref="D389">IFERROR(IF(C389="","",INDEX(PRODUK!$B:$B,MATCH(C389,PRODUK!$A:$A,0))),"")</f>
        <v/>
      </c>
      <c r="E389" s="113"/>
      <c r="F389" s="115">
        <f t="array" ref="F389">IFERROR(IF(C389="",0,INDEX(PRODUK!$F:$F,MATCH(C389,PRODUK!$A:$A,0))),0)</f>
        <v>0</v>
      </c>
      <c r="G389" s="114">
        <f t="shared" si="1"/>
        <v>0</v>
      </c>
      <c r="H389" s="114">
        <f t="array" ref="H389">IFERROR(IF(B389="",0,INDEX(HPP_ENGINE!$J:$J,MATCH(B389,HPP_ENGINE!$A:$A,0))),0)</f>
        <v>0</v>
      </c>
      <c r="I389" s="114">
        <f t="shared" si="2"/>
        <v>0</v>
      </c>
      <c r="J389" s="114">
        <f t="shared" si="3"/>
        <v>0</v>
      </c>
      <c r="K389" s="133">
        <f t="shared" si="4"/>
        <v>0</v>
      </c>
    </row>
    <row r="390" ht="18.0" customHeight="1">
      <c r="A390" s="134"/>
      <c r="B390" s="77"/>
      <c r="C390" s="77"/>
      <c r="D390" s="135" t="str">
        <f t="array" ref="D390">IFERROR(IF(C390="","",INDEX(PRODUK!$B:$B,MATCH(C390,PRODUK!$A:$A,0))),"")</f>
        <v/>
      </c>
      <c r="E390" s="117"/>
      <c r="F390" s="119">
        <f t="array" ref="F390">IFERROR(IF(C390="",0,INDEX(PRODUK!$F:$F,MATCH(C390,PRODUK!$A:$A,0))),0)</f>
        <v>0</v>
      </c>
      <c r="G390" s="118">
        <f t="shared" si="1"/>
        <v>0</v>
      </c>
      <c r="H390" s="118">
        <f t="array" ref="H390">IFERROR(IF(B390="",0,INDEX(HPP_ENGINE!$J:$J,MATCH(B390,HPP_ENGINE!$A:$A,0))),0)</f>
        <v>0</v>
      </c>
      <c r="I390" s="118">
        <f t="shared" si="2"/>
        <v>0</v>
      </c>
      <c r="J390" s="118">
        <f t="shared" si="3"/>
        <v>0</v>
      </c>
      <c r="K390" s="136">
        <f t="shared" si="4"/>
        <v>0</v>
      </c>
    </row>
    <row r="391" ht="18.0" customHeight="1">
      <c r="A391" s="132"/>
      <c r="B391" s="72"/>
      <c r="C391" s="72"/>
      <c r="D391" s="137" t="str">
        <f t="array" ref="D391">IFERROR(IF(C391="","",INDEX(PRODUK!$B:$B,MATCH(C391,PRODUK!$A:$A,0))),"")</f>
        <v/>
      </c>
      <c r="E391" s="113"/>
      <c r="F391" s="115">
        <f t="array" ref="F391">IFERROR(IF(C391="",0,INDEX(PRODUK!$F:$F,MATCH(C391,PRODUK!$A:$A,0))),0)</f>
        <v>0</v>
      </c>
      <c r="G391" s="114">
        <f t="shared" si="1"/>
        <v>0</v>
      </c>
      <c r="H391" s="114">
        <f t="array" ref="H391">IFERROR(IF(B391="",0,INDEX(HPP_ENGINE!$J:$J,MATCH(B391,HPP_ENGINE!$A:$A,0))),0)</f>
        <v>0</v>
      </c>
      <c r="I391" s="114">
        <f t="shared" si="2"/>
        <v>0</v>
      </c>
      <c r="J391" s="114">
        <f t="shared" si="3"/>
        <v>0</v>
      </c>
      <c r="K391" s="133">
        <f t="shared" si="4"/>
        <v>0</v>
      </c>
    </row>
    <row r="392" ht="18.0" customHeight="1">
      <c r="A392" s="134"/>
      <c r="B392" s="77"/>
      <c r="C392" s="77"/>
      <c r="D392" s="135" t="str">
        <f t="array" ref="D392">IFERROR(IF(C392="","",INDEX(PRODUK!$B:$B,MATCH(C392,PRODUK!$A:$A,0))),"")</f>
        <v/>
      </c>
      <c r="E392" s="117"/>
      <c r="F392" s="119">
        <f t="array" ref="F392">IFERROR(IF(C392="",0,INDEX(PRODUK!$F:$F,MATCH(C392,PRODUK!$A:$A,0))),0)</f>
        <v>0</v>
      </c>
      <c r="G392" s="118">
        <f t="shared" si="1"/>
        <v>0</v>
      </c>
      <c r="H392" s="118">
        <f t="array" ref="H392">IFERROR(IF(B392="",0,INDEX(HPP_ENGINE!$J:$J,MATCH(B392,HPP_ENGINE!$A:$A,0))),0)</f>
        <v>0</v>
      </c>
      <c r="I392" s="118">
        <f t="shared" si="2"/>
        <v>0</v>
      </c>
      <c r="J392" s="118">
        <f t="shared" si="3"/>
        <v>0</v>
      </c>
      <c r="K392" s="136">
        <f t="shared" si="4"/>
        <v>0</v>
      </c>
    </row>
    <row r="393" ht="18.0" customHeight="1">
      <c r="A393" s="132"/>
      <c r="B393" s="72"/>
      <c r="C393" s="72"/>
      <c r="D393" s="137" t="str">
        <f t="array" ref="D393">IFERROR(IF(C393="","",INDEX(PRODUK!$B:$B,MATCH(C393,PRODUK!$A:$A,0))),"")</f>
        <v/>
      </c>
      <c r="E393" s="113"/>
      <c r="F393" s="115">
        <f t="array" ref="F393">IFERROR(IF(C393="",0,INDEX(PRODUK!$F:$F,MATCH(C393,PRODUK!$A:$A,0))),0)</f>
        <v>0</v>
      </c>
      <c r="G393" s="114">
        <f t="shared" si="1"/>
        <v>0</v>
      </c>
      <c r="H393" s="114">
        <f t="array" ref="H393">IFERROR(IF(B393="",0,INDEX(HPP_ENGINE!$J:$J,MATCH(B393,HPP_ENGINE!$A:$A,0))),0)</f>
        <v>0</v>
      </c>
      <c r="I393" s="114">
        <f t="shared" si="2"/>
        <v>0</v>
      </c>
      <c r="J393" s="114">
        <f t="shared" si="3"/>
        <v>0</v>
      </c>
      <c r="K393" s="133">
        <f t="shared" si="4"/>
        <v>0</v>
      </c>
    </row>
    <row r="394" ht="18.0" customHeight="1">
      <c r="A394" s="134"/>
      <c r="B394" s="77"/>
      <c r="C394" s="77"/>
      <c r="D394" s="135" t="str">
        <f t="array" ref="D394">IFERROR(IF(C394="","",INDEX(PRODUK!$B:$B,MATCH(C394,PRODUK!$A:$A,0))),"")</f>
        <v/>
      </c>
      <c r="E394" s="117"/>
      <c r="F394" s="119">
        <f t="array" ref="F394">IFERROR(IF(C394="",0,INDEX(PRODUK!$F:$F,MATCH(C394,PRODUK!$A:$A,0))),0)</f>
        <v>0</v>
      </c>
      <c r="G394" s="118">
        <f t="shared" si="1"/>
        <v>0</v>
      </c>
      <c r="H394" s="118">
        <f t="array" ref="H394">IFERROR(IF(B394="",0,INDEX(HPP_ENGINE!$J:$J,MATCH(B394,HPP_ENGINE!$A:$A,0))),0)</f>
        <v>0</v>
      </c>
      <c r="I394" s="118">
        <f t="shared" si="2"/>
        <v>0</v>
      </c>
      <c r="J394" s="118">
        <f t="shared" si="3"/>
        <v>0</v>
      </c>
      <c r="K394" s="136">
        <f t="shared" si="4"/>
        <v>0</v>
      </c>
    </row>
    <row r="395" ht="18.0" customHeight="1">
      <c r="A395" s="132"/>
      <c r="B395" s="72"/>
      <c r="C395" s="72"/>
      <c r="D395" s="137" t="str">
        <f t="array" ref="D395">IFERROR(IF(C395="","",INDEX(PRODUK!$B:$B,MATCH(C395,PRODUK!$A:$A,0))),"")</f>
        <v/>
      </c>
      <c r="E395" s="113"/>
      <c r="F395" s="115">
        <f t="array" ref="F395">IFERROR(IF(C395="",0,INDEX(PRODUK!$F:$F,MATCH(C395,PRODUK!$A:$A,0))),0)</f>
        <v>0</v>
      </c>
      <c r="G395" s="114">
        <f t="shared" si="1"/>
        <v>0</v>
      </c>
      <c r="H395" s="114">
        <f t="array" ref="H395">IFERROR(IF(B395="",0,INDEX(HPP_ENGINE!$J:$J,MATCH(B395,HPP_ENGINE!$A:$A,0))),0)</f>
        <v>0</v>
      </c>
      <c r="I395" s="114">
        <f t="shared" si="2"/>
        <v>0</v>
      </c>
      <c r="J395" s="114">
        <f t="shared" si="3"/>
        <v>0</v>
      </c>
      <c r="K395" s="133">
        <f t="shared" si="4"/>
        <v>0</v>
      </c>
    </row>
    <row r="396" ht="18.0" customHeight="1">
      <c r="A396" s="134"/>
      <c r="B396" s="77"/>
      <c r="C396" s="77"/>
      <c r="D396" s="135" t="str">
        <f t="array" ref="D396">IFERROR(IF(C396="","",INDEX(PRODUK!$B:$B,MATCH(C396,PRODUK!$A:$A,0))),"")</f>
        <v/>
      </c>
      <c r="E396" s="117"/>
      <c r="F396" s="119">
        <f t="array" ref="F396">IFERROR(IF(C396="",0,INDEX(PRODUK!$F:$F,MATCH(C396,PRODUK!$A:$A,0))),0)</f>
        <v>0</v>
      </c>
      <c r="G396" s="118">
        <f t="shared" si="1"/>
        <v>0</v>
      </c>
      <c r="H396" s="118">
        <f t="array" ref="H396">IFERROR(IF(B396="",0,INDEX(HPP_ENGINE!$J:$J,MATCH(B396,HPP_ENGINE!$A:$A,0))),0)</f>
        <v>0</v>
      </c>
      <c r="I396" s="118">
        <f t="shared" si="2"/>
        <v>0</v>
      </c>
      <c r="J396" s="118">
        <f t="shared" si="3"/>
        <v>0</v>
      </c>
      <c r="K396" s="136">
        <f t="shared" si="4"/>
        <v>0</v>
      </c>
    </row>
    <row r="397" ht="18.0" customHeight="1">
      <c r="A397" s="132"/>
      <c r="B397" s="72"/>
      <c r="C397" s="72"/>
      <c r="D397" s="137" t="str">
        <f t="array" ref="D397">IFERROR(IF(C397="","",INDEX(PRODUK!$B:$B,MATCH(C397,PRODUK!$A:$A,0))),"")</f>
        <v/>
      </c>
      <c r="E397" s="113"/>
      <c r="F397" s="115">
        <f t="array" ref="F397">IFERROR(IF(C397="",0,INDEX(PRODUK!$F:$F,MATCH(C397,PRODUK!$A:$A,0))),0)</f>
        <v>0</v>
      </c>
      <c r="G397" s="114">
        <f t="shared" si="1"/>
        <v>0</v>
      </c>
      <c r="H397" s="114">
        <f t="array" ref="H397">IFERROR(IF(B397="",0,INDEX(HPP_ENGINE!$J:$J,MATCH(B397,HPP_ENGINE!$A:$A,0))),0)</f>
        <v>0</v>
      </c>
      <c r="I397" s="114">
        <f t="shared" si="2"/>
        <v>0</v>
      </c>
      <c r="J397" s="114">
        <f t="shared" si="3"/>
        <v>0</v>
      </c>
      <c r="K397" s="133">
        <f t="shared" si="4"/>
        <v>0</v>
      </c>
    </row>
    <row r="398" ht="18.0" customHeight="1">
      <c r="A398" s="134"/>
      <c r="B398" s="77"/>
      <c r="C398" s="77"/>
      <c r="D398" s="135" t="str">
        <f t="array" ref="D398">IFERROR(IF(C398="","",INDEX(PRODUK!$B:$B,MATCH(C398,PRODUK!$A:$A,0))),"")</f>
        <v/>
      </c>
      <c r="E398" s="117"/>
      <c r="F398" s="119">
        <f t="array" ref="F398">IFERROR(IF(C398="",0,INDEX(PRODUK!$F:$F,MATCH(C398,PRODUK!$A:$A,0))),0)</f>
        <v>0</v>
      </c>
      <c r="G398" s="118">
        <f t="shared" si="1"/>
        <v>0</v>
      </c>
      <c r="H398" s="118">
        <f t="array" ref="H398">IFERROR(IF(B398="",0,INDEX(HPP_ENGINE!$J:$J,MATCH(B398,HPP_ENGINE!$A:$A,0))),0)</f>
        <v>0</v>
      </c>
      <c r="I398" s="118">
        <f t="shared" si="2"/>
        <v>0</v>
      </c>
      <c r="J398" s="118">
        <f t="shared" si="3"/>
        <v>0</v>
      </c>
      <c r="K398" s="136">
        <f t="shared" si="4"/>
        <v>0</v>
      </c>
    </row>
    <row r="399" ht="18.0" customHeight="1">
      <c r="A399" s="132"/>
      <c r="B399" s="72"/>
      <c r="C399" s="72"/>
      <c r="D399" s="137" t="str">
        <f t="array" ref="D399">IFERROR(IF(C399="","",INDEX(PRODUK!$B:$B,MATCH(C399,PRODUK!$A:$A,0))),"")</f>
        <v/>
      </c>
      <c r="E399" s="113"/>
      <c r="F399" s="115">
        <f t="array" ref="F399">IFERROR(IF(C399="",0,INDEX(PRODUK!$F:$F,MATCH(C399,PRODUK!$A:$A,0))),0)</f>
        <v>0</v>
      </c>
      <c r="G399" s="114">
        <f t="shared" si="1"/>
        <v>0</v>
      </c>
      <c r="H399" s="114">
        <f t="array" ref="H399">IFERROR(IF(B399="",0,INDEX(HPP_ENGINE!$J:$J,MATCH(B399,HPP_ENGINE!$A:$A,0))),0)</f>
        <v>0</v>
      </c>
      <c r="I399" s="114">
        <f t="shared" si="2"/>
        <v>0</v>
      </c>
      <c r="J399" s="114">
        <f t="shared" si="3"/>
        <v>0</v>
      </c>
      <c r="K399" s="133">
        <f t="shared" si="4"/>
        <v>0</v>
      </c>
    </row>
    <row r="400" ht="18.0" customHeight="1">
      <c r="A400" s="134"/>
      <c r="B400" s="77"/>
      <c r="C400" s="77"/>
      <c r="D400" s="135" t="str">
        <f t="array" ref="D400">IFERROR(IF(C400="","",INDEX(PRODUK!$B:$B,MATCH(C400,PRODUK!$A:$A,0))),"")</f>
        <v/>
      </c>
      <c r="E400" s="117"/>
      <c r="F400" s="119">
        <f t="array" ref="F400">IFERROR(IF(C400="",0,INDEX(PRODUK!$F:$F,MATCH(C400,PRODUK!$A:$A,0))),0)</f>
        <v>0</v>
      </c>
      <c r="G400" s="118">
        <f t="shared" si="1"/>
        <v>0</v>
      </c>
      <c r="H400" s="118">
        <f t="array" ref="H400">IFERROR(IF(B400="",0,INDEX(HPP_ENGINE!$J:$J,MATCH(B400,HPP_ENGINE!$A:$A,0))),0)</f>
        <v>0</v>
      </c>
      <c r="I400" s="118">
        <f t="shared" si="2"/>
        <v>0</v>
      </c>
      <c r="J400" s="118">
        <f t="shared" si="3"/>
        <v>0</v>
      </c>
      <c r="K400" s="136">
        <f t="shared" si="4"/>
        <v>0</v>
      </c>
    </row>
    <row r="401" ht="18.0" customHeight="1">
      <c r="A401" s="132"/>
      <c r="B401" s="72"/>
      <c r="C401" s="72"/>
      <c r="D401" s="137" t="str">
        <f t="array" ref="D401">IFERROR(IF(C401="","",INDEX(PRODUK!$B:$B,MATCH(C401,PRODUK!$A:$A,0))),"")</f>
        <v/>
      </c>
      <c r="E401" s="113"/>
      <c r="F401" s="115">
        <f t="array" ref="F401">IFERROR(IF(C401="",0,INDEX(PRODUK!$F:$F,MATCH(C401,PRODUK!$A:$A,0))),0)</f>
        <v>0</v>
      </c>
      <c r="G401" s="114">
        <f t="shared" si="1"/>
        <v>0</v>
      </c>
      <c r="H401" s="114">
        <f t="array" ref="H401">IFERROR(IF(B401="",0,INDEX(HPP_ENGINE!$J:$J,MATCH(B401,HPP_ENGINE!$A:$A,0))),0)</f>
        <v>0</v>
      </c>
      <c r="I401" s="114">
        <f t="shared" si="2"/>
        <v>0</v>
      </c>
      <c r="J401" s="114">
        <f t="shared" si="3"/>
        <v>0</v>
      </c>
      <c r="K401" s="133">
        <f t="shared" si="4"/>
        <v>0</v>
      </c>
    </row>
    <row r="402" ht="18.0" customHeight="1">
      <c r="A402" s="134"/>
      <c r="B402" s="77"/>
      <c r="C402" s="77"/>
      <c r="D402" s="135" t="str">
        <f t="array" ref="D402">IFERROR(IF(C402="","",INDEX(PRODUK!$B:$B,MATCH(C402,PRODUK!$A:$A,0))),"")</f>
        <v/>
      </c>
      <c r="E402" s="117"/>
      <c r="F402" s="119">
        <f t="array" ref="F402">IFERROR(IF(C402="",0,INDEX(PRODUK!$F:$F,MATCH(C402,PRODUK!$A:$A,0))),0)</f>
        <v>0</v>
      </c>
      <c r="G402" s="118">
        <f t="shared" si="1"/>
        <v>0</v>
      </c>
      <c r="H402" s="118">
        <f t="array" ref="H402">IFERROR(IF(B402="",0,INDEX(HPP_ENGINE!$J:$J,MATCH(B402,HPP_ENGINE!$A:$A,0))),0)</f>
        <v>0</v>
      </c>
      <c r="I402" s="118">
        <f t="shared" si="2"/>
        <v>0</v>
      </c>
      <c r="J402" s="118">
        <f t="shared" si="3"/>
        <v>0</v>
      </c>
      <c r="K402" s="136">
        <f t="shared" si="4"/>
        <v>0</v>
      </c>
    </row>
    <row r="403" ht="18.0" customHeight="1">
      <c r="A403" s="132"/>
      <c r="B403" s="72"/>
      <c r="C403" s="72"/>
      <c r="D403" s="137" t="str">
        <f t="array" ref="D403">IFERROR(IF(C403="","",INDEX(PRODUK!$B:$B,MATCH(C403,PRODUK!$A:$A,0))),"")</f>
        <v/>
      </c>
      <c r="E403" s="113"/>
      <c r="F403" s="115">
        <f t="array" ref="F403">IFERROR(IF(C403="",0,INDEX(PRODUK!$F:$F,MATCH(C403,PRODUK!$A:$A,0))),0)</f>
        <v>0</v>
      </c>
      <c r="G403" s="114">
        <f t="shared" si="1"/>
        <v>0</v>
      </c>
      <c r="H403" s="114">
        <f t="array" ref="H403">IFERROR(IF(B403="",0,INDEX(HPP_ENGINE!$J:$J,MATCH(B403,HPP_ENGINE!$A:$A,0))),0)</f>
        <v>0</v>
      </c>
      <c r="I403" s="114">
        <f t="shared" si="2"/>
        <v>0</v>
      </c>
      <c r="J403" s="114">
        <f t="shared" si="3"/>
        <v>0</v>
      </c>
      <c r="K403" s="133">
        <f t="shared" si="4"/>
        <v>0</v>
      </c>
    </row>
    <row r="404" ht="18.0" customHeight="1">
      <c r="A404" s="134"/>
      <c r="B404" s="77"/>
      <c r="C404" s="77"/>
      <c r="D404" s="135" t="str">
        <f t="array" ref="D404">IFERROR(IF(C404="","",INDEX(PRODUK!$B:$B,MATCH(C404,PRODUK!$A:$A,0))),"")</f>
        <v/>
      </c>
      <c r="E404" s="117"/>
      <c r="F404" s="119">
        <f t="array" ref="F404">IFERROR(IF(C404="",0,INDEX(PRODUK!$F:$F,MATCH(C404,PRODUK!$A:$A,0))),0)</f>
        <v>0</v>
      </c>
      <c r="G404" s="118">
        <f t="shared" si="1"/>
        <v>0</v>
      </c>
      <c r="H404" s="118">
        <f t="array" ref="H404">IFERROR(IF(B404="",0,INDEX(HPP_ENGINE!$J:$J,MATCH(B404,HPP_ENGINE!$A:$A,0))),0)</f>
        <v>0</v>
      </c>
      <c r="I404" s="118">
        <f t="shared" si="2"/>
        <v>0</v>
      </c>
      <c r="J404" s="118">
        <f t="shared" si="3"/>
        <v>0</v>
      </c>
      <c r="K404" s="136">
        <f t="shared" si="4"/>
        <v>0</v>
      </c>
    </row>
    <row r="405" ht="18.0" customHeight="1">
      <c r="A405" s="132"/>
      <c r="B405" s="72"/>
      <c r="C405" s="72"/>
      <c r="D405" s="137" t="str">
        <f t="array" ref="D405">IFERROR(IF(C405="","",INDEX(PRODUK!$B:$B,MATCH(C405,PRODUK!$A:$A,0))),"")</f>
        <v/>
      </c>
      <c r="E405" s="113"/>
      <c r="F405" s="115">
        <f t="array" ref="F405">IFERROR(IF(C405="",0,INDEX(PRODUK!$F:$F,MATCH(C405,PRODUK!$A:$A,0))),0)</f>
        <v>0</v>
      </c>
      <c r="G405" s="114">
        <f t="shared" si="1"/>
        <v>0</v>
      </c>
      <c r="H405" s="114">
        <f t="array" ref="H405">IFERROR(IF(B405="",0,INDEX(HPP_ENGINE!$J:$J,MATCH(B405,HPP_ENGINE!$A:$A,0))),0)</f>
        <v>0</v>
      </c>
      <c r="I405" s="114">
        <f t="shared" si="2"/>
        <v>0</v>
      </c>
      <c r="J405" s="114">
        <f t="shared" si="3"/>
        <v>0</v>
      </c>
      <c r="K405" s="133">
        <f t="shared" si="4"/>
        <v>0</v>
      </c>
    </row>
    <row r="406" ht="18.0" customHeight="1">
      <c r="A406" s="134"/>
      <c r="B406" s="77"/>
      <c r="C406" s="77"/>
      <c r="D406" s="135" t="str">
        <f t="array" ref="D406">IFERROR(IF(C406="","",INDEX(PRODUK!$B:$B,MATCH(C406,PRODUK!$A:$A,0))),"")</f>
        <v/>
      </c>
      <c r="E406" s="117"/>
      <c r="F406" s="119">
        <f t="array" ref="F406">IFERROR(IF(C406="",0,INDEX(PRODUK!$F:$F,MATCH(C406,PRODUK!$A:$A,0))),0)</f>
        <v>0</v>
      </c>
      <c r="G406" s="118">
        <f t="shared" si="1"/>
        <v>0</v>
      </c>
      <c r="H406" s="118">
        <f t="array" ref="H406">IFERROR(IF(B406="",0,INDEX(HPP_ENGINE!$J:$J,MATCH(B406,HPP_ENGINE!$A:$A,0))),0)</f>
        <v>0</v>
      </c>
      <c r="I406" s="118">
        <f t="shared" si="2"/>
        <v>0</v>
      </c>
      <c r="J406" s="118">
        <f t="shared" si="3"/>
        <v>0</v>
      </c>
      <c r="K406" s="136">
        <f t="shared" si="4"/>
        <v>0</v>
      </c>
    </row>
    <row r="407" ht="18.0" customHeight="1">
      <c r="A407" s="132"/>
      <c r="B407" s="72"/>
      <c r="C407" s="72"/>
      <c r="D407" s="137" t="str">
        <f t="array" ref="D407">IFERROR(IF(C407="","",INDEX(PRODUK!$B:$B,MATCH(C407,PRODUK!$A:$A,0))),"")</f>
        <v/>
      </c>
      <c r="E407" s="113"/>
      <c r="F407" s="115">
        <f t="array" ref="F407">IFERROR(IF(C407="",0,INDEX(PRODUK!$F:$F,MATCH(C407,PRODUK!$A:$A,0))),0)</f>
        <v>0</v>
      </c>
      <c r="G407" s="114">
        <f t="shared" si="1"/>
        <v>0</v>
      </c>
      <c r="H407" s="114">
        <f t="array" ref="H407">IFERROR(IF(B407="",0,INDEX(HPP_ENGINE!$J:$J,MATCH(B407,HPP_ENGINE!$A:$A,0))),0)</f>
        <v>0</v>
      </c>
      <c r="I407" s="114">
        <f t="shared" si="2"/>
        <v>0</v>
      </c>
      <c r="J407" s="114">
        <f t="shared" si="3"/>
        <v>0</v>
      </c>
      <c r="K407" s="133">
        <f t="shared" si="4"/>
        <v>0</v>
      </c>
    </row>
    <row r="408" ht="18.0" customHeight="1">
      <c r="A408" s="134"/>
      <c r="B408" s="77"/>
      <c r="C408" s="77"/>
      <c r="D408" s="135" t="str">
        <f t="array" ref="D408">IFERROR(IF(C408="","",INDEX(PRODUK!$B:$B,MATCH(C408,PRODUK!$A:$A,0))),"")</f>
        <v/>
      </c>
      <c r="E408" s="117"/>
      <c r="F408" s="119">
        <f t="array" ref="F408">IFERROR(IF(C408="",0,INDEX(PRODUK!$F:$F,MATCH(C408,PRODUK!$A:$A,0))),0)</f>
        <v>0</v>
      </c>
      <c r="G408" s="118">
        <f t="shared" si="1"/>
        <v>0</v>
      </c>
      <c r="H408" s="118">
        <f t="array" ref="H408">IFERROR(IF(B408="",0,INDEX(HPP_ENGINE!$J:$J,MATCH(B408,HPP_ENGINE!$A:$A,0))),0)</f>
        <v>0</v>
      </c>
      <c r="I408" s="118">
        <f t="shared" si="2"/>
        <v>0</v>
      </c>
      <c r="J408" s="118">
        <f t="shared" si="3"/>
        <v>0</v>
      </c>
      <c r="K408" s="136">
        <f t="shared" si="4"/>
        <v>0</v>
      </c>
    </row>
    <row r="409" ht="18.0" customHeight="1">
      <c r="A409" s="132"/>
      <c r="B409" s="72"/>
      <c r="C409" s="72"/>
      <c r="D409" s="137" t="str">
        <f t="array" ref="D409">IFERROR(IF(C409="","",INDEX(PRODUK!$B:$B,MATCH(C409,PRODUK!$A:$A,0))),"")</f>
        <v/>
      </c>
      <c r="E409" s="113"/>
      <c r="F409" s="115">
        <f t="array" ref="F409">IFERROR(IF(C409="",0,INDEX(PRODUK!$F:$F,MATCH(C409,PRODUK!$A:$A,0))),0)</f>
        <v>0</v>
      </c>
      <c r="G409" s="114">
        <f t="shared" si="1"/>
        <v>0</v>
      </c>
      <c r="H409" s="114">
        <f t="array" ref="H409">IFERROR(IF(B409="",0,INDEX(HPP_ENGINE!$J:$J,MATCH(B409,HPP_ENGINE!$A:$A,0))),0)</f>
        <v>0</v>
      </c>
      <c r="I409" s="114">
        <f t="shared" si="2"/>
        <v>0</v>
      </c>
      <c r="J409" s="114">
        <f t="shared" si="3"/>
        <v>0</v>
      </c>
      <c r="K409" s="133">
        <f t="shared" si="4"/>
        <v>0</v>
      </c>
    </row>
    <row r="410" ht="18.0" customHeight="1">
      <c r="A410" s="134"/>
      <c r="B410" s="77"/>
      <c r="C410" s="77"/>
      <c r="D410" s="135" t="str">
        <f t="array" ref="D410">IFERROR(IF(C410="","",INDEX(PRODUK!$B:$B,MATCH(C410,PRODUK!$A:$A,0))),"")</f>
        <v/>
      </c>
      <c r="E410" s="117"/>
      <c r="F410" s="119">
        <f t="array" ref="F410">IFERROR(IF(C410="",0,INDEX(PRODUK!$F:$F,MATCH(C410,PRODUK!$A:$A,0))),0)</f>
        <v>0</v>
      </c>
      <c r="G410" s="118">
        <f t="shared" si="1"/>
        <v>0</v>
      </c>
      <c r="H410" s="118">
        <f t="array" ref="H410">IFERROR(IF(B410="",0,INDEX(HPP_ENGINE!$J:$J,MATCH(B410,HPP_ENGINE!$A:$A,0))),0)</f>
        <v>0</v>
      </c>
      <c r="I410" s="118">
        <f t="shared" si="2"/>
        <v>0</v>
      </c>
      <c r="J410" s="118">
        <f t="shared" si="3"/>
        <v>0</v>
      </c>
      <c r="K410" s="136">
        <f t="shared" si="4"/>
        <v>0</v>
      </c>
    </row>
    <row r="411" ht="18.0" customHeight="1">
      <c r="A411" s="132"/>
      <c r="B411" s="72"/>
      <c r="C411" s="72"/>
      <c r="D411" s="137" t="str">
        <f t="array" ref="D411">IFERROR(IF(C411="","",INDEX(PRODUK!$B:$B,MATCH(C411,PRODUK!$A:$A,0))),"")</f>
        <v/>
      </c>
      <c r="E411" s="113"/>
      <c r="F411" s="115">
        <f t="array" ref="F411">IFERROR(IF(C411="",0,INDEX(PRODUK!$F:$F,MATCH(C411,PRODUK!$A:$A,0))),0)</f>
        <v>0</v>
      </c>
      <c r="G411" s="114">
        <f t="shared" si="1"/>
        <v>0</v>
      </c>
      <c r="H411" s="114">
        <f t="array" ref="H411">IFERROR(IF(B411="",0,INDEX(HPP_ENGINE!$J:$J,MATCH(B411,HPP_ENGINE!$A:$A,0))),0)</f>
        <v>0</v>
      </c>
      <c r="I411" s="114">
        <f t="shared" si="2"/>
        <v>0</v>
      </c>
      <c r="J411" s="114">
        <f t="shared" si="3"/>
        <v>0</v>
      </c>
      <c r="K411" s="133">
        <f t="shared" si="4"/>
        <v>0</v>
      </c>
    </row>
    <row r="412" ht="18.0" customHeight="1">
      <c r="A412" s="134"/>
      <c r="B412" s="77"/>
      <c r="C412" s="77"/>
      <c r="D412" s="135" t="str">
        <f t="array" ref="D412">IFERROR(IF(C412="","",INDEX(PRODUK!$B:$B,MATCH(C412,PRODUK!$A:$A,0))),"")</f>
        <v/>
      </c>
      <c r="E412" s="117"/>
      <c r="F412" s="119">
        <f t="array" ref="F412">IFERROR(IF(C412="",0,INDEX(PRODUK!$F:$F,MATCH(C412,PRODUK!$A:$A,0))),0)</f>
        <v>0</v>
      </c>
      <c r="G412" s="118">
        <f t="shared" si="1"/>
        <v>0</v>
      </c>
      <c r="H412" s="118">
        <f t="array" ref="H412">IFERROR(IF(B412="",0,INDEX(HPP_ENGINE!$J:$J,MATCH(B412,HPP_ENGINE!$A:$A,0))),0)</f>
        <v>0</v>
      </c>
      <c r="I412" s="118">
        <f t="shared" si="2"/>
        <v>0</v>
      </c>
      <c r="J412" s="118">
        <f t="shared" si="3"/>
        <v>0</v>
      </c>
      <c r="K412" s="136">
        <f t="shared" si="4"/>
        <v>0</v>
      </c>
    </row>
    <row r="413" ht="18.0" customHeight="1">
      <c r="A413" s="132"/>
      <c r="B413" s="72"/>
      <c r="C413" s="72"/>
      <c r="D413" s="137" t="str">
        <f t="array" ref="D413">IFERROR(IF(C413="","",INDEX(PRODUK!$B:$B,MATCH(C413,PRODUK!$A:$A,0))),"")</f>
        <v/>
      </c>
      <c r="E413" s="113"/>
      <c r="F413" s="115">
        <f t="array" ref="F413">IFERROR(IF(C413="",0,INDEX(PRODUK!$F:$F,MATCH(C413,PRODUK!$A:$A,0))),0)</f>
        <v>0</v>
      </c>
      <c r="G413" s="114">
        <f t="shared" si="1"/>
        <v>0</v>
      </c>
      <c r="H413" s="114">
        <f t="array" ref="H413">IFERROR(IF(B413="",0,INDEX(HPP_ENGINE!$J:$J,MATCH(B413,HPP_ENGINE!$A:$A,0))),0)</f>
        <v>0</v>
      </c>
      <c r="I413" s="114">
        <f t="shared" si="2"/>
        <v>0</v>
      </c>
      <c r="J413" s="114">
        <f t="shared" si="3"/>
        <v>0</v>
      </c>
      <c r="K413" s="133">
        <f t="shared" si="4"/>
        <v>0</v>
      </c>
    </row>
    <row r="414" ht="18.0" customHeight="1">
      <c r="A414" s="134"/>
      <c r="B414" s="77"/>
      <c r="C414" s="77"/>
      <c r="D414" s="135" t="str">
        <f t="array" ref="D414">IFERROR(IF(C414="","",INDEX(PRODUK!$B:$B,MATCH(C414,PRODUK!$A:$A,0))),"")</f>
        <v/>
      </c>
      <c r="E414" s="117"/>
      <c r="F414" s="119">
        <f t="array" ref="F414">IFERROR(IF(C414="",0,INDEX(PRODUK!$F:$F,MATCH(C414,PRODUK!$A:$A,0))),0)</f>
        <v>0</v>
      </c>
      <c r="G414" s="118">
        <f t="shared" si="1"/>
        <v>0</v>
      </c>
      <c r="H414" s="118">
        <f t="array" ref="H414">IFERROR(IF(B414="",0,INDEX(HPP_ENGINE!$J:$J,MATCH(B414,HPP_ENGINE!$A:$A,0))),0)</f>
        <v>0</v>
      </c>
      <c r="I414" s="118">
        <f t="shared" si="2"/>
        <v>0</v>
      </c>
      <c r="J414" s="118">
        <f t="shared" si="3"/>
        <v>0</v>
      </c>
      <c r="K414" s="136">
        <f t="shared" si="4"/>
        <v>0</v>
      </c>
    </row>
    <row r="415" ht="18.0" customHeight="1">
      <c r="A415" s="132"/>
      <c r="B415" s="72"/>
      <c r="C415" s="72"/>
      <c r="D415" s="137" t="str">
        <f t="array" ref="D415">IFERROR(IF(C415="","",INDEX(PRODUK!$B:$B,MATCH(C415,PRODUK!$A:$A,0))),"")</f>
        <v/>
      </c>
      <c r="E415" s="113"/>
      <c r="F415" s="115">
        <f t="array" ref="F415">IFERROR(IF(C415="",0,INDEX(PRODUK!$F:$F,MATCH(C415,PRODUK!$A:$A,0))),0)</f>
        <v>0</v>
      </c>
      <c r="G415" s="114">
        <f t="shared" si="1"/>
        <v>0</v>
      </c>
      <c r="H415" s="114">
        <f t="array" ref="H415">IFERROR(IF(B415="",0,INDEX(HPP_ENGINE!$J:$J,MATCH(B415,HPP_ENGINE!$A:$A,0))),0)</f>
        <v>0</v>
      </c>
      <c r="I415" s="114">
        <f t="shared" si="2"/>
        <v>0</v>
      </c>
      <c r="J415" s="114">
        <f t="shared" si="3"/>
        <v>0</v>
      </c>
      <c r="K415" s="133">
        <f t="shared" si="4"/>
        <v>0</v>
      </c>
    </row>
    <row r="416" ht="18.0" customHeight="1">
      <c r="A416" s="134"/>
      <c r="B416" s="77"/>
      <c r="C416" s="77"/>
      <c r="D416" s="135" t="str">
        <f t="array" ref="D416">IFERROR(IF(C416="","",INDEX(PRODUK!$B:$B,MATCH(C416,PRODUK!$A:$A,0))),"")</f>
        <v/>
      </c>
      <c r="E416" s="117"/>
      <c r="F416" s="119">
        <f t="array" ref="F416">IFERROR(IF(C416="",0,INDEX(PRODUK!$F:$F,MATCH(C416,PRODUK!$A:$A,0))),0)</f>
        <v>0</v>
      </c>
      <c r="G416" s="118">
        <f t="shared" si="1"/>
        <v>0</v>
      </c>
      <c r="H416" s="118">
        <f t="array" ref="H416">IFERROR(IF(B416="",0,INDEX(HPP_ENGINE!$J:$J,MATCH(B416,HPP_ENGINE!$A:$A,0))),0)</f>
        <v>0</v>
      </c>
      <c r="I416" s="118">
        <f t="shared" si="2"/>
        <v>0</v>
      </c>
      <c r="J416" s="118">
        <f t="shared" si="3"/>
        <v>0</v>
      </c>
      <c r="K416" s="136">
        <f t="shared" si="4"/>
        <v>0</v>
      </c>
    </row>
    <row r="417" ht="18.0" customHeight="1">
      <c r="A417" s="132"/>
      <c r="B417" s="72"/>
      <c r="C417" s="72"/>
      <c r="D417" s="137" t="str">
        <f t="array" ref="D417">IFERROR(IF(C417="","",INDEX(PRODUK!$B:$B,MATCH(C417,PRODUK!$A:$A,0))),"")</f>
        <v/>
      </c>
      <c r="E417" s="113"/>
      <c r="F417" s="115">
        <f t="array" ref="F417">IFERROR(IF(C417="",0,INDEX(PRODUK!$F:$F,MATCH(C417,PRODUK!$A:$A,0))),0)</f>
        <v>0</v>
      </c>
      <c r="G417" s="114">
        <f t="shared" si="1"/>
        <v>0</v>
      </c>
      <c r="H417" s="114">
        <f t="array" ref="H417">IFERROR(IF(B417="",0,INDEX(HPP_ENGINE!$J:$J,MATCH(B417,HPP_ENGINE!$A:$A,0))),0)</f>
        <v>0</v>
      </c>
      <c r="I417" s="114">
        <f t="shared" si="2"/>
        <v>0</v>
      </c>
      <c r="J417" s="114">
        <f t="shared" si="3"/>
        <v>0</v>
      </c>
      <c r="K417" s="133">
        <f t="shared" si="4"/>
        <v>0</v>
      </c>
    </row>
    <row r="418" ht="18.0" customHeight="1">
      <c r="A418" s="134"/>
      <c r="B418" s="77"/>
      <c r="C418" s="77"/>
      <c r="D418" s="135" t="str">
        <f t="array" ref="D418">IFERROR(IF(C418="","",INDEX(PRODUK!$B:$B,MATCH(C418,PRODUK!$A:$A,0))),"")</f>
        <v/>
      </c>
      <c r="E418" s="117"/>
      <c r="F418" s="119">
        <f t="array" ref="F418">IFERROR(IF(C418="",0,INDEX(PRODUK!$F:$F,MATCH(C418,PRODUK!$A:$A,0))),0)</f>
        <v>0</v>
      </c>
      <c r="G418" s="118">
        <f t="shared" si="1"/>
        <v>0</v>
      </c>
      <c r="H418" s="118">
        <f t="array" ref="H418">IFERROR(IF(B418="",0,INDEX(HPP_ENGINE!$J:$J,MATCH(B418,HPP_ENGINE!$A:$A,0))),0)</f>
        <v>0</v>
      </c>
      <c r="I418" s="118">
        <f t="shared" si="2"/>
        <v>0</v>
      </c>
      <c r="J418" s="118">
        <f t="shared" si="3"/>
        <v>0</v>
      </c>
      <c r="K418" s="136">
        <f t="shared" si="4"/>
        <v>0</v>
      </c>
    </row>
    <row r="419" ht="18.0" customHeight="1">
      <c r="A419" s="132"/>
      <c r="B419" s="72"/>
      <c r="C419" s="72"/>
      <c r="D419" s="137" t="str">
        <f t="array" ref="D419">IFERROR(IF(C419="","",INDEX(PRODUK!$B:$B,MATCH(C419,PRODUK!$A:$A,0))),"")</f>
        <v/>
      </c>
      <c r="E419" s="113"/>
      <c r="F419" s="115">
        <f t="array" ref="F419">IFERROR(IF(C419="",0,INDEX(PRODUK!$F:$F,MATCH(C419,PRODUK!$A:$A,0))),0)</f>
        <v>0</v>
      </c>
      <c r="G419" s="114">
        <f t="shared" si="1"/>
        <v>0</v>
      </c>
      <c r="H419" s="114">
        <f t="array" ref="H419">IFERROR(IF(B419="",0,INDEX(HPP_ENGINE!$J:$J,MATCH(B419,HPP_ENGINE!$A:$A,0))),0)</f>
        <v>0</v>
      </c>
      <c r="I419" s="114">
        <f t="shared" si="2"/>
        <v>0</v>
      </c>
      <c r="J419" s="114">
        <f t="shared" si="3"/>
        <v>0</v>
      </c>
      <c r="K419" s="133">
        <f t="shared" si="4"/>
        <v>0</v>
      </c>
    </row>
    <row r="420" ht="18.0" customHeight="1">
      <c r="A420" s="134"/>
      <c r="B420" s="77"/>
      <c r="C420" s="77"/>
      <c r="D420" s="135" t="str">
        <f t="array" ref="D420">IFERROR(IF(C420="","",INDEX(PRODUK!$B:$B,MATCH(C420,PRODUK!$A:$A,0))),"")</f>
        <v/>
      </c>
      <c r="E420" s="117"/>
      <c r="F420" s="119">
        <f t="array" ref="F420">IFERROR(IF(C420="",0,INDEX(PRODUK!$F:$F,MATCH(C420,PRODUK!$A:$A,0))),0)</f>
        <v>0</v>
      </c>
      <c r="G420" s="118">
        <f t="shared" si="1"/>
        <v>0</v>
      </c>
      <c r="H420" s="118">
        <f t="array" ref="H420">IFERROR(IF(B420="",0,INDEX(HPP_ENGINE!$J:$J,MATCH(B420,HPP_ENGINE!$A:$A,0))),0)</f>
        <v>0</v>
      </c>
      <c r="I420" s="118">
        <f t="shared" si="2"/>
        <v>0</v>
      </c>
      <c r="J420" s="118">
        <f t="shared" si="3"/>
        <v>0</v>
      </c>
      <c r="K420" s="136">
        <f t="shared" si="4"/>
        <v>0</v>
      </c>
    </row>
    <row r="421" ht="18.0" customHeight="1">
      <c r="A421" s="132"/>
      <c r="B421" s="72"/>
      <c r="C421" s="72"/>
      <c r="D421" s="137" t="str">
        <f t="array" ref="D421">IFERROR(IF(C421="","",INDEX(PRODUK!$B:$B,MATCH(C421,PRODUK!$A:$A,0))),"")</f>
        <v/>
      </c>
      <c r="E421" s="113"/>
      <c r="F421" s="115">
        <f t="array" ref="F421">IFERROR(IF(C421="",0,INDEX(PRODUK!$F:$F,MATCH(C421,PRODUK!$A:$A,0))),0)</f>
        <v>0</v>
      </c>
      <c r="G421" s="114">
        <f t="shared" si="1"/>
        <v>0</v>
      </c>
      <c r="H421" s="114">
        <f t="array" ref="H421">IFERROR(IF(B421="",0,INDEX(HPP_ENGINE!$J:$J,MATCH(B421,HPP_ENGINE!$A:$A,0))),0)</f>
        <v>0</v>
      </c>
      <c r="I421" s="114">
        <f t="shared" si="2"/>
        <v>0</v>
      </c>
      <c r="J421" s="114">
        <f t="shared" si="3"/>
        <v>0</v>
      </c>
      <c r="K421" s="133">
        <f t="shared" si="4"/>
        <v>0</v>
      </c>
    </row>
    <row r="422" ht="18.0" customHeight="1">
      <c r="A422" s="134"/>
      <c r="B422" s="77"/>
      <c r="C422" s="77"/>
      <c r="D422" s="135" t="str">
        <f t="array" ref="D422">IFERROR(IF(C422="","",INDEX(PRODUK!$B:$B,MATCH(C422,PRODUK!$A:$A,0))),"")</f>
        <v/>
      </c>
      <c r="E422" s="117"/>
      <c r="F422" s="119">
        <f t="array" ref="F422">IFERROR(IF(C422="",0,INDEX(PRODUK!$F:$F,MATCH(C422,PRODUK!$A:$A,0))),0)</f>
        <v>0</v>
      </c>
      <c r="G422" s="118">
        <f t="shared" si="1"/>
        <v>0</v>
      </c>
      <c r="H422" s="118">
        <f t="array" ref="H422">IFERROR(IF(B422="",0,INDEX(HPP_ENGINE!$J:$J,MATCH(B422,HPP_ENGINE!$A:$A,0))),0)</f>
        <v>0</v>
      </c>
      <c r="I422" s="118">
        <f t="shared" si="2"/>
        <v>0</v>
      </c>
      <c r="J422" s="118">
        <f t="shared" si="3"/>
        <v>0</v>
      </c>
      <c r="K422" s="136">
        <f t="shared" si="4"/>
        <v>0</v>
      </c>
    </row>
    <row r="423" ht="18.0" customHeight="1">
      <c r="A423" s="132"/>
      <c r="B423" s="72"/>
      <c r="C423" s="72"/>
      <c r="D423" s="137" t="str">
        <f t="array" ref="D423">IFERROR(IF(C423="","",INDEX(PRODUK!$B:$B,MATCH(C423,PRODUK!$A:$A,0))),"")</f>
        <v/>
      </c>
      <c r="E423" s="113"/>
      <c r="F423" s="115">
        <f t="array" ref="F423">IFERROR(IF(C423="",0,INDEX(PRODUK!$F:$F,MATCH(C423,PRODUK!$A:$A,0))),0)</f>
        <v>0</v>
      </c>
      <c r="G423" s="114">
        <f t="shared" si="1"/>
        <v>0</v>
      </c>
      <c r="H423" s="114">
        <f t="array" ref="H423">IFERROR(IF(B423="",0,INDEX(HPP_ENGINE!$J:$J,MATCH(B423,HPP_ENGINE!$A:$A,0))),0)</f>
        <v>0</v>
      </c>
      <c r="I423" s="114">
        <f t="shared" si="2"/>
        <v>0</v>
      </c>
      <c r="J423" s="114">
        <f t="shared" si="3"/>
        <v>0</v>
      </c>
      <c r="K423" s="133">
        <f t="shared" si="4"/>
        <v>0</v>
      </c>
    </row>
    <row r="424" ht="18.0" customHeight="1">
      <c r="A424" s="134"/>
      <c r="B424" s="77"/>
      <c r="C424" s="77"/>
      <c r="D424" s="135" t="str">
        <f t="array" ref="D424">IFERROR(IF(C424="","",INDEX(PRODUK!$B:$B,MATCH(C424,PRODUK!$A:$A,0))),"")</f>
        <v/>
      </c>
      <c r="E424" s="117"/>
      <c r="F424" s="119">
        <f t="array" ref="F424">IFERROR(IF(C424="",0,INDEX(PRODUK!$F:$F,MATCH(C424,PRODUK!$A:$A,0))),0)</f>
        <v>0</v>
      </c>
      <c r="G424" s="118">
        <f t="shared" si="1"/>
        <v>0</v>
      </c>
      <c r="H424" s="118">
        <f t="array" ref="H424">IFERROR(IF(B424="",0,INDEX(HPP_ENGINE!$J:$J,MATCH(B424,HPP_ENGINE!$A:$A,0))),0)</f>
        <v>0</v>
      </c>
      <c r="I424" s="118">
        <f t="shared" si="2"/>
        <v>0</v>
      </c>
      <c r="J424" s="118">
        <f t="shared" si="3"/>
        <v>0</v>
      </c>
      <c r="K424" s="136">
        <f t="shared" si="4"/>
        <v>0</v>
      </c>
    </row>
    <row r="425" ht="18.0" customHeight="1">
      <c r="A425" s="132"/>
      <c r="B425" s="72"/>
      <c r="C425" s="72"/>
      <c r="D425" s="137" t="str">
        <f t="array" ref="D425">IFERROR(IF(C425="","",INDEX(PRODUK!$B:$B,MATCH(C425,PRODUK!$A:$A,0))),"")</f>
        <v/>
      </c>
      <c r="E425" s="113"/>
      <c r="F425" s="115">
        <f t="array" ref="F425">IFERROR(IF(C425="",0,INDEX(PRODUK!$F:$F,MATCH(C425,PRODUK!$A:$A,0))),0)</f>
        <v>0</v>
      </c>
      <c r="G425" s="114">
        <f t="shared" si="1"/>
        <v>0</v>
      </c>
      <c r="H425" s="114">
        <f t="array" ref="H425">IFERROR(IF(B425="",0,INDEX(HPP_ENGINE!$J:$J,MATCH(B425,HPP_ENGINE!$A:$A,0))),0)</f>
        <v>0</v>
      </c>
      <c r="I425" s="114">
        <f t="shared" si="2"/>
        <v>0</v>
      </c>
      <c r="J425" s="114">
        <f t="shared" si="3"/>
        <v>0</v>
      </c>
      <c r="K425" s="133">
        <f t="shared" si="4"/>
        <v>0</v>
      </c>
    </row>
    <row r="426" ht="18.0" customHeight="1">
      <c r="A426" s="134"/>
      <c r="B426" s="77"/>
      <c r="C426" s="77"/>
      <c r="D426" s="135" t="str">
        <f t="array" ref="D426">IFERROR(IF(C426="","",INDEX(PRODUK!$B:$B,MATCH(C426,PRODUK!$A:$A,0))),"")</f>
        <v/>
      </c>
      <c r="E426" s="117"/>
      <c r="F426" s="119">
        <f t="array" ref="F426">IFERROR(IF(C426="",0,INDEX(PRODUK!$F:$F,MATCH(C426,PRODUK!$A:$A,0))),0)</f>
        <v>0</v>
      </c>
      <c r="G426" s="118">
        <f t="shared" si="1"/>
        <v>0</v>
      </c>
      <c r="H426" s="118">
        <f t="array" ref="H426">IFERROR(IF(B426="",0,INDEX(HPP_ENGINE!$J:$J,MATCH(B426,HPP_ENGINE!$A:$A,0))),0)</f>
        <v>0</v>
      </c>
      <c r="I426" s="118">
        <f t="shared" si="2"/>
        <v>0</v>
      </c>
      <c r="J426" s="118">
        <f t="shared" si="3"/>
        <v>0</v>
      </c>
      <c r="K426" s="136">
        <f t="shared" si="4"/>
        <v>0</v>
      </c>
    </row>
    <row r="427" ht="18.0" customHeight="1">
      <c r="A427" s="132"/>
      <c r="B427" s="72"/>
      <c r="C427" s="72"/>
      <c r="D427" s="137" t="str">
        <f t="array" ref="D427">IFERROR(IF(C427="","",INDEX(PRODUK!$B:$B,MATCH(C427,PRODUK!$A:$A,0))),"")</f>
        <v/>
      </c>
      <c r="E427" s="113"/>
      <c r="F427" s="115">
        <f t="array" ref="F427">IFERROR(IF(C427="",0,INDEX(PRODUK!$F:$F,MATCH(C427,PRODUK!$A:$A,0))),0)</f>
        <v>0</v>
      </c>
      <c r="G427" s="114">
        <f t="shared" si="1"/>
        <v>0</v>
      </c>
      <c r="H427" s="114">
        <f t="array" ref="H427">IFERROR(IF(B427="",0,INDEX(HPP_ENGINE!$J:$J,MATCH(B427,HPP_ENGINE!$A:$A,0))),0)</f>
        <v>0</v>
      </c>
      <c r="I427" s="114">
        <f t="shared" si="2"/>
        <v>0</v>
      </c>
      <c r="J427" s="114">
        <f t="shared" si="3"/>
        <v>0</v>
      </c>
      <c r="K427" s="133">
        <f t="shared" si="4"/>
        <v>0</v>
      </c>
    </row>
    <row r="428" ht="18.0" customHeight="1">
      <c r="A428" s="134"/>
      <c r="B428" s="77"/>
      <c r="C428" s="77"/>
      <c r="D428" s="135" t="str">
        <f t="array" ref="D428">IFERROR(IF(C428="","",INDEX(PRODUK!$B:$B,MATCH(C428,PRODUK!$A:$A,0))),"")</f>
        <v/>
      </c>
      <c r="E428" s="117"/>
      <c r="F428" s="119">
        <f t="array" ref="F428">IFERROR(IF(C428="",0,INDEX(PRODUK!$F:$F,MATCH(C428,PRODUK!$A:$A,0))),0)</f>
        <v>0</v>
      </c>
      <c r="G428" s="118">
        <f t="shared" si="1"/>
        <v>0</v>
      </c>
      <c r="H428" s="118">
        <f t="array" ref="H428">IFERROR(IF(B428="",0,INDEX(HPP_ENGINE!$J:$J,MATCH(B428,HPP_ENGINE!$A:$A,0))),0)</f>
        <v>0</v>
      </c>
      <c r="I428" s="118">
        <f t="shared" si="2"/>
        <v>0</v>
      </c>
      <c r="J428" s="118">
        <f t="shared" si="3"/>
        <v>0</v>
      </c>
      <c r="K428" s="136">
        <f t="shared" si="4"/>
        <v>0</v>
      </c>
    </row>
    <row r="429" ht="18.0" customHeight="1">
      <c r="A429" s="132"/>
      <c r="B429" s="72"/>
      <c r="C429" s="72"/>
      <c r="D429" s="137" t="str">
        <f t="array" ref="D429">IFERROR(IF(C429="","",INDEX(PRODUK!$B:$B,MATCH(C429,PRODUK!$A:$A,0))),"")</f>
        <v/>
      </c>
      <c r="E429" s="113"/>
      <c r="F429" s="115">
        <f t="array" ref="F429">IFERROR(IF(C429="",0,INDEX(PRODUK!$F:$F,MATCH(C429,PRODUK!$A:$A,0))),0)</f>
        <v>0</v>
      </c>
      <c r="G429" s="114">
        <f t="shared" si="1"/>
        <v>0</v>
      </c>
      <c r="H429" s="114">
        <f t="array" ref="H429">IFERROR(IF(B429="",0,INDEX(HPP_ENGINE!$J:$J,MATCH(B429,HPP_ENGINE!$A:$A,0))),0)</f>
        <v>0</v>
      </c>
      <c r="I429" s="114">
        <f t="shared" si="2"/>
        <v>0</v>
      </c>
      <c r="J429" s="114">
        <f t="shared" si="3"/>
        <v>0</v>
      </c>
      <c r="K429" s="133">
        <f t="shared" si="4"/>
        <v>0</v>
      </c>
    </row>
    <row r="430" ht="18.0" customHeight="1">
      <c r="A430" s="134"/>
      <c r="B430" s="77"/>
      <c r="C430" s="77"/>
      <c r="D430" s="135" t="str">
        <f t="array" ref="D430">IFERROR(IF(C430="","",INDEX(PRODUK!$B:$B,MATCH(C430,PRODUK!$A:$A,0))),"")</f>
        <v/>
      </c>
      <c r="E430" s="117"/>
      <c r="F430" s="119">
        <f t="array" ref="F430">IFERROR(IF(C430="",0,INDEX(PRODUK!$F:$F,MATCH(C430,PRODUK!$A:$A,0))),0)</f>
        <v>0</v>
      </c>
      <c r="G430" s="118">
        <f t="shared" si="1"/>
        <v>0</v>
      </c>
      <c r="H430" s="118">
        <f t="array" ref="H430">IFERROR(IF(B430="",0,INDEX(HPP_ENGINE!$J:$J,MATCH(B430,HPP_ENGINE!$A:$A,0))),0)</f>
        <v>0</v>
      </c>
      <c r="I430" s="118">
        <f t="shared" si="2"/>
        <v>0</v>
      </c>
      <c r="J430" s="118">
        <f t="shared" si="3"/>
        <v>0</v>
      </c>
      <c r="K430" s="136">
        <f t="shared" si="4"/>
        <v>0</v>
      </c>
    </row>
    <row r="431" ht="18.0" customHeight="1">
      <c r="A431" s="132"/>
      <c r="B431" s="72"/>
      <c r="C431" s="72"/>
      <c r="D431" s="137" t="str">
        <f t="array" ref="D431">IFERROR(IF(C431="","",INDEX(PRODUK!$B:$B,MATCH(C431,PRODUK!$A:$A,0))),"")</f>
        <v/>
      </c>
      <c r="E431" s="113"/>
      <c r="F431" s="115">
        <f t="array" ref="F431">IFERROR(IF(C431="",0,INDEX(PRODUK!$F:$F,MATCH(C431,PRODUK!$A:$A,0))),0)</f>
        <v>0</v>
      </c>
      <c r="G431" s="114">
        <f t="shared" si="1"/>
        <v>0</v>
      </c>
      <c r="H431" s="114">
        <f t="array" ref="H431">IFERROR(IF(B431="",0,INDEX(HPP_ENGINE!$J:$J,MATCH(B431,HPP_ENGINE!$A:$A,0))),0)</f>
        <v>0</v>
      </c>
      <c r="I431" s="114">
        <f t="shared" si="2"/>
        <v>0</v>
      </c>
      <c r="J431" s="114">
        <f t="shared" si="3"/>
        <v>0</v>
      </c>
      <c r="K431" s="133">
        <f t="shared" si="4"/>
        <v>0</v>
      </c>
    </row>
    <row r="432" ht="18.0" customHeight="1">
      <c r="A432" s="134"/>
      <c r="B432" s="77"/>
      <c r="C432" s="77"/>
      <c r="D432" s="135" t="str">
        <f t="array" ref="D432">IFERROR(IF(C432="","",INDEX(PRODUK!$B:$B,MATCH(C432,PRODUK!$A:$A,0))),"")</f>
        <v/>
      </c>
      <c r="E432" s="117"/>
      <c r="F432" s="119">
        <f t="array" ref="F432">IFERROR(IF(C432="",0,INDEX(PRODUK!$F:$F,MATCH(C432,PRODUK!$A:$A,0))),0)</f>
        <v>0</v>
      </c>
      <c r="G432" s="118">
        <f t="shared" si="1"/>
        <v>0</v>
      </c>
      <c r="H432" s="118">
        <f t="array" ref="H432">IFERROR(IF(B432="",0,INDEX(HPP_ENGINE!$J:$J,MATCH(B432,HPP_ENGINE!$A:$A,0))),0)</f>
        <v>0</v>
      </c>
      <c r="I432" s="118">
        <f t="shared" si="2"/>
        <v>0</v>
      </c>
      <c r="J432" s="118">
        <f t="shared" si="3"/>
        <v>0</v>
      </c>
      <c r="K432" s="136">
        <f t="shared" si="4"/>
        <v>0</v>
      </c>
    </row>
    <row r="433" ht="18.0" customHeight="1">
      <c r="A433" s="132"/>
      <c r="B433" s="72"/>
      <c r="C433" s="72"/>
      <c r="D433" s="137" t="str">
        <f t="array" ref="D433">IFERROR(IF(C433="","",INDEX(PRODUK!$B:$B,MATCH(C433,PRODUK!$A:$A,0))),"")</f>
        <v/>
      </c>
      <c r="E433" s="113"/>
      <c r="F433" s="115">
        <f t="array" ref="F433">IFERROR(IF(C433="",0,INDEX(PRODUK!$F:$F,MATCH(C433,PRODUK!$A:$A,0))),0)</f>
        <v>0</v>
      </c>
      <c r="G433" s="114">
        <f t="shared" si="1"/>
        <v>0</v>
      </c>
      <c r="H433" s="114">
        <f t="array" ref="H433">IFERROR(IF(B433="",0,INDEX(HPP_ENGINE!$J:$J,MATCH(B433,HPP_ENGINE!$A:$A,0))),0)</f>
        <v>0</v>
      </c>
      <c r="I433" s="114">
        <f t="shared" si="2"/>
        <v>0</v>
      </c>
      <c r="J433" s="114">
        <f t="shared" si="3"/>
        <v>0</v>
      </c>
      <c r="K433" s="133">
        <f t="shared" si="4"/>
        <v>0</v>
      </c>
    </row>
    <row r="434" ht="18.0" customHeight="1">
      <c r="A434" s="134"/>
      <c r="B434" s="77"/>
      <c r="C434" s="77"/>
      <c r="D434" s="135" t="str">
        <f t="array" ref="D434">IFERROR(IF(C434="","",INDEX(PRODUK!$B:$B,MATCH(C434,PRODUK!$A:$A,0))),"")</f>
        <v/>
      </c>
      <c r="E434" s="117"/>
      <c r="F434" s="119">
        <f t="array" ref="F434">IFERROR(IF(C434="",0,INDEX(PRODUK!$F:$F,MATCH(C434,PRODUK!$A:$A,0))),0)</f>
        <v>0</v>
      </c>
      <c r="G434" s="118">
        <f t="shared" si="1"/>
        <v>0</v>
      </c>
      <c r="H434" s="118">
        <f t="array" ref="H434">IFERROR(IF(B434="",0,INDEX(HPP_ENGINE!$J:$J,MATCH(B434,HPP_ENGINE!$A:$A,0))),0)</f>
        <v>0</v>
      </c>
      <c r="I434" s="118">
        <f t="shared" si="2"/>
        <v>0</v>
      </c>
      <c r="J434" s="118">
        <f t="shared" si="3"/>
        <v>0</v>
      </c>
      <c r="K434" s="136">
        <f t="shared" si="4"/>
        <v>0</v>
      </c>
    </row>
    <row r="435" ht="18.0" customHeight="1">
      <c r="A435" s="132"/>
      <c r="B435" s="72"/>
      <c r="C435" s="72"/>
      <c r="D435" s="137" t="str">
        <f t="array" ref="D435">IFERROR(IF(C435="","",INDEX(PRODUK!$B:$B,MATCH(C435,PRODUK!$A:$A,0))),"")</f>
        <v/>
      </c>
      <c r="E435" s="113"/>
      <c r="F435" s="115">
        <f t="array" ref="F435">IFERROR(IF(C435="",0,INDEX(PRODUK!$F:$F,MATCH(C435,PRODUK!$A:$A,0))),0)</f>
        <v>0</v>
      </c>
      <c r="G435" s="114">
        <f t="shared" si="1"/>
        <v>0</v>
      </c>
      <c r="H435" s="114">
        <f t="array" ref="H435">IFERROR(IF(B435="",0,INDEX(HPP_ENGINE!$J:$J,MATCH(B435,HPP_ENGINE!$A:$A,0))),0)</f>
        <v>0</v>
      </c>
      <c r="I435" s="114">
        <f t="shared" si="2"/>
        <v>0</v>
      </c>
      <c r="J435" s="114">
        <f t="shared" si="3"/>
        <v>0</v>
      </c>
      <c r="K435" s="133">
        <f t="shared" si="4"/>
        <v>0</v>
      </c>
    </row>
    <row r="436" ht="18.0" customHeight="1">
      <c r="A436" s="134"/>
      <c r="B436" s="77"/>
      <c r="C436" s="77"/>
      <c r="D436" s="135" t="str">
        <f t="array" ref="D436">IFERROR(IF(C436="","",INDEX(PRODUK!$B:$B,MATCH(C436,PRODUK!$A:$A,0))),"")</f>
        <v/>
      </c>
      <c r="E436" s="117"/>
      <c r="F436" s="119">
        <f t="array" ref="F436">IFERROR(IF(C436="",0,INDEX(PRODUK!$F:$F,MATCH(C436,PRODUK!$A:$A,0))),0)</f>
        <v>0</v>
      </c>
      <c r="G436" s="118">
        <f t="shared" si="1"/>
        <v>0</v>
      </c>
      <c r="H436" s="118">
        <f t="array" ref="H436">IFERROR(IF(B436="",0,INDEX(HPP_ENGINE!$J:$J,MATCH(B436,HPP_ENGINE!$A:$A,0))),0)</f>
        <v>0</v>
      </c>
      <c r="I436" s="118">
        <f t="shared" si="2"/>
        <v>0</v>
      </c>
      <c r="J436" s="118">
        <f t="shared" si="3"/>
        <v>0</v>
      </c>
      <c r="K436" s="136">
        <f t="shared" si="4"/>
        <v>0</v>
      </c>
    </row>
    <row r="437" ht="18.0" customHeight="1">
      <c r="A437" s="132"/>
      <c r="B437" s="72"/>
      <c r="C437" s="72"/>
      <c r="D437" s="137" t="str">
        <f t="array" ref="D437">IFERROR(IF(C437="","",INDEX(PRODUK!$B:$B,MATCH(C437,PRODUK!$A:$A,0))),"")</f>
        <v/>
      </c>
      <c r="E437" s="113"/>
      <c r="F437" s="115">
        <f t="array" ref="F437">IFERROR(IF(C437="",0,INDEX(PRODUK!$F:$F,MATCH(C437,PRODUK!$A:$A,0))),0)</f>
        <v>0</v>
      </c>
      <c r="G437" s="114">
        <f t="shared" si="1"/>
        <v>0</v>
      </c>
      <c r="H437" s="114">
        <f t="array" ref="H437">IFERROR(IF(B437="",0,INDEX(HPP_ENGINE!$J:$J,MATCH(B437,HPP_ENGINE!$A:$A,0))),0)</f>
        <v>0</v>
      </c>
      <c r="I437" s="114">
        <f t="shared" si="2"/>
        <v>0</v>
      </c>
      <c r="J437" s="114">
        <f t="shared" si="3"/>
        <v>0</v>
      </c>
      <c r="K437" s="133">
        <f t="shared" si="4"/>
        <v>0</v>
      </c>
    </row>
    <row r="438" ht="18.0" customHeight="1">
      <c r="A438" s="134"/>
      <c r="B438" s="77"/>
      <c r="C438" s="77"/>
      <c r="D438" s="135" t="str">
        <f t="array" ref="D438">IFERROR(IF(C438="","",INDEX(PRODUK!$B:$B,MATCH(C438,PRODUK!$A:$A,0))),"")</f>
        <v/>
      </c>
      <c r="E438" s="117"/>
      <c r="F438" s="119">
        <f t="array" ref="F438">IFERROR(IF(C438="",0,INDEX(PRODUK!$F:$F,MATCH(C438,PRODUK!$A:$A,0))),0)</f>
        <v>0</v>
      </c>
      <c r="G438" s="118">
        <f t="shared" si="1"/>
        <v>0</v>
      </c>
      <c r="H438" s="118">
        <f t="array" ref="H438">IFERROR(IF(B438="",0,INDEX(HPP_ENGINE!$J:$J,MATCH(B438,HPP_ENGINE!$A:$A,0))),0)</f>
        <v>0</v>
      </c>
      <c r="I438" s="118">
        <f t="shared" si="2"/>
        <v>0</v>
      </c>
      <c r="J438" s="118">
        <f t="shared" si="3"/>
        <v>0</v>
      </c>
      <c r="K438" s="136">
        <f t="shared" si="4"/>
        <v>0</v>
      </c>
    </row>
    <row r="439" ht="18.0" customHeight="1">
      <c r="A439" s="132"/>
      <c r="B439" s="72"/>
      <c r="C439" s="72"/>
      <c r="D439" s="137" t="str">
        <f t="array" ref="D439">IFERROR(IF(C439="","",INDEX(PRODUK!$B:$B,MATCH(C439,PRODUK!$A:$A,0))),"")</f>
        <v/>
      </c>
      <c r="E439" s="113"/>
      <c r="F439" s="115">
        <f t="array" ref="F439">IFERROR(IF(C439="",0,INDEX(PRODUK!$F:$F,MATCH(C439,PRODUK!$A:$A,0))),0)</f>
        <v>0</v>
      </c>
      <c r="G439" s="114">
        <f t="shared" si="1"/>
        <v>0</v>
      </c>
      <c r="H439" s="114">
        <f t="array" ref="H439">IFERROR(IF(B439="",0,INDEX(HPP_ENGINE!$J:$J,MATCH(B439,HPP_ENGINE!$A:$A,0))),0)</f>
        <v>0</v>
      </c>
      <c r="I439" s="114">
        <f t="shared" si="2"/>
        <v>0</v>
      </c>
      <c r="J439" s="114">
        <f t="shared" si="3"/>
        <v>0</v>
      </c>
      <c r="K439" s="133">
        <f t="shared" si="4"/>
        <v>0</v>
      </c>
    </row>
    <row r="440" ht="18.0" customHeight="1">
      <c r="A440" s="134"/>
      <c r="B440" s="77"/>
      <c r="C440" s="77"/>
      <c r="D440" s="135" t="str">
        <f t="array" ref="D440">IFERROR(IF(C440="","",INDEX(PRODUK!$B:$B,MATCH(C440,PRODUK!$A:$A,0))),"")</f>
        <v/>
      </c>
      <c r="E440" s="117"/>
      <c r="F440" s="119">
        <f t="array" ref="F440">IFERROR(IF(C440="",0,INDEX(PRODUK!$F:$F,MATCH(C440,PRODUK!$A:$A,0))),0)</f>
        <v>0</v>
      </c>
      <c r="G440" s="118">
        <f t="shared" si="1"/>
        <v>0</v>
      </c>
      <c r="H440" s="118">
        <f t="array" ref="H440">IFERROR(IF(B440="",0,INDEX(HPP_ENGINE!$J:$J,MATCH(B440,HPP_ENGINE!$A:$A,0))),0)</f>
        <v>0</v>
      </c>
      <c r="I440" s="118">
        <f t="shared" si="2"/>
        <v>0</v>
      </c>
      <c r="J440" s="118">
        <f t="shared" si="3"/>
        <v>0</v>
      </c>
      <c r="K440" s="136">
        <f t="shared" si="4"/>
        <v>0</v>
      </c>
    </row>
    <row r="441" ht="18.0" customHeight="1">
      <c r="A441" s="132"/>
      <c r="B441" s="72"/>
      <c r="C441" s="72"/>
      <c r="D441" s="137" t="str">
        <f t="array" ref="D441">IFERROR(IF(C441="","",INDEX(PRODUK!$B:$B,MATCH(C441,PRODUK!$A:$A,0))),"")</f>
        <v/>
      </c>
      <c r="E441" s="113"/>
      <c r="F441" s="115">
        <f t="array" ref="F441">IFERROR(IF(C441="",0,INDEX(PRODUK!$F:$F,MATCH(C441,PRODUK!$A:$A,0))),0)</f>
        <v>0</v>
      </c>
      <c r="G441" s="114">
        <f t="shared" si="1"/>
        <v>0</v>
      </c>
      <c r="H441" s="114">
        <f t="array" ref="H441">IFERROR(IF(B441="",0,INDEX(HPP_ENGINE!$J:$J,MATCH(B441,HPP_ENGINE!$A:$A,0))),0)</f>
        <v>0</v>
      </c>
      <c r="I441" s="114">
        <f t="shared" si="2"/>
        <v>0</v>
      </c>
      <c r="J441" s="114">
        <f t="shared" si="3"/>
        <v>0</v>
      </c>
      <c r="K441" s="133">
        <f t="shared" si="4"/>
        <v>0</v>
      </c>
    </row>
    <row r="442" ht="18.0" customHeight="1">
      <c r="A442" s="134"/>
      <c r="B442" s="77"/>
      <c r="C442" s="77"/>
      <c r="D442" s="135" t="str">
        <f t="array" ref="D442">IFERROR(IF(C442="","",INDEX(PRODUK!$B:$B,MATCH(C442,PRODUK!$A:$A,0))),"")</f>
        <v/>
      </c>
      <c r="E442" s="117"/>
      <c r="F442" s="119">
        <f t="array" ref="F442">IFERROR(IF(C442="",0,INDEX(PRODUK!$F:$F,MATCH(C442,PRODUK!$A:$A,0))),0)</f>
        <v>0</v>
      </c>
      <c r="G442" s="118">
        <f t="shared" si="1"/>
        <v>0</v>
      </c>
      <c r="H442" s="118">
        <f t="array" ref="H442">IFERROR(IF(B442="",0,INDEX(HPP_ENGINE!$J:$J,MATCH(B442,HPP_ENGINE!$A:$A,0))),0)</f>
        <v>0</v>
      </c>
      <c r="I442" s="118">
        <f t="shared" si="2"/>
        <v>0</v>
      </c>
      <c r="J442" s="118">
        <f t="shared" si="3"/>
        <v>0</v>
      </c>
      <c r="K442" s="136">
        <f t="shared" si="4"/>
        <v>0</v>
      </c>
    </row>
    <row r="443" ht="18.0" customHeight="1">
      <c r="A443" s="132"/>
      <c r="B443" s="72"/>
      <c r="C443" s="72"/>
      <c r="D443" s="137" t="str">
        <f t="array" ref="D443">IFERROR(IF(C443="","",INDEX(PRODUK!$B:$B,MATCH(C443,PRODUK!$A:$A,0))),"")</f>
        <v/>
      </c>
      <c r="E443" s="113"/>
      <c r="F443" s="115">
        <f t="array" ref="F443">IFERROR(IF(C443="",0,INDEX(PRODUK!$F:$F,MATCH(C443,PRODUK!$A:$A,0))),0)</f>
        <v>0</v>
      </c>
      <c r="G443" s="114">
        <f t="shared" si="1"/>
        <v>0</v>
      </c>
      <c r="H443" s="114">
        <f t="array" ref="H443">IFERROR(IF(B443="",0,INDEX(HPP_ENGINE!$J:$J,MATCH(B443,HPP_ENGINE!$A:$A,0))),0)</f>
        <v>0</v>
      </c>
      <c r="I443" s="114">
        <f t="shared" si="2"/>
        <v>0</v>
      </c>
      <c r="J443" s="114">
        <f t="shared" si="3"/>
        <v>0</v>
      </c>
      <c r="K443" s="133">
        <f t="shared" si="4"/>
        <v>0</v>
      </c>
    </row>
    <row r="444" ht="18.0" customHeight="1">
      <c r="A444" s="134"/>
      <c r="B444" s="77"/>
      <c r="C444" s="77"/>
      <c r="D444" s="135" t="str">
        <f t="array" ref="D444">IFERROR(IF(C444="","",INDEX(PRODUK!$B:$B,MATCH(C444,PRODUK!$A:$A,0))),"")</f>
        <v/>
      </c>
      <c r="E444" s="117"/>
      <c r="F444" s="119">
        <f t="array" ref="F444">IFERROR(IF(C444="",0,INDEX(PRODUK!$F:$F,MATCH(C444,PRODUK!$A:$A,0))),0)</f>
        <v>0</v>
      </c>
      <c r="G444" s="118">
        <f t="shared" si="1"/>
        <v>0</v>
      </c>
      <c r="H444" s="118">
        <f t="array" ref="H444">IFERROR(IF(B444="",0,INDEX(HPP_ENGINE!$J:$J,MATCH(B444,HPP_ENGINE!$A:$A,0))),0)</f>
        <v>0</v>
      </c>
      <c r="I444" s="118">
        <f t="shared" si="2"/>
        <v>0</v>
      </c>
      <c r="J444" s="118">
        <f t="shared" si="3"/>
        <v>0</v>
      </c>
      <c r="K444" s="136">
        <f t="shared" si="4"/>
        <v>0</v>
      </c>
    </row>
    <row r="445" ht="18.0" customHeight="1">
      <c r="A445" s="132"/>
      <c r="B445" s="72"/>
      <c r="C445" s="72"/>
      <c r="D445" s="137" t="str">
        <f t="array" ref="D445">IFERROR(IF(C445="","",INDEX(PRODUK!$B:$B,MATCH(C445,PRODUK!$A:$A,0))),"")</f>
        <v/>
      </c>
      <c r="E445" s="113"/>
      <c r="F445" s="115">
        <f t="array" ref="F445">IFERROR(IF(C445="",0,INDEX(PRODUK!$F:$F,MATCH(C445,PRODUK!$A:$A,0))),0)</f>
        <v>0</v>
      </c>
      <c r="G445" s="114">
        <f t="shared" si="1"/>
        <v>0</v>
      </c>
      <c r="H445" s="114">
        <f t="array" ref="H445">IFERROR(IF(B445="",0,INDEX(HPP_ENGINE!$J:$J,MATCH(B445,HPP_ENGINE!$A:$A,0))),0)</f>
        <v>0</v>
      </c>
      <c r="I445" s="114">
        <f t="shared" si="2"/>
        <v>0</v>
      </c>
      <c r="J445" s="114">
        <f t="shared" si="3"/>
        <v>0</v>
      </c>
      <c r="K445" s="133">
        <f t="shared" si="4"/>
        <v>0</v>
      </c>
    </row>
    <row r="446" ht="18.0" customHeight="1">
      <c r="A446" s="134"/>
      <c r="B446" s="77"/>
      <c r="C446" s="77"/>
      <c r="D446" s="135" t="str">
        <f t="array" ref="D446">IFERROR(IF(C446="","",INDEX(PRODUK!$B:$B,MATCH(C446,PRODUK!$A:$A,0))),"")</f>
        <v/>
      </c>
      <c r="E446" s="117"/>
      <c r="F446" s="119">
        <f t="array" ref="F446">IFERROR(IF(C446="",0,INDEX(PRODUK!$F:$F,MATCH(C446,PRODUK!$A:$A,0))),0)</f>
        <v>0</v>
      </c>
      <c r="G446" s="118">
        <f t="shared" si="1"/>
        <v>0</v>
      </c>
      <c r="H446" s="118">
        <f t="array" ref="H446">IFERROR(IF(B446="",0,INDEX(HPP_ENGINE!$J:$J,MATCH(B446,HPP_ENGINE!$A:$A,0))),0)</f>
        <v>0</v>
      </c>
      <c r="I446" s="118">
        <f t="shared" si="2"/>
        <v>0</v>
      </c>
      <c r="J446" s="118">
        <f t="shared" si="3"/>
        <v>0</v>
      </c>
      <c r="K446" s="136">
        <f t="shared" si="4"/>
        <v>0</v>
      </c>
    </row>
    <row r="447" ht="18.0" customHeight="1">
      <c r="A447" s="132"/>
      <c r="B447" s="72"/>
      <c r="C447" s="72"/>
      <c r="D447" s="137" t="str">
        <f t="array" ref="D447">IFERROR(IF(C447="","",INDEX(PRODUK!$B:$B,MATCH(C447,PRODUK!$A:$A,0))),"")</f>
        <v/>
      </c>
      <c r="E447" s="113"/>
      <c r="F447" s="115">
        <f t="array" ref="F447">IFERROR(IF(C447="",0,INDEX(PRODUK!$F:$F,MATCH(C447,PRODUK!$A:$A,0))),0)</f>
        <v>0</v>
      </c>
      <c r="G447" s="114">
        <f t="shared" si="1"/>
        <v>0</v>
      </c>
      <c r="H447" s="114">
        <f t="array" ref="H447">IFERROR(IF(B447="",0,INDEX(HPP_ENGINE!$J:$J,MATCH(B447,HPP_ENGINE!$A:$A,0))),0)</f>
        <v>0</v>
      </c>
      <c r="I447" s="114">
        <f t="shared" si="2"/>
        <v>0</v>
      </c>
      <c r="J447" s="114">
        <f t="shared" si="3"/>
        <v>0</v>
      </c>
      <c r="K447" s="133">
        <f t="shared" si="4"/>
        <v>0</v>
      </c>
    </row>
    <row r="448" ht="18.0" customHeight="1">
      <c r="A448" s="134"/>
      <c r="B448" s="77"/>
      <c r="C448" s="77"/>
      <c r="D448" s="135" t="str">
        <f t="array" ref="D448">IFERROR(IF(C448="","",INDEX(PRODUK!$B:$B,MATCH(C448,PRODUK!$A:$A,0))),"")</f>
        <v/>
      </c>
      <c r="E448" s="117"/>
      <c r="F448" s="119">
        <f t="array" ref="F448">IFERROR(IF(C448="",0,INDEX(PRODUK!$F:$F,MATCH(C448,PRODUK!$A:$A,0))),0)</f>
        <v>0</v>
      </c>
      <c r="G448" s="118">
        <f t="shared" si="1"/>
        <v>0</v>
      </c>
      <c r="H448" s="118">
        <f t="array" ref="H448">IFERROR(IF(B448="",0,INDEX(HPP_ENGINE!$J:$J,MATCH(B448,HPP_ENGINE!$A:$A,0))),0)</f>
        <v>0</v>
      </c>
      <c r="I448" s="118">
        <f t="shared" si="2"/>
        <v>0</v>
      </c>
      <c r="J448" s="118">
        <f t="shared" si="3"/>
        <v>0</v>
      </c>
      <c r="K448" s="136">
        <f t="shared" si="4"/>
        <v>0</v>
      </c>
    </row>
    <row r="449" ht="18.0" customHeight="1">
      <c r="A449" s="132"/>
      <c r="B449" s="72"/>
      <c r="C449" s="72"/>
      <c r="D449" s="137" t="str">
        <f t="array" ref="D449">IFERROR(IF(C449="","",INDEX(PRODUK!$B:$B,MATCH(C449,PRODUK!$A:$A,0))),"")</f>
        <v/>
      </c>
      <c r="E449" s="113"/>
      <c r="F449" s="115">
        <f t="array" ref="F449">IFERROR(IF(C449="",0,INDEX(PRODUK!$F:$F,MATCH(C449,PRODUK!$A:$A,0))),0)</f>
        <v>0</v>
      </c>
      <c r="G449" s="114">
        <f t="shared" si="1"/>
        <v>0</v>
      </c>
      <c r="H449" s="114">
        <f t="array" ref="H449">IFERROR(IF(B449="",0,INDEX(HPP_ENGINE!$J:$J,MATCH(B449,HPP_ENGINE!$A:$A,0))),0)</f>
        <v>0</v>
      </c>
      <c r="I449" s="114">
        <f t="shared" si="2"/>
        <v>0</v>
      </c>
      <c r="J449" s="114">
        <f t="shared" si="3"/>
        <v>0</v>
      </c>
      <c r="K449" s="133">
        <f t="shared" si="4"/>
        <v>0</v>
      </c>
    </row>
    <row r="450" ht="18.0" customHeight="1">
      <c r="A450" s="134"/>
      <c r="B450" s="77"/>
      <c r="C450" s="77"/>
      <c r="D450" s="135" t="str">
        <f t="array" ref="D450">IFERROR(IF(C450="","",INDEX(PRODUK!$B:$B,MATCH(C450,PRODUK!$A:$A,0))),"")</f>
        <v/>
      </c>
      <c r="E450" s="117"/>
      <c r="F450" s="119">
        <f t="array" ref="F450">IFERROR(IF(C450="",0,INDEX(PRODUK!$F:$F,MATCH(C450,PRODUK!$A:$A,0))),0)</f>
        <v>0</v>
      </c>
      <c r="G450" s="118">
        <f t="shared" si="1"/>
        <v>0</v>
      </c>
      <c r="H450" s="118">
        <f t="array" ref="H450">IFERROR(IF(B450="",0,INDEX(HPP_ENGINE!$J:$J,MATCH(B450,HPP_ENGINE!$A:$A,0))),0)</f>
        <v>0</v>
      </c>
      <c r="I450" s="118">
        <f t="shared" si="2"/>
        <v>0</v>
      </c>
      <c r="J450" s="118">
        <f t="shared" si="3"/>
        <v>0</v>
      </c>
      <c r="K450" s="136">
        <f t="shared" si="4"/>
        <v>0</v>
      </c>
    </row>
    <row r="451" ht="18.0" customHeight="1">
      <c r="A451" s="132"/>
      <c r="B451" s="72"/>
      <c r="C451" s="72"/>
      <c r="D451" s="137" t="str">
        <f t="array" ref="D451">IFERROR(IF(C451="","",INDEX(PRODUK!$B:$B,MATCH(C451,PRODUK!$A:$A,0))),"")</f>
        <v/>
      </c>
      <c r="E451" s="113"/>
      <c r="F451" s="115">
        <f t="array" ref="F451">IFERROR(IF(C451="",0,INDEX(PRODUK!$F:$F,MATCH(C451,PRODUK!$A:$A,0))),0)</f>
        <v>0</v>
      </c>
      <c r="G451" s="114">
        <f t="shared" si="1"/>
        <v>0</v>
      </c>
      <c r="H451" s="114">
        <f t="array" ref="H451">IFERROR(IF(B451="",0,INDEX(HPP_ENGINE!$J:$J,MATCH(B451,HPP_ENGINE!$A:$A,0))),0)</f>
        <v>0</v>
      </c>
      <c r="I451" s="114">
        <f t="shared" si="2"/>
        <v>0</v>
      </c>
      <c r="J451" s="114">
        <f t="shared" si="3"/>
        <v>0</v>
      </c>
      <c r="K451" s="133">
        <f t="shared" si="4"/>
        <v>0</v>
      </c>
    </row>
    <row r="452" ht="18.0" customHeight="1">
      <c r="A452" s="134"/>
      <c r="B452" s="77"/>
      <c r="C452" s="77"/>
      <c r="D452" s="135" t="str">
        <f t="array" ref="D452">IFERROR(IF(C452="","",INDEX(PRODUK!$B:$B,MATCH(C452,PRODUK!$A:$A,0))),"")</f>
        <v/>
      </c>
      <c r="E452" s="117"/>
      <c r="F452" s="119">
        <f t="array" ref="F452">IFERROR(IF(C452="",0,INDEX(PRODUK!$F:$F,MATCH(C452,PRODUK!$A:$A,0))),0)</f>
        <v>0</v>
      </c>
      <c r="G452" s="118">
        <f t="shared" si="1"/>
        <v>0</v>
      </c>
      <c r="H452" s="118">
        <f t="array" ref="H452">IFERROR(IF(B452="",0,INDEX(HPP_ENGINE!$J:$J,MATCH(B452,HPP_ENGINE!$A:$A,0))),0)</f>
        <v>0</v>
      </c>
      <c r="I452" s="118">
        <f t="shared" si="2"/>
        <v>0</v>
      </c>
      <c r="J452" s="118">
        <f t="shared" si="3"/>
        <v>0</v>
      </c>
      <c r="K452" s="136">
        <f t="shared" si="4"/>
        <v>0</v>
      </c>
    </row>
    <row r="453" ht="18.0" customHeight="1">
      <c r="A453" s="132"/>
      <c r="B453" s="72"/>
      <c r="C453" s="72"/>
      <c r="D453" s="137" t="str">
        <f t="array" ref="D453">IFERROR(IF(C453="","",INDEX(PRODUK!$B:$B,MATCH(C453,PRODUK!$A:$A,0))),"")</f>
        <v/>
      </c>
      <c r="E453" s="113"/>
      <c r="F453" s="115">
        <f t="array" ref="F453">IFERROR(IF(C453="",0,INDEX(PRODUK!$F:$F,MATCH(C453,PRODUK!$A:$A,0))),0)</f>
        <v>0</v>
      </c>
      <c r="G453" s="114">
        <f t="shared" si="1"/>
        <v>0</v>
      </c>
      <c r="H453" s="114">
        <f t="array" ref="H453">IFERROR(IF(B453="",0,INDEX(HPP_ENGINE!$J:$J,MATCH(B453,HPP_ENGINE!$A:$A,0))),0)</f>
        <v>0</v>
      </c>
      <c r="I453" s="114">
        <f t="shared" si="2"/>
        <v>0</v>
      </c>
      <c r="J453" s="114">
        <f t="shared" si="3"/>
        <v>0</v>
      </c>
      <c r="K453" s="133">
        <f t="shared" si="4"/>
        <v>0</v>
      </c>
    </row>
    <row r="454" ht="18.0" customHeight="1">
      <c r="A454" s="134"/>
      <c r="B454" s="77"/>
      <c r="C454" s="77"/>
      <c r="D454" s="135" t="str">
        <f t="array" ref="D454">IFERROR(IF(C454="","",INDEX(PRODUK!$B:$B,MATCH(C454,PRODUK!$A:$A,0))),"")</f>
        <v/>
      </c>
      <c r="E454" s="117"/>
      <c r="F454" s="119">
        <f t="array" ref="F454">IFERROR(IF(C454="",0,INDEX(PRODUK!$F:$F,MATCH(C454,PRODUK!$A:$A,0))),0)</f>
        <v>0</v>
      </c>
      <c r="G454" s="118">
        <f t="shared" si="1"/>
        <v>0</v>
      </c>
      <c r="H454" s="118">
        <f t="array" ref="H454">IFERROR(IF(B454="",0,INDEX(HPP_ENGINE!$J:$J,MATCH(B454,HPP_ENGINE!$A:$A,0))),0)</f>
        <v>0</v>
      </c>
      <c r="I454" s="118">
        <f t="shared" si="2"/>
        <v>0</v>
      </c>
      <c r="J454" s="118">
        <f t="shared" si="3"/>
        <v>0</v>
      </c>
      <c r="K454" s="136">
        <f t="shared" si="4"/>
        <v>0</v>
      </c>
    </row>
    <row r="455" ht="18.0" customHeight="1">
      <c r="A455" s="132"/>
      <c r="B455" s="72"/>
      <c r="C455" s="72"/>
      <c r="D455" s="137" t="str">
        <f t="array" ref="D455">IFERROR(IF(C455="","",INDEX(PRODUK!$B:$B,MATCH(C455,PRODUK!$A:$A,0))),"")</f>
        <v/>
      </c>
      <c r="E455" s="113"/>
      <c r="F455" s="115">
        <f t="array" ref="F455">IFERROR(IF(C455="",0,INDEX(PRODUK!$F:$F,MATCH(C455,PRODUK!$A:$A,0))),0)</f>
        <v>0</v>
      </c>
      <c r="G455" s="114">
        <f t="shared" si="1"/>
        <v>0</v>
      </c>
      <c r="H455" s="114">
        <f t="array" ref="H455">IFERROR(IF(B455="",0,INDEX(HPP_ENGINE!$J:$J,MATCH(B455,HPP_ENGINE!$A:$A,0))),0)</f>
        <v>0</v>
      </c>
      <c r="I455" s="114">
        <f t="shared" si="2"/>
        <v>0</v>
      </c>
      <c r="J455" s="114">
        <f t="shared" si="3"/>
        <v>0</v>
      </c>
      <c r="K455" s="133">
        <f t="shared" si="4"/>
        <v>0</v>
      </c>
    </row>
    <row r="456" ht="18.0" customHeight="1">
      <c r="A456" s="134"/>
      <c r="B456" s="77"/>
      <c r="C456" s="77"/>
      <c r="D456" s="135" t="str">
        <f t="array" ref="D456">IFERROR(IF(C456="","",INDEX(PRODUK!$B:$B,MATCH(C456,PRODUK!$A:$A,0))),"")</f>
        <v/>
      </c>
      <c r="E456" s="117"/>
      <c r="F456" s="119">
        <f t="array" ref="F456">IFERROR(IF(C456="",0,INDEX(PRODUK!$F:$F,MATCH(C456,PRODUK!$A:$A,0))),0)</f>
        <v>0</v>
      </c>
      <c r="G456" s="118">
        <f t="shared" si="1"/>
        <v>0</v>
      </c>
      <c r="H456" s="118">
        <f t="array" ref="H456">IFERROR(IF(B456="",0,INDEX(HPP_ENGINE!$J:$J,MATCH(B456,HPP_ENGINE!$A:$A,0))),0)</f>
        <v>0</v>
      </c>
      <c r="I456" s="118">
        <f t="shared" si="2"/>
        <v>0</v>
      </c>
      <c r="J456" s="118">
        <f t="shared" si="3"/>
        <v>0</v>
      </c>
      <c r="K456" s="136">
        <f t="shared" si="4"/>
        <v>0</v>
      </c>
    </row>
    <row r="457" ht="18.0" customHeight="1">
      <c r="A457" s="132"/>
      <c r="B457" s="72"/>
      <c r="C457" s="72"/>
      <c r="D457" s="137" t="str">
        <f t="array" ref="D457">IFERROR(IF(C457="","",INDEX(PRODUK!$B:$B,MATCH(C457,PRODUK!$A:$A,0))),"")</f>
        <v/>
      </c>
      <c r="E457" s="113"/>
      <c r="F457" s="115">
        <f t="array" ref="F457">IFERROR(IF(C457="",0,INDEX(PRODUK!$F:$F,MATCH(C457,PRODUK!$A:$A,0))),0)</f>
        <v>0</v>
      </c>
      <c r="G457" s="114">
        <f t="shared" si="1"/>
        <v>0</v>
      </c>
      <c r="H457" s="114">
        <f t="array" ref="H457">IFERROR(IF(B457="",0,INDEX(HPP_ENGINE!$J:$J,MATCH(B457,HPP_ENGINE!$A:$A,0))),0)</f>
        <v>0</v>
      </c>
      <c r="I457" s="114">
        <f t="shared" si="2"/>
        <v>0</v>
      </c>
      <c r="J457" s="114">
        <f t="shared" si="3"/>
        <v>0</v>
      </c>
      <c r="K457" s="133">
        <f t="shared" si="4"/>
        <v>0</v>
      </c>
    </row>
    <row r="458" ht="18.0" customHeight="1">
      <c r="A458" s="134"/>
      <c r="B458" s="77"/>
      <c r="C458" s="77"/>
      <c r="D458" s="135" t="str">
        <f t="array" ref="D458">IFERROR(IF(C458="","",INDEX(PRODUK!$B:$B,MATCH(C458,PRODUK!$A:$A,0))),"")</f>
        <v/>
      </c>
      <c r="E458" s="117"/>
      <c r="F458" s="119">
        <f t="array" ref="F458">IFERROR(IF(C458="",0,INDEX(PRODUK!$F:$F,MATCH(C458,PRODUK!$A:$A,0))),0)</f>
        <v>0</v>
      </c>
      <c r="G458" s="118">
        <f t="shared" si="1"/>
        <v>0</v>
      </c>
      <c r="H458" s="118">
        <f t="array" ref="H458">IFERROR(IF(B458="",0,INDEX(HPP_ENGINE!$J:$J,MATCH(B458,HPP_ENGINE!$A:$A,0))),0)</f>
        <v>0</v>
      </c>
      <c r="I458" s="118">
        <f t="shared" si="2"/>
        <v>0</v>
      </c>
      <c r="J458" s="118">
        <f t="shared" si="3"/>
        <v>0</v>
      </c>
      <c r="K458" s="136">
        <f t="shared" si="4"/>
        <v>0</v>
      </c>
    </row>
    <row r="459" ht="18.0" customHeight="1">
      <c r="A459" s="132"/>
      <c r="B459" s="72"/>
      <c r="C459" s="72"/>
      <c r="D459" s="137" t="str">
        <f t="array" ref="D459">IFERROR(IF(C459="","",INDEX(PRODUK!$B:$B,MATCH(C459,PRODUK!$A:$A,0))),"")</f>
        <v/>
      </c>
      <c r="E459" s="113"/>
      <c r="F459" s="115">
        <f t="array" ref="F459">IFERROR(IF(C459="",0,INDEX(PRODUK!$F:$F,MATCH(C459,PRODUK!$A:$A,0))),0)</f>
        <v>0</v>
      </c>
      <c r="G459" s="114">
        <f t="shared" si="1"/>
        <v>0</v>
      </c>
      <c r="H459" s="114">
        <f t="array" ref="H459">IFERROR(IF(B459="",0,INDEX(HPP_ENGINE!$J:$J,MATCH(B459,HPP_ENGINE!$A:$A,0))),0)</f>
        <v>0</v>
      </c>
      <c r="I459" s="114">
        <f t="shared" si="2"/>
        <v>0</v>
      </c>
      <c r="J459" s="114">
        <f t="shared" si="3"/>
        <v>0</v>
      </c>
      <c r="K459" s="133">
        <f t="shared" si="4"/>
        <v>0</v>
      </c>
    </row>
    <row r="460" ht="18.0" customHeight="1">
      <c r="A460" s="134"/>
      <c r="B460" s="77"/>
      <c r="C460" s="77"/>
      <c r="D460" s="135" t="str">
        <f t="array" ref="D460">IFERROR(IF(C460="","",INDEX(PRODUK!$B:$B,MATCH(C460,PRODUK!$A:$A,0))),"")</f>
        <v/>
      </c>
      <c r="E460" s="117"/>
      <c r="F460" s="119">
        <f t="array" ref="F460">IFERROR(IF(C460="",0,INDEX(PRODUK!$F:$F,MATCH(C460,PRODUK!$A:$A,0))),0)</f>
        <v>0</v>
      </c>
      <c r="G460" s="118">
        <f t="shared" si="1"/>
        <v>0</v>
      </c>
      <c r="H460" s="118">
        <f t="array" ref="H460">IFERROR(IF(B460="",0,INDEX(HPP_ENGINE!$J:$J,MATCH(B460,HPP_ENGINE!$A:$A,0))),0)</f>
        <v>0</v>
      </c>
      <c r="I460" s="118">
        <f t="shared" si="2"/>
        <v>0</v>
      </c>
      <c r="J460" s="118">
        <f t="shared" si="3"/>
        <v>0</v>
      </c>
      <c r="K460" s="136">
        <f t="shared" si="4"/>
        <v>0</v>
      </c>
    </row>
    <row r="461" ht="18.0" customHeight="1">
      <c r="A461" s="132"/>
      <c r="B461" s="72"/>
      <c r="C461" s="72"/>
      <c r="D461" s="137" t="str">
        <f t="array" ref="D461">IFERROR(IF(C461="","",INDEX(PRODUK!$B:$B,MATCH(C461,PRODUK!$A:$A,0))),"")</f>
        <v/>
      </c>
      <c r="E461" s="113"/>
      <c r="F461" s="115">
        <f t="array" ref="F461">IFERROR(IF(C461="",0,INDEX(PRODUK!$F:$F,MATCH(C461,PRODUK!$A:$A,0))),0)</f>
        <v>0</v>
      </c>
      <c r="G461" s="114">
        <f t="shared" si="1"/>
        <v>0</v>
      </c>
      <c r="H461" s="114">
        <f t="array" ref="H461">IFERROR(IF(B461="",0,INDEX(HPP_ENGINE!$J:$J,MATCH(B461,HPP_ENGINE!$A:$A,0))),0)</f>
        <v>0</v>
      </c>
      <c r="I461" s="114">
        <f t="shared" si="2"/>
        <v>0</v>
      </c>
      <c r="J461" s="114">
        <f t="shared" si="3"/>
        <v>0</v>
      </c>
      <c r="K461" s="133">
        <f t="shared" si="4"/>
        <v>0</v>
      </c>
    </row>
    <row r="462" ht="18.0" customHeight="1">
      <c r="A462" s="134"/>
      <c r="B462" s="77"/>
      <c r="C462" s="77"/>
      <c r="D462" s="135" t="str">
        <f t="array" ref="D462">IFERROR(IF(C462="","",INDEX(PRODUK!$B:$B,MATCH(C462,PRODUK!$A:$A,0))),"")</f>
        <v/>
      </c>
      <c r="E462" s="117"/>
      <c r="F462" s="119">
        <f t="array" ref="F462">IFERROR(IF(C462="",0,INDEX(PRODUK!$F:$F,MATCH(C462,PRODUK!$A:$A,0))),0)</f>
        <v>0</v>
      </c>
      <c r="G462" s="118">
        <f t="shared" si="1"/>
        <v>0</v>
      </c>
      <c r="H462" s="118">
        <f t="array" ref="H462">IFERROR(IF(B462="",0,INDEX(HPP_ENGINE!$J:$J,MATCH(B462,HPP_ENGINE!$A:$A,0))),0)</f>
        <v>0</v>
      </c>
      <c r="I462" s="118">
        <f t="shared" si="2"/>
        <v>0</v>
      </c>
      <c r="J462" s="118">
        <f t="shared" si="3"/>
        <v>0</v>
      </c>
      <c r="K462" s="136">
        <f t="shared" si="4"/>
        <v>0</v>
      </c>
    </row>
    <row r="463" ht="18.0" customHeight="1">
      <c r="A463" s="132"/>
      <c r="B463" s="72"/>
      <c r="C463" s="72"/>
      <c r="D463" s="137" t="str">
        <f t="array" ref="D463">IFERROR(IF(C463="","",INDEX(PRODUK!$B:$B,MATCH(C463,PRODUK!$A:$A,0))),"")</f>
        <v/>
      </c>
      <c r="E463" s="113"/>
      <c r="F463" s="115">
        <f t="array" ref="F463">IFERROR(IF(C463="",0,INDEX(PRODUK!$F:$F,MATCH(C463,PRODUK!$A:$A,0))),0)</f>
        <v>0</v>
      </c>
      <c r="G463" s="114">
        <f t="shared" si="1"/>
        <v>0</v>
      </c>
      <c r="H463" s="114">
        <f t="array" ref="H463">IFERROR(IF(B463="",0,INDEX(HPP_ENGINE!$J:$J,MATCH(B463,HPP_ENGINE!$A:$A,0))),0)</f>
        <v>0</v>
      </c>
      <c r="I463" s="114">
        <f t="shared" si="2"/>
        <v>0</v>
      </c>
      <c r="J463" s="114">
        <f t="shared" si="3"/>
        <v>0</v>
      </c>
      <c r="K463" s="133">
        <f t="shared" si="4"/>
        <v>0</v>
      </c>
    </row>
    <row r="464" ht="18.0" customHeight="1">
      <c r="A464" s="134"/>
      <c r="B464" s="77"/>
      <c r="C464" s="77"/>
      <c r="D464" s="135" t="str">
        <f t="array" ref="D464">IFERROR(IF(C464="","",INDEX(PRODUK!$B:$B,MATCH(C464,PRODUK!$A:$A,0))),"")</f>
        <v/>
      </c>
      <c r="E464" s="117"/>
      <c r="F464" s="119">
        <f t="array" ref="F464">IFERROR(IF(C464="",0,INDEX(PRODUK!$F:$F,MATCH(C464,PRODUK!$A:$A,0))),0)</f>
        <v>0</v>
      </c>
      <c r="G464" s="118">
        <f t="shared" si="1"/>
        <v>0</v>
      </c>
      <c r="H464" s="118">
        <f t="array" ref="H464">IFERROR(IF(B464="",0,INDEX(HPP_ENGINE!$J:$J,MATCH(B464,HPP_ENGINE!$A:$A,0))),0)</f>
        <v>0</v>
      </c>
      <c r="I464" s="118">
        <f t="shared" si="2"/>
        <v>0</v>
      </c>
      <c r="J464" s="118">
        <f t="shared" si="3"/>
        <v>0</v>
      </c>
      <c r="K464" s="136">
        <f t="shared" si="4"/>
        <v>0</v>
      </c>
    </row>
    <row r="465" ht="18.0" customHeight="1">
      <c r="A465" s="132"/>
      <c r="B465" s="72"/>
      <c r="C465" s="72"/>
      <c r="D465" s="137" t="str">
        <f t="array" ref="D465">IFERROR(IF(C465="","",INDEX(PRODUK!$B:$B,MATCH(C465,PRODUK!$A:$A,0))),"")</f>
        <v/>
      </c>
      <c r="E465" s="113"/>
      <c r="F465" s="115">
        <f t="array" ref="F465">IFERROR(IF(C465="",0,INDEX(PRODUK!$F:$F,MATCH(C465,PRODUK!$A:$A,0))),0)</f>
        <v>0</v>
      </c>
      <c r="G465" s="114">
        <f t="shared" si="1"/>
        <v>0</v>
      </c>
      <c r="H465" s="114">
        <f t="array" ref="H465">IFERROR(IF(B465="",0,INDEX(HPP_ENGINE!$J:$J,MATCH(B465,HPP_ENGINE!$A:$A,0))),0)</f>
        <v>0</v>
      </c>
      <c r="I465" s="114">
        <f t="shared" si="2"/>
        <v>0</v>
      </c>
      <c r="J465" s="114">
        <f t="shared" si="3"/>
        <v>0</v>
      </c>
      <c r="K465" s="133">
        <f t="shared" si="4"/>
        <v>0</v>
      </c>
    </row>
    <row r="466" ht="18.0" customHeight="1">
      <c r="A466" s="134"/>
      <c r="B466" s="77"/>
      <c r="C466" s="77"/>
      <c r="D466" s="135" t="str">
        <f t="array" ref="D466">IFERROR(IF(C466="","",INDEX(PRODUK!$B:$B,MATCH(C466,PRODUK!$A:$A,0))),"")</f>
        <v/>
      </c>
      <c r="E466" s="117"/>
      <c r="F466" s="119">
        <f t="array" ref="F466">IFERROR(IF(C466="",0,INDEX(PRODUK!$F:$F,MATCH(C466,PRODUK!$A:$A,0))),0)</f>
        <v>0</v>
      </c>
      <c r="G466" s="118">
        <f t="shared" si="1"/>
        <v>0</v>
      </c>
      <c r="H466" s="118">
        <f t="array" ref="H466">IFERROR(IF(B466="",0,INDEX(HPP_ENGINE!$J:$J,MATCH(B466,HPP_ENGINE!$A:$A,0))),0)</f>
        <v>0</v>
      </c>
      <c r="I466" s="118">
        <f t="shared" si="2"/>
        <v>0</v>
      </c>
      <c r="J466" s="118">
        <f t="shared" si="3"/>
        <v>0</v>
      </c>
      <c r="K466" s="136">
        <f t="shared" si="4"/>
        <v>0</v>
      </c>
    </row>
    <row r="467" ht="18.0" customHeight="1">
      <c r="A467" s="132"/>
      <c r="B467" s="72"/>
      <c r="C467" s="72"/>
      <c r="D467" s="137" t="str">
        <f t="array" ref="D467">IFERROR(IF(C467="","",INDEX(PRODUK!$B:$B,MATCH(C467,PRODUK!$A:$A,0))),"")</f>
        <v/>
      </c>
      <c r="E467" s="113"/>
      <c r="F467" s="115">
        <f t="array" ref="F467">IFERROR(IF(C467="",0,INDEX(PRODUK!$F:$F,MATCH(C467,PRODUK!$A:$A,0))),0)</f>
        <v>0</v>
      </c>
      <c r="G467" s="114">
        <f t="shared" si="1"/>
        <v>0</v>
      </c>
      <c r="H467" s="114">
        <f t="array" ref="H467">IFERROR(IF(B467="",0,INDEX(HPP_ENGINE!$J:$J,MATCH(B467,HPP_ENGINE!$A:$A,0))),0)</f>
        <v>0</v>
      </c>
      <c r="I467" s="114">
        <f t="shared" si="2"/>
        <v>0</v>
      </c>
      <c r="J467" s="114">
        <f t="shared" si="3"/>
        <v>0</v>
      </c>
      <c r="K467" s="133">
        <f t="shared" si="4"/>
        <v>0</v>
      </c>
    </row>
    <row r="468" ht="18.0" customHeight="1">
      <c r="A468" s="134"/>
      <c r="B468" s="77"/>
      <c r="C468" s="77"/>
      <c r="D468" s="135" t="str">
        <f t="array" ref="D468">IFERROR(IF(C468="","",INDEX(PRODUK!$B:$B,MATCH(C468,PRODUK!$A:$A,0))),"")</f>
        <v/>
      </c>
      <c r="E468" s="117"/>
      <c r="F468" s="119">
        <f t="array" ref="F468">IFERROR(IF(C468="",0,INDEX(PRODUK!$F:$F,MATCH(C468,PRODUK!$A:$A,0))),0)</f>
        <v>0</v>
      </c>
      <c r="G468" s="118">
        <f t="shared" si="1"/>
        <v>0</v>
      </c>
      <c r="H468" s="118">
        <f t="array" ref="H468">IFERROR(IF(B468="",0,INDEX(HPP_ENGINE!$J:$J,MATCH(B468,HPP_ENGINE!$A:$A,0))),0)</f>
        <v>0</v>
      </c>
      <c r="I468" s="118">
        <f t="shared" si="2"/>
        <v>0</v>
      </c>
      <c r="J468" s="118">
        <f t="shared" si="3"/>
        <v>0</v>
      </c>
      <c r="K468" s="136">
        <f t="shared" si="4"/>
        <v>0</v>
      </c>
    </row>
    <row r="469" ht="18.0" customHeight="1">
      <c r="A469" s="132"/>
      <c r="B469" s="72"/>
      <c r="C469" s="72"/>
      <c r="D469" s="137" t="str">
        <f t="array" ref="D469">IFERROR(IF(C469="","",INDEX(PRODUK!$B:$B,MATCH(C469,PRODUK!$A:$A,0))),"")</f>
        <v/>
      </c>
      <c r="E469" s="113"/>
      <c r="F469" s="115">
        <f t="array" ref="F469">IFERROR(IF(C469="",0,INDEX(PRODUK!$F:$F,MATCH(C469,PRODUK!$A:$A,0))),0)</f>
        <v>0</v>
      </c>
      <c r="G469" s="114">
        <f t="shared" si="1"/>
        <v>0</v>
      </c>
      <c r="H469" s="114">
        <f t="array" ref="H469">IFERROR(IF(B469="",0,INDEX(HPP_ENGINE!$J:$J,MATCH(B469,HPP_ENGINE!$A:$A,0))),0)</f>
        <v>0</v>
      </c>
      <c r="I469" s="114">
        <f t="shared" si="2"/>
        <v>0</v>
      </c>
      <c r="J469" s="114">
        <f t="shared" si="3"/>
        <v>0</v>
      </c>
      <c r="K469" s="133">
        <f t="shared" si="4"/>
        <v>0</v>
      </c>
    </row>
    <row r="470" ht="18.0" customHeight="1">
      <c r="A470" s="134"/>
      <c r="B470" s="77"/>
      <c r="C470" s="77"/>
      <c r="D470" s="135" t="str">
        <f t="array" ref="D470">IFERROR(IF(C470="","",INDEX(PRODUK!$B:$B,MATCH(C470,PRODUK!$A:$A,0))),"")</f>
        <v/>
      </c>
      <c r="E470" s="117"/>
      <c r="F470" s="119">
        <f t="array" ref="F470">IFERROR(IF(C470="",0,INDEX(PRODUK!$F:$F,MATCH(C470,PRODUK!$A:$A,0))),0)</f>
        <v>0</v>
      </c>
      <c r="G470" s="118">
        <f t="shared" si="1"/>
        <v>0</v>
      </c>
      <c r="H470" s="118">
        <f t="array" ref="H470">IFERROR(IF(B470="",0,INDEX(HPP_ENGINE!$J:$J,MATCH(B470,HPP_ENGINE!$A:$A,0))),0)</f>
        <v>0</v>
      </c>
      <c r="I470" s="118">
        <f t="shared" si="2"/>
        <v>0</v>
      </c>
      <c r="J470" s="118">
        <f t="shared" si="3"/>
        <v>0</v>
      </c>
      <c r="K470" s="136">
        <f t="shared" si="4"/>
        <v>0</v>
      </c>
    </row>
    <row r="471" ht="18.0" customHeight="1">
      <c r="A471" s="132"/>
      <c r="B471" s="72"/>
      <c r="C471" s="72"/>
      <c r="D471" s="137" t="str">
        <f t="array" ref="D471">IFERROR(IF(C471="","",INDEX(PRODUK!$B:$B,MATCH(C471,PRODUK!$A:$A,0))),"")</f>
        <v/>
      </c>
      <c r="E471" s="113"/>
      <c r="F471" s="115">
        <f t="array" ref="F471">IFERROR(IF(C471="",0,INDEX(PRODUK!$F:$F,MATCH(C471,PRODUK!$A:$A,0))),0)</f>
        <v>0</v>
      </c>
      <c r="G471" s="114">
        <f t="shared" si="1"/>
        <v>0</v>
      </c>
      <c r="H471" s="114">
        <f t="array" ref="H471">IFERROR(IF(B471="",0,INDEX(HPP_ENGINE!$J:$J,MATCH(B471,HPP_ENGINE!$A:$A,0))),0)</f>
        <v>0</v>
      </c>
      <c r="I471" s="114">
        <f t="shared" si="2"/>
        <v>0</v>
      </c>
      <c r="J471" s="114">
        <f t="shared" si="3"/>
        <v>0</v>
      </c>
      <c r="K471" s="133">
        <f t="shared" si="4"/>
        <v>0</v>
      </c>
    </row>
    <row r="472" ht="18.0" customHeight="1">
      <c r="A472" s="134"/>
      <c r="B472" s="77"/>
      <c r="C472" s="77"/>
      <c r="D472" s="135" t="str">
        <f t="array" ref="D472">IFERROR(IF(C472="","",INDEX(PRODUK!$B:$B,MATCH(C472,PRODUK!$A:$A,0))),"")</f>
        <v/>
      </c>
      <c r="E472" s="117"/>
      <c r="F472" s="119">
        <f t="array" ref="F472">IFERROR(IF(C472="",0,INDEX(PRODUK!$F:$F,MATCH(C472,PRODUK!$A:$A,0))),0)</f>
        <v>0</v>
      </c>
      <c r="G472" s="118">
        <f t="shared" si="1"/>
        <v>0</v>
      </c>
      <c r="H472" s="118">
        <f t="array" ref="H472">IFERROR(IF(B472="",0,INDEX(HPP_ENGINE!$J:$J,MATCH(B472,HPP_ENGINE!$A:$A,0))),0)</f>
        <v>0</v>
      </c>
      <c r="I472" s="118">
        <f t="shared" si="2"/>
        <v>0</v>
      </c>
      <c r="J472" s="118">
        <f t="shared" si="3"/>
        <v>0</v>
      </c>
      <c r="K472" s="136">
        <f t="shared" si="4"/>
        <v>0</v>
      </c>
    </row>
    <row r="473" ht="18.0" customHeight="1">
      <c r="A473" s="132"/>
      <c r="B473" s="72"/>
      <c r="C473" s="72"/>
      <c r="D473" s="137" t="str">
        <f t="array" ref="D473">IFERROR(IF(C473="","",INDEX(PRODUK!$B:$B,MATCH(C473,PRODUK!$A:$A,0))),"")</f>
        <v/>
      </c>
      <c r="E473" s="113"/>
      <c r="F473" s="115">
        <f t="array" ref="F473">IFERROR(IF(C473="",0,INDEX(PRODUK!$F:$F,MATCH(C473,PRODUK!$A:$A,0))),0)</f>
        <v>0</v>
      </c>
      <c r="G473" s="114">
        <f t="shared" si="1"/>
        <v>0</v>
      </c>
      <c r="H473" s="114">
        <f t="array" ref="H473">IFERROR(IF(B473="",0,INDEX(HPP_ENGINE!$J:$J,MATCH(B473,HPP_ENGINE!$A:$A,0))),0)</f>
        <v>0</v>
      </c>
      <c r="I473" s="114">
        <f t="shared" si="2"/>
        <v>0</v>
      </c>
      <c r="J473" s="114">
        <f t="shared" si="3"/>
        <v>0</v>
      </c>
      <c r="K473" s="133">
        <f t="shared" si="4"/>
        <v>0</v>
      </c>
    </row>
    <row r="474" ht="18.0" customHeight="1">
      <c r="A474" s="134"/>
      <c r="B474" s="77"/>
      <c r="C474" s="77"/>
      <c r="D474" s="135" t="str">
        <f t="array" ref="D474">IFERROR(IF(C474="","",INDEX(PRODUK!$B:$B,MATCH(C474,PRODUK!$A:$A,0))),"")</f>
        <v/>
      </c>
      <c r="E474" s="117"/>
      <c r="F474" s="119">
        <f t="array" ref="F474">IFERROR(IF(C474="",0,INDEX(PRODUK!$F:$F,MATCH(C474,PRODUK!$A:$A,0))),0)</f>
        <v>0</v>
      </c>
      <c r="G474" s="118">
        <f t="shared" si="1"/>
        <v>0</v>
      </c>
      <c r="H474" s="118">
        <f t="array" ref="H474">IFERROR(IF(B474="",0,INDEX(HPP_ENGINE!$J:$J,MATCH(B474,HPP_ENGINE!$A:$A,0))),0)</f>
        <v>0</v>
      </c>
      <c r="I474" s="118">
        <f t="shared" si="2"/>
        <v>0</v>
      </c>
      <c r="J474" s="118">
        <f t="shared" si="3"/>
        <v>0</v>
      </c>
      <c r="K474" s="136">
        <f t="shared" si="4"/>
        <v>0</v>
      </c>
    </row>
    <row r="475" ht="18.0" customHeight="1">
      <c r="A475" s="132"/>
      <c r="B475" s="72"/>
      <c r="C475" s="72"/>
      <c r="D475" s="137" t="str">
        <f t="array" ref="D475">IFERROR(IF(C475="","",INDEX(PRODUK!$B:$B,MATCH(C475,PRODUK!$A:$A,0))),"")</f>
        <v/>
      </c>
      <c r="E475" s="113"/>
      <c r="F475" s="115">
        <f t="array" ref="F475">IFERROR(IF(C475="",0,INDEX(PRODUK!$F:$F,MATCH(C475,PRODUK!$A:$A,0))),0)</f>
        <v>0</v>
      </c>
      <c r="G475" s="114">
        <f t="shared" si="1"/>
        <v>0</v>
      </c>
      <c r="H475" s="114">
        <f t="array" ref="H475">IFERROR(IF(B475="",0,INDEX(HPP_ENGINE!$J:$J,MATCH(B475,HPP_ENGINE!$A:$A,0))),0)</f>
        <v>0</v>
      </c>
      <c r="I475" s="114">
        <f t="shared" si="2"/>
        <v>0</v>
      </c>
      <c r="J475" s="114">
        <f t="shared" si="3"/>
        <v>0</v>
      </c>
      <c r="K475" s="133">
        <f t="shared" si="4"/>
        <v>0</v>
      </c>
    </row>
    <row r="476" ht="18.0" customHeight="1">
      <c r="A476" s="134"/>
      <c r="B476" s="77"/>
      <c r="C476" s="77"/>
      <c r="D476" s="135" t="str">
        <f t="array" ref="D476">IFERROR(IF(C476="","",INDEX(PRODUK!$B:$B,MATCH(C476,PRODUK!$A:$A,0))),"")</f>
        <v/>
      </c>
      <c r="E476" s="117"/>
      <c r="F476" s="119">
        <f t="array" ref="F476">IFERROR(IF(C476="",0,INDEX(PRODUK!$F:$F,MATCH(C476,PRODUK!$A:$A,0))),0)</f>
        <v>0</v>
      </c>
      <c r="G476" s="118">
        <f t="shared" si="1"/>
        <v>0</v>
      </c>
      <c r="H476" s="118">
        <f t="array" ref="H476">IFERROR(IF(B476="",0,INDEX(HPP_ENGINE!$J:$J,MATCH(B476,HPP_ENGINE!$A:$A,0))),0)</f>
        <v>0</v>
      </c>
      <c r="I476" s="118">
        <f t="shared" si="2"/>
        <v>0</v>
      </c>
      <c r="J476" s="118">
        <f t="shared" si="3"/>
        <v>0</v>
      </c>
      <c r="K476" s="136">
        <f t="shared" si="4"/>
        <v>0</v>
      </c>
    </row>
    <row r="477" ht="18.0" customHeight="1">
      <c r="A477" s="132"/>
      <c r="B477" s="72"/>
      <c r="C477" s="72"/>
      <c r="D477" s="137" t="str">
        <f t="array" ref="D477">IFERROR(IF(C477="","",INDEX(PRODUK!$B:$B,MATCH(C477,PRODUK!$A:$A,0))),"")</f>
        <v/>
      </c>
      <c r="E477" s="113"/>
      <c r="F477" s="115">
        <f t="array" ref="F477">IFERROR(IF(C477="",0,INDEX(PRODUK!$F:$F,MATCH(C477,PRODUK!$A:$A,0))),0)</f>
        <v>0</v>
      </c>
      <c r="G477" s="114">
        <f t="shared" si="1"/>
        <v>0</v>
      </c>
      <c r="H477" s="114">
        <f t="array" ref="H477">IFERROR(IF(B477="",0,INDEX(HPP_ENGINE!$J:$J,MATCH(B477,HPP_ENGINE!$A:$A,0))),0)</f>
        <v>0</v>
      </c>
      <c r="I477" s="114">
        <f t="shared" si="2"/>
        <v>0</v>
      </c>
      <c r="J477" s="114">
        <f t="shared" si="3"/>
        <v>0</v>
      </c>
      <c r="K477" s="133">
        <f t="shared" si="4"/>
        <v>0</v>
      </c>
    </row>
    <row r="478" ht="18.0" customHeight="1">
      <c r="A478" s="134"/>
      <c r="B478" s="77"/>
      <c r="C478" s="77"/>
      <c r="D478" s="135" t="str">
        <f t="array" ref="D478">IFERROR(IF(C478="","",INDEX(PRODUK!$B:$B,MATCH(C478,PRODUK!$A:$A,0))),"")</f>
        <v/>
      </c>
      <c r="E478" s="117"/>
      <c r="F478" s="119">
        <f t="array" ref="F478">IFERROR(IF(C478="",0,INDEX(PRODUK!$F:$F,MATCH(C478,PRODUK!$A:$A,0))),0)</f>
        <v>0</v>
      </c>
      <c r="G478" s="118">
        <f t="shared" si="1"/>
        <v>0</v>
      </c>
      <c r="H478" s="118">
        <f t="array" ref="H478">IFERROR(IF(B478="",0,INDEX(HPP_ENGINE!$J:$J,MATCH(B478,HPP_ENGINE!$A:$A,0))),0)</f>
        <v>0</v>
      </c>
      <c r="I478" s="118">
        <f t="shared" si="2"/>
        <v>0</v>
      </c>
      <c r="J478" s="118">
        <f t="shared" si="3"/>
        <v>0</v>
      </c>
      <c r="K478" s="136">
        <f t="shared" si="4"/>
        <v>0</v>
      </c>
    </row>
    <row r="479" ht="18.0" customHeight="1">
      <c r="A479" s="132"/>
      <c r="B479" s="72"/>
      <c r="C479" s="72"/>
      <c r="D479" s="137" t="str">
        <f t="array" ref="D479">IFERROR(IF(C479="","",INDEX(PRODUK!$B:$B,MATCH(C479,PRODUK!$A:$A,0))),"")</f>
        <v/>
      </c>
      <c r="E479" s="113"/>
      <c r="F479" s="115">
        <f t="array" ref="F479">IFERROR(IF(C479="",0,INDEX(PRODUK!$F:$F,MATCH(C479,PRODUK!$A:$A,0))),0)</f>
        <v>0</v>
      </c>
      <c r="G479" s="114">
        <f t="shared" si="1"/>
        <v>0</v>
      </c>
      <c r="H479" s="114">
        <f t="array" ref="H479">IFERROR(IF(B479="",0,INDEX(HPP_ENGINE!$J:$J,MATCH(B479,HPP_ENGINE!$A:$A,0))),0)</f>
        <v>0</v>
      </c>
      <c r="I479" s="114">
        <f t="shared" si="2"/>
        <v>0</v>
      </c>
      <c r="J479" s="114">
        <f t="shared" si="3"/>
        <v>0</v>
      </c>
      <c r="K479" s="133">
        <f t="shared" si="4"/>
        <v>0</v>
      </c>
    </row>
    <row r="480" ht="18.0" customHeight="1">
      <c r="A480" s="134"/>
      <c r="B480" s="77"/>
      <c r="C480" s="77"/>
      <c r="D480" s="135" t="str">
        <f t="array" ref="D480">IFERROR(IF(C480="","",INDEX(PRODUK!$B:$B,MATCH(C480,PRODUK!$A:$A,0))),"")</f>
        <v/>
      </c>
      <c r="E480" s="117"/>
      <c r="F480" s="119">
        <f t="array" ref="F480">IFERROR(IF(C480="",0,INDEX(PRODUK!$F:$F,MATCH(C480,PRODUK!$A:$A,0))),0)</f>
        <v>0</v>
      </c>
      <c r="G480" s="118">
        <f t="shared" si="1"/>
        <v>0</v>
      </c>
      <c r="H480" s="118">
        <f t="array" ref="H480">IFERROR(IF(B480="",0,INDEX(HPP_ENGINE!$J:$J,MATCH(B480,HPP_ENGINE!$A:$A,0))),0)</f>
        <v>0</v>
      </c>
      <c r="I480" s="118">
        <f t="shared" si="2"/>
        <v>0</v>
      </c>
      <c r="J480" s="118">
        <f t="shared" si="3"/>
        <v>0</v>
      </c>
      <c r="K480" s="136">
        <f t="shared" si="4"/>
        <v>0</v>
      </c>
    </row>
    <row r="481" ht="18.0" customHeight="1">
      <c r="A481" s="132"/>
      <c r="B481" s="72"/>
      <c r="C481" s="72"/>
      <c r="D481" s="137" t="str">
        <f t="array" ref="D481">IFERROR(IF(C481="","",INDEX(PRODUK!$B:$B,MATCH(C481,PRODUK!$A:$A,0))),"")</f>
        <v/>
      </c>
      <c r="E481" s="113"/>
      <c r="F481" s="115">
        <f t="array" ref="F481">IFERROR(IF(C481="",0,INDEX(PRODUK!$F:$F,MATCH(C481,PRODUK!$A:$A,0))),0)</f>
        <v>0</v>
      </c>
      <c r="G481" s="114">
        <f t="shared" si="1"/>
        <v>0</v>
      </c>
      <c r="H481" s="114">
        <f t="array" ref="H481">IFERROR(IF(B481="",0,INDEX(HPP_ENGINE!$J:$J,MATCH(B481,HPP_ENGINE!$A:$A,0))),0)</f>
        <v>0</v>
      </c>
      <c r="I481" s="114">
        <f t="shared" si="2"/>
        <v>0</v>
      </c>
      <c r="J481" s="114">
        <f t="shared" si="3"/>
        <v>0</v>
      </c>
      <c r="K481" s="133">
        <f t="shared" si="4"/>
        <v>0</v>
      </c>
    </row>
    <row r="482" ht="18.0" customHeight="1">
      <c r="A482" s="134"/>
      <c r="B482" s="77"/>
      <c r="C482" s="77"/>
      <c r="D482" s="135" t="str">
        <f t="array" ref="D482">IFERROR(IF(C482="","",INDEX(PRODUK!$B:$B,MATCH(C482,PRODUK!$A:$A,0))),"")</f>
        <v/>
      </c>
      <c r="E482" s="117"/>
      <c r="F482" s="119">
        <f t="array" ref="F482">IFERROR(IF(C482="",0,INDEX(PRODUK!$F:$F,MATCH(C482,PRODUK!$A:$A,0))),0)</f>
        <v>0</v>
      </c>
      <c r="G482" s="118">
        <f t="shared" si="1"/>
        <v>0</v>
      </c>
      <c r="H482" s="118">
        <f t="array" ref="H482">IFERROR(IF(B482="",0,INDEX(HPP_ENGINE!$J:$J,MATCH(B482,HPP_ENGINE!$A:$A,0))),0)</f>
        <v>0</v>
      </c>
      <c r="I482" s="118">
        <f t="shared" si="2"/>
        <v>0</v>
      </c>
      <c r="J482" s="118">
        <f t="shared" si="3"/>
        <v>0</v>
      </c>
      <c r="K482" s="136">
        <f t="shared" si="4"/>
        <v>0</v>
      </c>
    </row>
    <row r="483" ht="18.0" customHeight="1">
      <c r="A483" s="132"/>
      <c r="B483" s="72"/>
      <c r="C483" s="72"/>
      <c r="D483" s="137" t="str">
        <f t="array" ref="D483">IFERROR(IF(C483="","",INDEX(PRODUK!$B:$B,MATCH(C483,PRODUK!$A:$A,0))),"")</f>
        <v/>
      </c>
      <c r="E483" s="113"/>
      <c r="F483" s="115">
        <f t="array" ref="F483">IFERROR(IF(C483="",0,INDEX(PRODUK!$F:$F,MATCH(C483,PRODUK!$A:$A,0))),0)</f>
        <v>0</v>
      </c>
      <c r="G483" s="114">
        <f t="shared" si="1"/>
        <v>0</v>
      </c>
      <c r="H483" s="114">
        <f t="array" ref="H483">IFERROR(IF(B483="",0,INDEX(HPP_ENGINE!$J:$J,MATCH(B483,HPP_ENGINE!$A:$A,0))),0)</f>
        <v>0</v>
      </c>
      <c r="I483" s="114">
        <f t="shared" si="2"/>
        <v>0</v>
      </c>
      <c r="J483" s="114">
        <f t="shared" si="3"/>
        <v>0</v>
      </c>
      <c r="K483" s="133">
        <f t="shared" si="4"/>
        <v>0</v>
      </c>
    </row>
    <row r="484" ht="18.0" customHeight="1">
      <c r="A484" s="134"/>
      <c r="B484" s="77"/>
      <c r="C484" s="77"/>
      <c r="D484" s="135" t="str">
        <f t="array" ref="D484">IFERROR(IF(C484="","",INDEX(PRODUK!$B:$B,MATCH(C484,PRODUK!$A:$A,0))),"")</f>
        <v/>
      </c>
      <c r="E484" s="117"/>
      <c r="F484" s="119">
        <f t="array" ref="F484">IFERROR(IF(C484="",0,INDEX(PRODUK!$F:$F,MATCH(C484,PRODUK!$A:$A,0))),0)</f>
        <v>0</v>
      </c>
      <c r="G484" s="118">
        <f t="shared" si="1"/>
        <v>0</v>
      </c>
      <c r="H484" s="118">
        <f t="array" ref="H484">IFERROR(IF(B484="",0,INDEX(HPP_ENGINE!$J:$J,MATCH(B484,HPP_ENGINE!$A:$A,0))),0)</f>
        <v>0</v>
      </c>
      <c r="I484" s="118">
        <f t="shared" si="2"/>
        <v>0</v>
      </c>
      <c r="J484" s="118">
        <f t="shared" si="3"/>
        <v>0</v>
      </c>
      <c r="K484" s="136">
        <f t="shared" si="4"/>
        <v>0</v>
      </c>
    </row>
    <row r="485" ht="18.0" customHeight="1">
      <c r="A485" s="132"/>
      <c r="B485" s="72"/>
      <c r="C485" s="72"/>
      <c r="D485" s="137" t="str">
        <f t="array" ref="D485">IFERROR(IF(C485="","",INDEX(PRODUK!$B:$B,MATCH(C485,PRODUK!$A:$A,0))),"")</f>
        <v/>
      </c>
      <c r="E485" s="113"/>
      <c r="F485" s="115">
        <f t="array" ref="F485">IFERROR(IF(C485="",0,INDEX(PRODUK!$F:$F,MATCH(C485,PRODUK!$A:$A,0))),0)</f>
        <v>0</v>
      </c>
      <c r="G485" s="114">
        <f t="shared" si="1"/>
        <v>0</v>
      </c>
      <c r="H485" s="114">
        <f t="array" ref="H485">IFERROR(IF(B485="",0,INDEX(HPP_ENGINE!$J:$J,MATCH(B485,HPP_ENGINE!$A:$A,0))),0)</f>
        <v>0</v>
      </c>
      <c r="I485" s="114">
        <f t="shared" si="2"/>
        <v>0</v>
      </c>
      <c r="J485" s="114">
        <f t="shared" si="3"/>
        <v>0</v>
      </c>
      <c r="K485" s="133">
        <f t="shared" si="4"/>
        <v>0</v>
      </c>
    </row>
    <row r="486" ht="18.0" customHeight="1">
      <c r="A486" s="134"/>
      <c r="B486" s="77"/>
      <c r="C486" s="77"/>
      <c r="D486" s="135" t="str">
        <f t="array" ref="D486">IFERROR(IF(C486="","",INDEX(PRODUK!$B:$B,MATCH(C486,PRODUK!$A:$A,0))),"")</f>
        <v/>
      </c>
      <c r="E486" s="117"/>
      <c r="F486" s="119">
        <f t="array" ref="F486">IFERROR(IF(C486="",0,INDEX(PRODUK!$F:$F,MATCH(C486,PRODUK!$A:$A,0))),0)</f>
        <v>0</v>
      </c>
      <c r="G486" s="118">
        <f t="shared" si="1"/>
        <v>0</v>
      </c>
      <c r="H486" s="118">
        <f t="array" ref="H486">IFERROR(IF(B486="",0,INDEX(HPP_ENGINE!$J:$J,MATCH(B486,HPP_ENGINE!$A:$A,0))),0)</f>
        <v>0</v>
      </c>
      <c r="I486" s="118">
        <f t="shared" si="2"/>
        <v>0</v>
      </c>
      <c r="J486" s="118">
        <f t="shared" si="3"/>
        <v>0</v>
      </c>
      <c r="K486" s="136">
        <f t="shared" si="4"/>
        <v>0</v>
      </c>
    </row>
    <row r="487" ht="18.0" customHeight="1">
      <c r="A487" s="132"/>
      <c r="B487" s="72"/>
      <c r="C487" s="72"/>
      <c r="D487" s="137" t="str">
        <f t="array" ref="D487">IFERROR(IF(C487="","",INDEX(PRODUK!$B:$B,MATCH(C487,PRODUK!$A:$A,0))),"")</f>
        <v/>
      </c>
      <c r="E487" s="113"/>
      <c r="F487" s="115">
        <f t="array" ref="F487">IFERROR(IF(C487="",0,INDEX(PRODUK!$F:$F,MATCH(C487,PRODUK!$A:$A,0))),0)</f>
        <v>0</v>
      </c>
      <c r="G487" s="114">
        <f t="shared" si="1"/>
        <v>0</v>
      </c>
      <c r="H487" s="114">
        <f t="array" ref="H487">IFERROR(IF(B487="",0,INDEX(HPP_ENGINE!$J:$J,MATCH(B487,HPP_ENGINE!$A:$A,0))),0)</f>
        <v>0</v>
      </c>
      <c r="I487" s="114">
        <f t="shared" si="2"/>
        <v>0</v>
      </c>
      <c r="J487" s="114">
        <f t="shared" si="3"/>
        <v>0</v>
      </c>
      <c r="K487" s="133">
        <f t="shared" si="4"/>
        <v>0</v>
      </c>
    </row>
    <row r="488" ht="18.0" customHeight="1">
      <c r="A488" s="134"/>
      <c r="B488" s="77"/>
      <c r="C488" s="77"/>
      <c r="D488" s="135" t="str">
        <f t="array" ref="D488">IFERROR(IF(C488="","",INDEX(PRODUK!$B:$B,MATCH(C488,PRODUK!$A:$A,0))),"")</f>
        <v/>
      </c>
      <c r="E488" s="117"/>
      <c r="F488" s="119">
        <f t="array" ref="F488">IFERROR(IF(C488="",0,INDEX(PRODUK!$F:$F,MATCH(C488,PRODUK!$A:$A,0))),0)</f>
        <v>0</v>
      </c>
      <c r="G488" s="118">
        <f t="shared" si="1"/>
        <v>0</v>
      </c>
      <c r="H488" s="118">
        <f t="array" ref="H488">IFERROR(IF(B488="",0,INDEX(HPP_ENGINE!$J:$J,MATCH(B488,HPP_ENGINE!$A:$A,0))),0)</f>
        <v>0</v>
      </c>
      <c r="I488" s="118">
        <f t="shared" si="2"/>
        <v>0</v>
      </c>
      <c r="J488" s="118">
        <f t="shared" si="3"/>
        <v>0</v>
      </c>
      <c r="K488" s="136">
        <f t="shared" si="4"/>
        <v>0</v>
      </c>
    </row>
    <row r="489" ht="18.0" customHeight="1">
      <c r="A489" s="132"/>
      <c r="B489" s="72"/>
      <c r="C489" s="72"/>
      <c r="D489" s="137" t="str">
        <f t="array" ref="D489">IFERROR(IF(C489="","",INDEX(PRODUK!$B:$B,MATCH(C489,PRODUK!$A:$A,0))),"")</f>
        <v/>
      </c>
      <c r="E489" s="113"/>
      <c r="F489" s="115">
        <f t="array" ref="F489">IFERROR(IF(C489="",0,INDEX(PRODUK!$F:$F,MATCH(C489,PRODUK!$A:$A,0))),0)</f>
        <v>0</v>
      </c>
      <c r="G489" s="114">
        <f t="shared" si="1"/>
        <v>0</v>
      </c>
      <c r="H489" s="114">
        <f t="array" ref="H489">IFERROR(IF(B489="",0,INDEX(HPP_ENGINE!$J:$J,MATCH(B489,HPP_ENGINE!$A:$A,0))),0)</f>
        <v>0</v>
      </c>
      <c r="I489" s="114">
        <f t="shared" si="2"/>
        <v>0</v>
      </c>
      <c r="J489" s="114">
        <f t="shared" si="3"/>
        <v>0</v>
      </c>
      <c r="K489" s="133">
        <f t="shared" si="4"/>
        <v>0</v>
      </c>
    </row>
    <row r="490" ht="18.0" customHeight="1">
      <c r="A490" s="134"/>
      <c r="B490" s="77"/>
      <c r="C490" s="77"/>
      <c r="D490" s="135" t="str">
        <f t="array" ref="D490">IFERROR(IF(C490="","",INDEX(PRODUK!$B:$B,MATCH(C490,PRODUK!$A:$A,0))),"")</f>
        <v/>
      </c>
      <c r="E490" s="117"/>
      <c r="F490" s="119">
        <f t="array" ref="F490">IFERROR(IF(C490="",0,INDEX(PRODUK!$F:$F,MATCH(C490,PRODUK!$A:$A,0))),0)</f>
        <v>0</v>
      </c>
      <c r="G490" s="118">
        <f t="shared" si="1"/>
        <v>0</v>
      </c>
      <c r="H490" s="118">
        <f t="array" ref="H490">IFERROR(IF(B490="",0,INDEX(HPP_ENGINE!$J:$J,MATCH(B490,HPP_ENGINE!$A:$A,0))),0)</f>
        <v>0</v>
      </c>
      <c r="I490" s="118">
        <f t="shared" si="2"/>
        <v>0</v>
      </c>
      <c r="J490" s="118">
        <f t="shared" si="3"/>
        <v>0</v>
      </c>
      <c r="K490" s="136">
        <f t="shared" si="4"/>
        <v>0</v>
      </c>
    </row>
    <row r="491" ht="18.0" customHeight="1">
      <c r="A491" s="132"/>
      <c r="B491" s="72"/>
      <c r="C491" s="72"/>
      <c r="D491" s="137" t="str">
        <f t="array" ref="D491">IFERROR(IF(C491="","",INDEX(PRODUK!$B:$B,MATCH(C491,PRODUK!$A:$A,0))),"")</f>
        <v/>
      </c>
      <c r="E491" s="113"/>
      <c r="F491" s="115">
        <f t="array" ref="F491">IFERROR(IF(C491="",0,INDEX(PRODUK!$F:$F,MATCH(C491,PRODUK!$A:$A,0))),0)</f>
        <v>0</v>
      </c>
      <c r="G491" s="114">
        <f t="shared" si="1"/>
        <v>0</v>
      </c>
      <c r="H491" s="114">
        <f t="array" ref="H491">IFERROR(IF(B491="",0,INDEX(HPP_ENGINE!$J:$J,MATCH(B491,HPP_ENGINE!$A:$A,0))),0)</f>
        <v>0</v>
      </c>
      <c r="I491" s="114">
        <f t="shared" si="2"/>
        <v>0</v>
      </c>
      <c r="J491" s="114">
        <f t="shared" si="3"/>
        <v>0</v>
      </c>
      <c r="K491" s="133">
        <f t="shared" si="4"/>
        <v>0</v>
      </c>
    </row>
    <row r="492" ht="18.0" customHeight="1">
      <c r="A492" s="134"/>
      <c r="B492" s="77"/>
      <c r="C492" s="77"/>
      <c r="D492" s="135" t="str">
        <f t="array" ref="D492">IFERROR(IF(C492="","",INDEX(PRODUK!$B:$B,MATCH(C492,PRODUK!$A:$A,0))),"")</f>
        <v/>
      </c>
      <c r="E492" s="117"/>
      <c r="F492" s="119">
        <f t="array" ref="F492">IFERROR(IF(C492="",0,INDEX(PRODUK!$F:$F,MATCH(C492,PRODUK!$A:$A,0))),0)</f>
        <v>0</v>
      </c>
      <c r="G492" s="118">
        <f t="shared" si="1"/>
        <v>0</v>
      </c>
      <c r="H492" s="118">
        <f t="array" ref="H492">IFERROR(IF(B492="",0,INDEX(HPP_ENGINE!$J:$J,MATCH(B492,HPP_ENGINE!$A:$A,0))),0)</f>
        <v>0</v>
      </c>
      <c r="I492" s="118">
        <f t="shared" si="2"/>
        <v>0</v>
      </c>
      <c r="J492" s="118">
        <f t="shared" si="3"/>
        <v>0</v>
      </c>
      <c r="K492" s="136">
        <f t="shared" si="4"/>
        <v>0</v>
      </c>
    </row>
    <row r="493" ht="18.0" customHeight="1">
      <c r="A493" s="132"/>
      <c r="B493" s="72"/>
      <c r="C493" s="72"/>
      <c r="D493" s="137" t="str">
        <f t="array" ref="D493">IFERROR(IF(C493="","",INDEX(PRODUK!$B:$B,MATCH(C493,PRODUK!$A:$A,0))),"")</f>
        <v/>
      </c>
      <c r="E493" s="113"/>
      <c r="F493" s="115">
        <f t="array" ref="F493">IFERROR(IF(C493="",0,INDEX(PRODUK!$F:$F,MATCH(C493,PRODUK!$A:$A,0))),0)</f>
        <v>0</v>
      </c>
      <c r="G493" s="114">
        <f t="shared" si="1"/>
        <v>0</v>
      </c>
      <c r="H493" s="114">
        <f t="array" ref="H493">IFERROR(IF(B493="",0,INDEX(HPP_ENGINE!$J:$J,MATCH(B493,HPP_ENGINE!$A:$A,0))),0)</f>
        <v>0</v>
      </c>
      <c r="I493" s="114">
        <f t="shared" si="2"/>
        <v>0</v>
      </c>
      <c r="J493" s="114">
        <f t="shared" si="3"/>
        <v>0</v>
      </c>
      <c r="K493" s="133">
        <f t="shared" si="4"/>
        <v>0</v>
      </c>
    </row>
    <row r="494" ht="18.0" customHeight="1">
      <c r="A494" s="134"/>
      <c r="B494" s="77"/>
      <c r="C494" s="77"/>
      <c r="D494" s="135" t="str">
        <f t="array" ref="D494">IFERROR(IF(C494="","",INDEX(PRODUK!$B:$B,MATCH(C494,PRODUK!$A:$A,0))),"")</f>
        <v/>
      </c>
      <c r="E494" s="117"/>
      <c r="F494" s="119">
        <f t="array" ref="F494">IFERROR(IF(C494="",0,INDEX(PRODUK!$F:$F,MATCH(C494,PRODUK!$A:$A,0))),0)</f>
        <v>0</v>
      </c>
      <c r="G494" s="118">
        <f t="shared" si="1"/>
        <v>0</v>
      </c>
      <c r="H494" s="118">
        <f t="array" ref="H494">IFERROR(IF(B494="",0,INDEX(HPP_ENGINE!$J:$J,MATCH(B494,HPP_ENGINE!$A:$A,0))),0)</f>
        <v>0</v>
      </c>
      <c r="I494" s="118">
        <f t="shared" si="2"/>
        <v>0</v>
      </c>
      <c r="J494" s="118">
        <f t="shared" si="3"/>
        <v>0</v>
      </c>
      <c r="K494" s="136">
        <f t="shared" si="4"/>
        <v>0</v>
      </c>
    </row>
    <row r="495" ht="18.0" customHeight="1">
      <c r="A495" s="132"/>
      <c r="B495" s="72"/>
      <c r="C495" s="72"/>
      <c r="D495" s="137" t="str">
        <f t="array" ref="D495">IFERROR(IF(C495="","",INDEX(PRODUK!$B:$B,MATCH(C495,PRODUK!$A:$A,0))),"")</f>
        <v/>
      </c>
      <c r="E495" s="113"/>
      <c r="F495" s="115">
        <f t="array" ref="F495">IFERROR(IF(C495="",0,INDEX(PRODUK!$F:$F,MATCH(C495,PRODUK!$A:$A,0))),0)</f>
        <v>0</v>
      </c>
      <c r="G495" s="114">
        <f t="shared" si="1"/>
        <v>0</v>
      </c>
      <c r="H495" s="114">
        <f t="array" ref="H495">IFERROR(IF(B495="",0,INDEX(HPP_ENGINE!$J:$J,MATCH(B495,HPP_ENGINE!$A:$A,0))),0)</f>
        <v>0</v>
      </c>
      <c r="I495" s="114">
        <f t="shared" si="2"/>
        <v>0</v>
      </c>
      <c r="J495" s="114">
        <f t="shared" si="3"/>
        <v>0</v>
      </c>
      <c r="K495" s="133">
        <f t="shared" si="4"/>
        <v>0</v>
      </c>
    </row>
    <row r="496" ht="18.0" customHeight="1">
      <c r="A496" s="134"/>
      <c r="B496" s="77"/>
      <c r="C496" s="77"/>
      <c r="D496" s="135" t="str">
        <f t="array" ref="D496">IFERROR(IF(C496="","",INDEX(PRODUK!$B:$B,MATCH(C496,PRODUK!$A:$A,0))),"")</f>
        <v/>
      </c>
      <c r="E496" s="117"/>
      <c r="F496" s="119">
        <f t="array" ref="F496">IFERROR(IF(C496="",0,INDEX(PRODUK!$F:$F,MATCH(C496,PRODUK!$A:$A,0))),0)</f>
        <v>0</v>
      </c>
      <c r="G496" s="118">
        <f t="shared" si="1"/>
        <v>0</v>
      </c>
      <c r="H496" s="118">
        <f t="array" ref="H496">IFERROR(IF(B496="",0,INDEX(HPP_ENGINE!$J:$J,MATCH(B496,HPP_ENGINE!$A:$A,0))),0)</f>
        <v>0</v>
      </c>
      <c r="I496" s="118">
        <f t="shared" si="2"/>
        <v>0</v>
      </c>
      <c r="J496" s="118">
        <f t="shared" si="3"/>
        <v>0</v>
      </c>
      <c r="K496" s="136">
        <f t="shared" si="4"/>
        <v>0</v>
      </c>
    </row>
    <row r="497" ht="18.0" customHeight="1">
      <c r="A497" s="132"/>
      <c r="B497" s="72"/>
      <c r="C497" s="72"/>
      <c r="D497" s="137" t="str">
        <f t="array" ref="D497">IFERROR(IF(C497="","",INDEX(PRODUK!$B:$B,MATCH(C497,PRODUK!$A:$A,0))),"")</f>
        <v/>
      </c>
      <c r="E497" s="113"/>
      <c r="F497" s="115">
        <f t="array" ref="F497">IFERROR(IF(C497="",0,INDEX(PRODUK!$F:$F,MATCH(C497,PRODUK!$A:$A,0))),0)</f>
        <v>0</v>
      </c>
      <c r="G497" s="114">
        <f t="shared" si="1"/>
        <v>0</v>
      </c>
      <c r="H497" s="114">
        <f t="array" ref="H497">IFERROR(IF(B497="",0,INDEX(HPP_ENGINE!$J:$J,MATCH(B497,HPP_ENGINE!$A:$A,0))),0)</f>
        <v>0</v>
      </c>
      <c r="I497" s="114">
        <f t="shared" si="2"/>
        <v>0</v>
      </c>
      <c r="J497" s="114">
        <f t="shared" si="3"/>
        <v>0</v>
      </c>
      <c r="K497" s="133">
        <f t="shared" si="4"/>
        <v>0</v>
      </c>
    </row>
    <row r="498" ht="18.0" customHeight="1">
      <c r="A498" s="134"/>
      <c r="B498" s="77"/>
      <c r="C498" s="77"/>
      <c r="D498" s="135" t="str">
        <f t="array" ref="D498">IFERROR(IF(C498="","",INDEX(PRODUK!$B:$B,MATCH(C498,PRODUK!$A:$A,0))),"")</f>
        <v/>
      </c>
      <c r="E498" s="117"/>
      <c r="F498" s="119">
        <f t="array" ref="F498">IFERROR(IF(C498="",0,INDEX(PRODUK!$F:$F,MATCH(C498,PRODUK!$A:$A,0))),0)</f>
        <v>0</v>
      </c>
      <c r="G498" s="118">
        <f t="shared" si="1"/>
        <v>0</v>
      </c>
      <c r="H498" s="118">
        <f t="array" ref="H498">IFERROR(IF(B498="",0,INDEX(HPP_ENGINE!$J:$J,MATCH(B498,HPP_ENGINE!$A:$A,0))),0)</f>
        <v>0</v>
      </c>
      <c r="I498" s="118">
        <f t="shared" si="2"/>
        <v>0</v>
      </c>
      <c r="J498" s="118">
        <f t="shared" si="3"/>
        <v>0</v>
      </c>
      <c r="K498" s="136">
        <f t="shared" si="4"/>
        <v>0</v>
      </c>
    </row>
    <row r="499" ht="18.0" customHeight="1">
      <c r="A499" s="132"/>
      <c r="B499" s="72"/>
      <c r="C499" s="72"/>
      <c r="D499" s="137" t="str">
        <f t="array" ref="D499">IFERROR(IF(C499="","",INDEX(PRODUK!$B:$B,MATCH(C499,PRODUK!$A:$A,0))),"")</f>
        <v/>
      </c>
      <c r="E499" s="113"/>
      <c r="F499" s="115">
        <f t="array" ref="F499">IFERROR(IF(C499="",0,INDEX(PRODUK!$F:$F,MATCH(C499,PRODUK!$A:$A,0))),0)</f>
        <v>0</v>
      </c>
      <c r="G499" s="114">
        <f t="shared" si="1"/>
        <v>0</v>
      </c>
      <c r="H499" s="114">
        <f t="array" ref="H499">IFERROR(IF(B499="",0,INDEX(HPP_ENGINE!$J:$J,MATCH(B499,HPP_ENGINE!$A:$A,0))),0)</f>
        <v>0</v>
      </c>
      <c r="I499" s="114">
        <f t="shared" si="2"/>
        <v>0</v>
      </c>
      <c r="J499" s="114">
        <f t="shared" si="3"/>
        <v>0</v>
      </c>
      <c r="K499" s="133">
        <f t="shared" si="4"/>
        <v>0</v>
      </c>
    </row>
    <row r="500" ht="18.0" customHeight="1">
      <c r="A500" s="134"/>
      <c r="B500" s="77"/>
      <c r="C500" s="77"/>
      <c r="D500" s="135" t="str">
        <f t="array" ref="D500">IFERROR(IF(C500="","",INDEX(PRODUK!$B:$B,MATCH(C500,PRODUK!$A:$A,0))),"")</f>
        <v/>
      </c>
      <c r="E500" s="117"/>
      <c r="F500" s="119">
        <f t="array" ref="F500">IFERROR(IF(C500="",0,INDEX(PRODUK!$F:$F,MATCH(C500,PRODUK!$A:$A,0))),0)</f>
        <v>0</v>
      </c>
      <c r="G500" s="118">
        <f t="shared" si="1"/>
        <v>0</v>
      </c>
      <c r="H500" s="118">
        <f t="array" ref="H500">IFERROR(IF(B500="",0,INDEX(HPP_ENGINE!$J:$J,MATCH(B500,HPP_ENGINE!$A:$A,0))),0)</f>
        <v>0</v>
      </c>
      <c r="I500" s="118">
        <f t="shared" si="2"/>
        <v>0</v>
      </c>
      <c r="J500" s="118">
        <f t="shared" si="3"/>
        <v>0</v>
      </c>
      <c r="K500" s="136">
        <f t="shared" si="4"/>
        <v>0</v>
      </c>
    </row>
    <row r="501" ht="18.0" customHeight="1">
      <c r="A501" s="132"/>
      <c r="B501" s="72"/>
      <c r="C501" s="72"/>
      <c r="D501" s="137" t="str">
        <f t="array" ref="D501">IFERROR(IF(C501="","",INDEX(PRODUK!$B:$B,MATCH(C501,PRODUK!$A:$A,0))),"")</f>
        <v/>
      </c>
      <c r="E501" s="113"/>
      <c r="F501" s="115">
        <f t="array" ref="F501">IFERROR(IF(C501="",0,INDEX(PRODUK!$F:$F,MATCH(C501,PRODUK!$A:$A,0))),0)</f>
        <v>0</v>
      </c>
      <c r="G501" s="114">
        <f t="shared" si="1"/>
        <v>0</v>
      </c>
      <c r="H501" s="114">
        <f t="array" ref="H501">IFERROR(IF(B501="",0,INDEX(HPP_ENGINE!$J:$J,MATCH(B501,HPP_ENGINE!$A:$A,0))),0)</f>
        <v>0</v>
      </c>
      <c r="I501" s="114">
        <f t="shared" si="2"/>
        <v>0</v>
      </c>
      <c r="J501" s="114">
        <f t="shared" si="3"/>
        <v>0</v>
      </c>
      <c r="K501" s="133">
        <f t="shared" si="4"/>
        <v>0</v>
      </c>
    </row>
    <row r="502" ht="18.0" customHeight="1">
      <c r="A502" s="134"/>
      <c r="B502" s="77"/>
      <c r="C502" s="77"/>
      <c r="D502" s="135" t="str">
        <f t="array" ref="D502">IFERROR(IF(C502="","",INDEX(PRODUK!$B:$B,MATCH(C502,PRODUK!$A:$A,0))),"")</f>
        <v/>
      </c>
      <c r="E502" s="117"/>
      <c r="F502" s="119">
        <f t="array" ref="F502">IFERROR(IF(C502="",0,INDEX(PRODUK!$F:$F,MATCH(C502,PRODUK!$A:$A,0))),0)</f>
        <v>0</v>
      </c>
      <c r="G502" s="118">
        <f t="shared" si="1"/>
        <v>0</v>
      </c>
      <c r="H502" s="118">
        <f t="array" ref="H502">IFERROR(IF(B502="",0,INDEX(HPP_ENGINE!$J:$J,MATCH(B502,HPP_ENGINE!$A:$A,0))),0)</f>
        <v>0</v>
      </c>
      <c r="I502" s="118">
        <f t="shared" si="2"/>
        <v>0</v>
      </c>
      <c r="J502" s="118">
        <f t="shared" si="3"/>
        <v>0</v>
      </c>
      <c r="K502" s="136">
        <f t="shared" si="4"/>
        <v>0</v>
      </c>
    </row>
    <row r="503" ht="18.0" customHeight="1">
      <c r="A503" s="132"/>
      <c r="B503" s="72"/>
      <c r="C503" s="72"/>
      <c r="D503" s="137" t="str">
        <f t="array" ref="D503">IFERROR(IF(C503="","",INDEX(PRODUK!$B:$B,MATCH(C503,PRODUK!$A:$A,0))),"")</f>
        <v/>
      </c>
      <c r="E503" s="113"/>
      <c r="F503" s="115">
        <f t="array" ref="F503">IFERROR(IF(C503="",0,INDEX(PRODUK!$F:$F,MATCH(C503,PRODUK!$A:$A,0))),0)</f>
        <v>0</v>
      </c>
      <c r="G503" s="114">
        <f t="shared" si="1"/>
        <v>0</v>
      </c>
      <c r="H503" s="114">
        <f t="array" ref="H503">IFERROR(IF(B503="",0,INDEX(HPP_ENGINE!$J:$J,MATCH(B503,HPP_ENGINE!$A:$A,0))),0)</f>
        <v>0</v>
      </c>
      <c r="I503" s="114">
        <f t="shared" si="2"/>
        <v>0</v>
      </c>
      <c r="J503" s="114">
        <f t="shared" si="3"/>
        <v>0</v>
      </c>
      <c r="K503" s="133">
        <f t="shared" si="4"/>
        <v>0</v>
      </c>
    </row>
    <row r="504" ht="18.0" customHeight="1">
      <c r="A504" s="134"/>
      <c r="B504" s="77"/>
      <c r="C504" s="77"/>
      <c r="D504" s="135" t="str">
        <f t="array" ref="D504">IFERROR(IF(C504="","",INDEX(PRODUK!$B:$B,MATCH(C504,PRODUK!$A:$A,0))),"")</f>
        <v/>
      </c>
      <c r="E504" s="117"/>
      <c r="F504" s="119">
        <f t="array" ref="F504">IFERROR(IF(C504="",0,INDEX(PRODUK!$F:$F,MATCH(C504,PRODUK!$A:$A,0))),0)</f>
        <v>0</v>
      </c>
      <c r="G504" s="118">
        <f t="shared" si="1"/>
        <v>0</v>
      </c>
      <c r="H504" s="118">
        <f t="array" ref="H504">IFERROR(IF(B504="",0,INDEX(HPP_ENGINE!$J:$J,MATCH(B504,HPP_ENGINE!$A:$A,0))),0)</f>
        <v>0</v>
      </c>
      <c r="I504" s="118">
        <f t="shared" si="2"/>
        <v>0</v>
      </c>
      <c r="J504" s="118">
        <f t="shared" si="3"/>
        <v>0</v>
      </c>
      <c r="K504" s="136">
        <f t="shared" si="4"/>
        <v>0</v>
      </c>
    </row>
    <row r="505" ht="18.0" customHeight="1">
      <c r="A505" s="132"/>
      <c r="B505" s="72"/>
      <c r="C505" s="72"/>
      <c r="D505" s="137" t="str">
        <f t="array" ref="D505">IFERROR(IF(C505="","",INDEX(PRODUK!$B:$B,MATCH(C505,PRODUK!$A:$A,0))),"")</f>
        <v/>
      </c>
      <c r="E505" s="113"/>
      <c r="F505" s="115">
        <f t="array" ref="F505">IFERROR(IF(C505="",0,INDEX(PRODUK!$F:$F,MATCH(C505,PRODUK!$A:$A,0))),0)</f>
        <v>0</v>
      </c>
      <c r="G505" s="114">
        <f t="shared" si="1"/>
        <v>0</v>
      </c>
      <c r="H505" s="114">
        <f t="array" ref="H505">IFERROR(IF(B505="",0,INDEX(HPP_ENGINE!$J:$J,MATCH(B505,HPP_ENGINE!$A:$A,0))),0)</f>
        <v>0</v>
      </c>
      <c r="I505" s="114">
        <f t="shared" si="2"/>
        <v>0</v>
      </c>
      <c r="J505" s="114">
        <f t="shared" si="3"/>
        <v>0</v>
      </c>
      <c r="K505" s="133">
        <f t="shared" si="4"/>
        <v>0</v>
      </c>
    </row>
    <row r="506" ht="18.0" customHeight="1">
      <c r="A506" s="134"/>
      <c r="B506" s="77"/>
      <c r="C506" s="77"/>
      <c r="D506" s="135" t="str">
        <f t="array" ref="D506">IFERROR(IF(C506="","",INDEX(PRODUK!$B:$B,MATCH(C506,PRODUK!$A:$A,0))),"")</f>
        <v/>
      </c>
      <c r="E506" s="117"/>
      <c r="F506" s="119">
        <f t="array" ref="F506">IFERROR(IF(C506="",0,INDEX(PRODUK!$F:$F,MATCH(C506,PRODUK!$A:$A,0))),0)</f>
        <v>0</v>
      </c>
      <c r="G506" s="118">
        <f t="shared" si="1"/>
        <v>0</v>
      </c>
      <c r="H506" s="118">
        <f t="array" ref="H506">IFERROR(IF(B506="",0,INDEX(HPP_ENGINE!$J:$J,MATCH(B506,HPP_ENGINE!$A:$A,0))),0)</f>
        <v>0</v>
      </c>
      <c r="I506" s="118">
        <f t="shared" si="2"/>
        <v>0</v>
      </c>
      <c r="J506" s="118">
        <f t="shared" si="3"/>
        <v>0</v>
      </c>
      <c r="K506" s="136">
        <f t="shared" si="4"/>
        <v>0</v>
      </c>
    </row>
    <row r="507" ht="18.0" customHeight="1">
      <c r="A507" s="132"/>
      <c r="B507" s="72"/>
      <c r="C507" s="72"/>
      <c r="D507" s="137" t="str">
        <f t="array" ref="D507">IFERROR(IF(C507="","",INDEX(PRODUK!$B:$B,MATCH(C507,PRODUK!$A:$A,0))),"")</f>
        <v/>
      </c>
      <c r="E507" s="113"/>
      <c r="F507" s="115">
        <f t="array" ref="F507">IFERROR(IF(C507="",0,INDEX(PRODUK!$F:$F,MATCH(C507,PRODUK!$A:$A,0))),0)</f>
        <v>0</v>
      </c>
      <c r="G507" s="114">
        <f t="shared" si="1"/>
        <v>0</v>
      </c>
      <c r="H507" s="114">
        <f t="array" ref="H507">IFERROR(IF(B507="",0,INDEX(HPP_ENGINE!$J:$J,MATCH(B507,HPP_ENGINE!$A:$A,0))),0)</f>
        <v>0</v>
      </c>
      <c r="I507" s="114">
        <f t="shared" si="2"/>
        <v>0</v>
      </c>
      <c r="J507" s="114">
        <f t="shared" si="3"/>
        <v>0</v>
      </c>
      <c r="K507" s="133">
        <f t="shared" si="4"/>
        <v>0</v>
      </c>
    </row>
    <row r="508" ht="18.0" customHeight="1">
      <c r="A508" s="134"/>
      <c r="B508" s="77"/>
      <c r="C508" s="77"/>
      <c r="D508" s="135" t="str">
        <f t="array" ref="D508">IFERROR(IF(C508="","",INDEX(PRODUK!$B:$B,MATCH(C508,PRODUK!$A:$A,0))),"")</f>
        <v/>
      </c>
      <c r="E508" s="117"/>
      <c r="F508" s="119">
        <f t="array" ref="F508">IFERROR(IF(C508="",0,INDEX(PRODUK!$F:$F,MATCH(C508,PRODUK!$A:$A,0))),0)</f>
        <v>0</v>
      </c>
      <c r="G508" s="118">
        <f t="shared" si="1"/>
        <v>0</v>
      </c>
      <c r="H508" s="118">
        <f t="array" ref="H508">IFERROR(IF(B508="",0,INDEX(HPP_ENGINE!$J:$J,MATCH(B508,HPP_ENGINE!$A:$A,0))),0)</f>
        <v>0</v>
      </c>
      <c r="I508" s="118">
        <f t="shared" si="2"/>
        <v>0</v>
      </c>
      <c r="J508" s="118">
        <f t="shared" si="3"/>
        <v>0</v>
      </c>
      <c r="K508" s="136">
        <f t="shared" si="4"/>
        <v>0</v>
      </c>
    </row>
    <row r="509" ht="18.0" customHeight="1">
      <c r="A509" s="132"/>
      <c r="B509" s="72"/>
      <c r="C509" s="72"/>
      <c r="D509" s="137" t="str">
        <f t="array" ref="D509">IFERROR(IF(C509="","",INDEX(PRODUK!$B:$B,MATCH(C509,PRODUK!$A:$A,0))),"")</f>
        <v/>
      </c>
      <c r="E509" s="113"/>
      <c r="F509" s="115">
        <f t="array" ref="F509">IFERROR(IF(C509="",0,INDEX(PRODUK!$F:$F,MATCH(C509,PRODUK!$A:$A,0))),0)</f>
        <v>0</v>
      </c>
      <c r="G509" s="114">
        <f t="shared" si="1"/>
        <v>0</v>
      </c>
      <c r="H509" s="114">
        <f t="array" ref="H509">IFERROR(IF(B509="",0,INDEX(HPP_ENGINE!$J:$J,MATCH(B509,HPP_ENGINE!$A:$A,0))),0)</f>
        <v>0</v>
      </c>
      <c r="I509" s="114">
        <f t="shared" si="2"/>
        <v>0</v>
      </c>
      <c r="J509" s="114">
        <f t="shared" si="3"/>
        <v>0</v>
      </c>
      <c r="K509" s="133">
        <f t="shared" si="4"/>
        <v>0</v>
      </c>
    </row>
    <row r="510" ht="18.0" customHeight="1">
      <c r="A510" s="134"/>
      <c r="B510" s="77"/>
      <c r="C510" s="77"/>
      <c r="D510" s="135" t="str">
        <f t="array" ref="D510">IFERROR(IF(C510="","",INDEX(PRODUK!$B:$B,MATCH(C510,PRODUK!$A:$A,0))),"")</f>
        <v/>
      </c>
      <c r="E510" s="117"/>
      <c r="F510" s="119">
        <f t="array" ref="F510">IFERROR(IF(C510="",0,INDEX(PRODUK!$F:$F,MATCH(C510,PRODUK!$A:$A,0))),0)</f>
        <v>0</v>
      </c>
      <c r="G510" s="118">
        <f t="shared" si="1"/>
        <v>0</v>
      </c>
      <c r="H510" s="118">
        <f t="array" ref="H510">IFERROR(IF(B510="",0,INDEX(HPP_ENGINE!$J:$J,MATCH(B510,HPP_ENGINE!$A:$A,0))),0)</f>
        <v>0</v>
      </c>
      <c r="I510" s="118">
        <f t="shared" si="2"/>
        <v>0</v>
      </c>
      <c r="J510" s="118">
        <f t="shared" si="3"/>
        <v>0</v>
      </c>
      <c r="K510" s="136">
        <f t="shared" si="4"/>
        <v>0</v>
      </c>
    </row>
    <row r="511" ht="18.0" customHeight="1">
      <c r="A511" s="132"/>
      <c r="B511" s="72"/>
      <c r="C511" s="72"/>
      <c r="D511" s="137" t="str">
        <f t="array" ref="D511">IFERROR(IF(C511="","",INDEX(PRODUK!$B:$B,MATCH(C511,PRODUK!$A:$A,0))),"")</f>
        <v/>
      </c>
      <c r="E511" s="113"/>
      <c r="F511" s="115">
        <f t="array" ref="F511">IFERROR(IF(C511="",0,INDEX(PRODUK!$F:$F,MATCH(C511,PRODUK!$A:$A,0))),0)</f>
        <v>0</v>
      </c>
      <c r="G511" s="114">
        <f t="shared" si="1"/>
        <v>0</v>
      </c>
      <c r="H511" s="114">
        <f t="array" ref="H511">IFERROR(IF(B511="",0,INDEX(HPP_ENGINE!$J:$J,MATCH(B511,HPP_ENGINE!$A:$A,0))),0)</f>
        <v>0</v>
      </c>
      <c r="I511" s="114">
        <f t="shared" si="2"/>
        <v>0</v>
      </c>
      <c r="J511" s="114">
        <f t="shared" si="3"/>
        <v>0</v>
      </c>
      <c r="K511" s="133">
        <f t="shared" si="4"/>
        <v>0</v>
      </c>
    </row>
    <row r="512" ht="18.0" customHeight="1">
      <c r="A512" s="134"/>
      <c r="B512" s="77"/>
      <c r="C512" s="77"/>
      <c r="D512" s="135" t="str">
        <f t="array" ref="D512">IFERROR(IF(C512="","",INDEX(PRODUK!$B:$B,MATCH(C512,PRODUK!$A:$A,0))),"")</f>
        <v/>
      </c>
      <c r="E512" s="117"/>
      <c r="F512" s="119">
        <f t="array" ref="F512">IFERROR(IF(C512="",0,INDEX(PRODUK!$F:$F,MATCH(C512,PRODUK!$A:$A,0))),0)</f>
        <v>0</v>
      </c>
      <c r="G512" s="118">
        <f t="shared" si="1"/>
        <v>0</v>
      </c>
      <c r="H512" s="118">
        <f t="array" ref="H512">IFERROR(IF(B512="",0,INDEX(HPP_ENGINE!$J:$J,MATCH(B512,HPP_ENGINE!$A:$A,0))),0)</f>
        <v>0</v>
      </c>
      <c r="I512" s="118">
        <f t="shared" si="2"/>
        <v>0</v>
      </c>
      <c r="J512" s="118">
        <f t="shared" si="3"/>
        <v>0</v>
      </c>
      <c r="K512" s="136">
        <f t="shared" si="4"/>
        <v>0</v>
      </c>
    </row>
    <row r="513" ht="18.0" customHeight="1">
      <c r="A513" s="132"/>
      <c r="B513" s="72"/>
      <c r="C513" s="72"/>
      <c r="D513" s="137" t="str">
        <f t="array" ref="D513">IFERROR(IF(C513="","",INDEX(PRODUK!$B:$B,MATCH(C513,PRODUK!$A:$A,0))),"")</f>
        <v/>
      </c>
      <c r="E513" s="113"/>
      <c r="F513" s="115">
        <f t="array" ref="F513">IFERROR(IF(C513="",0,INDEX(PRODUK!$F:$F,MATCH(C513,PRODUK!$A:$A,0))),0)</f>
        <v>0</v>
      </c>
      <c r="G513" s="114">
        <f t="shared" si="1"/>
        <v>0</v>
      </c>
      <c r="H513" s="114">
        <f t="array" ref="H513">IFERROR(IF(B513="",0,INDEX(HPP_ENGINE!$J:$J,MATCH(B513,HPP_ENGINE!$A:$A,0))),0)</f>
        <v>0</v>
      </c>
      <c r="I513" s="114">
        <f t="shared" si="2"/>
        <v>0</v>
      </c>
      <c r="J513" s="114">
        <f t="shared" si="3"/>
        <v>0</v>
      </c>
      <c r="K513" s="133">
        <f t="shared" si="4"/>
        <v>0</v>
      </c>
    </row>
    <row r="514" ht="18.0" customHeight="1">
      <c r="A514" s="134"/>
      <c r="B514" s="77"/>
      <c r="C514" s="77"/>
      <c r="D514" s="135" t="str">
        <f t="array" ref="D514">IFERROR(IF(C514="","",INDEX(PRODUK!$B:$B,MATCH(C514,PRODUK!$A:$A,0))),"")</f>
        <v/>
      </c>
      <c r="E514" s="117"/>
      <c r="F514" s="119">
        <f t="array" ref="F514">IFERROR(IF(C514="",0,INDEX(PRODUK!$F:$F,MATCH(C514,PRODUK!$A:$A,0))),0)</f>
        <v>0</v>
      </c>
      <c r="G514" s="118">
        <f t="shared" si="1"/>
        <v>0</v>
      </c>
      <c r="H514" s="118">
        <f t="array" ref="H514">IFERROR(IF(B514="",0,INDEX(HPP_ENGINE!$J:$J,MATCH(B514,HPP_ENGINE!$A:$A,0))),0)</f>
        <v>0</v>
      </c>
      <c r="I514" s="118">
        <f t="shared" si="2"/>
        <v>0</v>
      </c>
      <c r="J514" s="118">
        <f t="shared" si="3"/>
        <v>0</v>
      </c>
      <c r="K514" s="136">
        <f t="shared" si="4"/>
        <v>0</v>
      </c>
    </row>
    <row r="515" ht="18.0" customHeight="1">
      <c r="A515" s="132"/>
      <c r="B515" s="72"/>
      <c r="C515" s="72"/>
      <c r="D515" s="137" t="str">
        <f t="array" ref="D515">IFERROR(IF(C515="","",INDEX(PRODUK!$B:$B,MATCH(C515,PRODUK!$A:$A,0))),"")</f>
        <v/>
      </c>
      <c r="E515" s="113"/>
      <c r="F515" s="115">
        <f t="array" ref="F515">IFERROR(IF(C515="",0,INDEX(PRODUK!$F:$F,MATCH(C515,PRODUK!$A:$A,0))),0)</f>
        <v>0</v>
      </c>
      <c r="G515" s="114">
        <f t="shared" si="1"/>
        <v>0</v>
      </c>
      <c r="H515" s="114">
        <f t="array" ref="H515">IFERROR(IF(B515="",0,INDEX(HPP_ENGINE!$J:$J,MATCH(B515,HPP_ENGINE!$A:$A,0))),0)</f>
        <v>0</v>
      </c>
      <c r="I515" s="114">
        <f t="shared" si="2"/>
        <v>0</v>
      </c>
      <c r="J515" s="114">
        <f t="shared" si="3"/>
        <v>0</v>
      </c>
      <c r="K515" s="133">
        <f t="shared" si="4"/>
        <v>0</v>
      </c>
    </row>
    <row r="516" ht="18.0" customHeight="1">
      <c r="A516" s="134"/>
      <c r="B516" s="77"/>
      <c r="C516" s="77"/>
      <c r="D516" s="135" t="str">
        <f t="array" ref="D516">IFERROR(IF(C516="","",INDEX(PRODUK!$B:$B,MATCH(C516,PRODUK!$A:$A,0))),"")</f>
        <v/>
      </c>
      <c r="E516" s="117"/>
      <c r="F516" s="119">
        <f t="array" ref="F516">IFERROR(IF(C516="",0,INDEX(PRODUK!$F:$F,MATCH(C516,PRODUK!$A:$A,0))),0)</f>
        <v>0</v>
      </c>
      <c r="G516" s="118">
        <f t="shared" si="1"/>
        <v>0</v>
      </c>
      <c r="H516" s="118">
        <f t="array" ref="H516">IFERROR(IF(B516="",0,INDEX(HPP_ENGINE!$J:$J,MATCH(B516,HPP_ENGINE!$A:$A,0))),0)</f>
        <v>0</v>
      </c>
      <c r="I516" s="118">
        <f t="shared" si="2"/>
        <v>0</v>
      </c>
      <c r="J516" s="118">
        <f t="shared" si="3"/>
        <v>0</v>
      </c>
      <c r="K516" s="136">
        <f t="shared" si="4"/>
        <v>0</v>
      </c>
    </row>
    <row r="517" ht="18.0" customHeight="1">
      <c r="A517" s="132"/>
      <c r="B517" s="72"/>
      <c r="C517" s="72"/>
      <c r="D517" s="137" t="str">
        <f t="array" ref="D517">IFERROR(IF(C517="","",INDEX(PRODUK!$B:$B,MATCH(C517,PRODUK!$A:$A,0))),"")</f>
        <v/>
      </c>
      <c r="E517" s="113"/>
      <c r="F517" s="115">
        <f t="array" ref="F517">IFERROR(IF(C517="",0,INDEX(PRODUK!$F:$F,MATCH(C517,PRODUK!$A:$A,0))),0)</f>
        <v>0</v>
      </c>
      <c r="G517" s="114">
        <f t="shared" si="1"/>
        <v>0</v>
      </c>
      <c r="H517" s="114">
        <f t="array" ref="H517">IFERROR(IF(B517="",0,INDEX(HPP_ENGINE!$J:$J,MATCH(B517,HPP_ENGINE!$A:$A,0))),0)</f>
        <v>0</v>
      </c>
      <c r="I517" s="114">
        <f t="shared" si="2"/>
        <v>0</v>
      </c>
      <c r="J517" s="114">
        <f t="shared" si="3"/>
        <v>0</v>
      </c>
      <c r="K517" s="133">
        <f t="shared" si="4"/>
        <v>0</v>
      </c>
    </row>
    <row r="518" ht="18.0" customHeight="1">
      <c r="A518" s="134"/>
      <c r="B518" s="77"/>
      <c r="C518" s="77"/>
      <c r="D518" s="135" t="str">
        <f t="array" ref="D518">IFERROR(IF(C518="","",INDEX(PRODUK!$B:$B,MATCH(C518,PRODUK!$A:$A,0))),"")</f>
        <v/>
      </c>
      <c r="E518" s="117"/>
      <c r="F518" s="119">
        <f t="array" ref="F518">IFERROR(IF(C518="",0,INDEX(PRODUK!$F:$F,MATCH(C518,PRODUK!$A:$A,0))),0)</f>
        <v>0</v>
      </c>
      <c r="G518" s="118">
        <f t="shared" si="1"/>
        <v>0</v>
      </c>
      <c r="H518" s="118">
        <f t="array" ref="H518">IFERROR(IF(B518="",0,INDEX(HPP_ENGINE!$J:$J,MATCH(B518,HPP_ENGINE!$A:$A,0))),0)</f>
        <v>0</v>
      </c>
      <c r="I518" s="118">
        <f t="shared" si="2"/>
        <v>0</v>
      </c>
      <c r="J518" s="118">
        <f t="shared" si="3"/>
        <v>0</v>
      </c>
      <c r="K518" s="136">
        <f t="shared" si="4"/>
        <v>0</v>
      </c>
    </row>
    <row r="519" ht="18.0" customHeight="1">
      <c r="A519" s="132"/>
      <c r="B519" s="72"/>
      <c r="C519" s="72"/>
      <c r="D519" s="137" t="str">
        <f t="array" ref="D519">IFERROR(IF(C519="","",INDEX(PRODUK!$B:$B,MATCH(C519,PRODUK!$A:$A,0))),"")</f>
        <v/>
      </c>
      <c r="E519" s="113"/>
      <c r="F519" s="115">
        <f t="array" ref="F519">IFERROR(IF(C519="",0,INDEX(PRODUK!$F:$F,MATCH(C519,PRODUK!$A:$A,0))),0)</f>
        <v>0</v>
      </c>
      <c r="G519" s="114">
        <f t="shared" si="1"/>
        <v>0</v>
      </c>
      <c r="H519" s="114">
        <f t="array" ref="H519">IFERROR(IF(B519="",0,INDEX(HPP_ENGINE!$J:$J,MATCH(B519,HPP_ENGINE!$A:$A,0))),0)</f>
        <v>0</v>
      </c>
      <c r="I519" s="114">
        <f t="shared" si="2"/>
        <v>0</v>
      </c>
      <c r="J519" s="114">
        <f t="shared" si="3"/>
        <v>0</v>
      </c>
      <c r="K519" s="133">
        <f t="shared" si="4"/>
        <v>0</v>
      </c>
    </row>
    <row r="520" ht="18.0" customHeight="1">
      <c r="A520" s="134"/>
      <c r="B520" s="77"/>
      <c r="C520" s="77"/>
      <c r="D520" s="135" t="str">
        <f t="array" ref="D520">IFERROR(IF(C520="","",INDEX(PRODUK!$B:$B,MATCH(C520,PRODUK!$A:$A,0))),"")</f>
        <v/>
      </c>
      <c r="E520" s="117"/>
      <c r="F520" s="119">
        <f t="array" ref="F520">IFERROR(IF(C520="",0,INDEX(PRODUK!$F:$F,MATCH(C520,PRODUK!$A:$A,0))),0)</f>
        <v>0</v>
      </c>
      <c r="G520" s="118">
        <f t="shared" si="1"/>
        <v>0</v>
      </c>
      <c r="H520" s="118">
        <f t="array" ref="H520">IFERROR(IF(B520="",0,INDEX(HPP_ENGINE!$J:$J,MATCH(B520,HPP_ENGINE!$A:$A,0))),0)</f>
        <v>0</v>
      </c>
      <c r="I520" s="118">
        <f t="shared" si="2"/>
        <v>0</v>
      </c>
      <c r="J520" s="118">
        <f t="shared" si="3"/>
        <v>0</v>
      </c>
      <c r="K520" s="136">
        <f t="shared" si="4"/>
        <v>0</v>
      </c>
    </row>
    <row r="521" ht="18.0" customHeight="1">
      <c r="A521" s="132"/>
      <c r="B521" s="72"/>
      <c r="C521" s="72"/>
      <c r="D521" s="137" t="str">
        <f t="array" ref="D521">IFERROR(IF(C521="","",INDEX(PRODUK!$B:$B,MATCH(C521,PRODUK!$A:$A,0))),"")</f>
        <v/>
      </c>
      <c r="E521" s="113"/>
      <c r="F521" s="115">
        <f t="array" ref="F521">IFERROR(IF(C521="",0,INDEX(PRODUK!$F:$F,MATCH(C521,PRODUK!$A:$A,0))),0)</f>
        <v>0</v>
      </c>
      <c r="G521" s="114">
        <f t="shared" si="1"/>
        <v>0</v>
      </c>
      <c r="H521" s="114">
        <f t="array" ref="H521">IFERROR(IF(B521="",0,INDEX(HPP_ENGINE!$J:$J,MATCH(B521,HPP_ENGINE!$A:$A,0))),0)</f>
        <v>0</v>
      </c>
      <c r="I521" s="114">
        <f t="shared" si="2"/>
        <v>0</v>
      </c>
      <c r="J521" s="114">
        <f t="shared" si="3"/>
        <v>0</v>
      </c>
      <c r="K521" s="133">
        <f t="shared" si="4"/>
        <v>0</v>
      </c>
    </row>
    <row r="522" ht="18.0" customHeight="1">
      <c r="A522" s="134"/>
      <c r="B522" s="77"/>
      <c r="C522" s="77"/>
      <c r="D522" s="135" t="str">
        <f t="array" ref="D522">IFERROR(IF(C522="","",INDEX(PRODUK!$B:$B,MATCH(C522,PRODUK!$A:$A,0))),"")</f>
        <v/>
      </c>
      <c r="E522" s="117"/>
      <c r="F522" s="119">
        <f t="array" ref="F522">IFERROR(IF(C522="",0,INDEX(PRODUK!$F:$F,MATCH(C522,PRODUK!$A:$A,0))),0)</f>
        <v>0</v>
      </c>
      <c r="G522" s="118">
        <f t="shared" si="1"/>
        <v>0</v>
      </c>
      <c r="H522" s="118">
        <f t="array" ref="H522">IFERROR(IF(B522="",0,INDEX(HPP_ENGINE!$J:$J,MATCH(B522,HPP_ENGINE!$A:$A,0))),0)</f>
        <v>0</v>
      </c>
      <c r="I522" s="118">
        <f t="shared" si="2"/>
        <v>0</v>
      </c>
      <c r="J522" s="118">
        <f t="shared" si="3"/>
        <v>0</v>
      </c>
      <c r="K522" s="136">
        <f t="shared" si="4"/>
        <v>0</v>
      </c>
    </row>
    <row r="523" ht="18.0" customHeight="1">
      <c r="A523" s="132"/>
      <c r="B523" s="72"/>
      <c r="C523" s="72"/>
      <c r="D523" s="137" t="str">
        <f t="array" ref="D523">IFERROR(IF(C523="","",INDEX(PRODUK!$B:$B,MATCH(C523,PRODUK!$A:$A,0))),"")</f>
        <v/>
      </c>
      <c r="E523" s="113"/>
      <c r="F523" s="115">
        <f t="array" ref="F523">IFERROR(IF(C523="",0,INDEX(PRODUK!$F:$F,MATCH(C523,PRODUK!$A:$A,0))),0)</f>
        <v>0</v>
      </c>
      <c r="G523" s="114">
        <f t="shared" si="1"/>
        <v>0</v>
      </c>
      <c r="H523" s="114">
        <f t="array" ref="H523">IFERROR(IF(B523="",0,INDEX(HPP_ENGINE!$J:$J,MATCH(B523,HPP_ENGINE!$A:$A,0))),0)</f>
        <v>0</v>
      </c>
      <c r="I523" s="114">
        <f t="shared" si="2"/>
        <v>0</v>
      </c>
      <c r="J523" s="114">
        <f t="shared" si="3"/>
        <v>0</v>
      </c>
      <c r="K523" s="133">
        <f t="shared" si="4"/>
        <v>0</v>
      </c>
    </row>
    <row r="524" ht="18.0" customHeight="1">
      <c r="A524" s="134"/>
      <c r="B524" s="77"/>
      <c r="C524" s="77"/>
      <c r="D524" s="135" t="str">
        <f t="array" ref="D524">IFERROR(IF(C524="","",INDEX(PRODUK!$B:$B,MATCH(C524,PRODUK!$A:$A,0))),"")</f>
        <v/>
      </c>
      <c r="E524" s="117"/>
      <c r="F524" s="119">
        <f t="array" ref="F524">IFERROR(IF(C524="",0,INDEX(PRODUK!$F:$F,MATCH(C524,PRODUK!$A:$A,0))),0)</f>
        <v>0</v>
      </c>
      <c r="G524" s="118">
        <f t="shared" si="1"/>
        <v>0</v>
      </c>
      <c r="H524" s="118">
        <f t="array" ref="H524">IFERROR(IF(B524="",0,INDEX(HPP_ENGINE!$J:$J,MATCH(B524,HPP_ENGINE!$A:$A,0))),0)</f>
        <v>0</v>
      </c>
      <c r="I524" s="118">
        <f t="shared" si="2"/>
        <v>0</v>
      </c>
      <c r="J524" s="118">
        <f t="shared" si="3"/>
        <v>0</v>
      </c>
      <c r="K524" s="136">
        <f t="shared" si="4"/>
        <v>0</v>
      </c>
    </row>
    <row r="525" ht="18.0" customHeight="1">
      <c r="A525" s="132"/>
      <c r="B525" s="72"/>
      <c r="C525" s="72"/>
      <c r="D525" s="137" t="str">
        <f t="array" ref="D525">IFERROR(IF(C525="","",INDEX(PRODUK!$B:$B,MATCH(C525,PRODUK!$A:$A,0))),"")</f>
        <v/>
      </c>
      <c r="E525" s="113"/>
      <c r="F525" s="115">
        <f t="array" ref="F525">IFERROR(IF(C525="",0,INDEX(PRODUK!$F:$F,MATCH(C525,PRODUK!$A:$A,0))),0)</f>
        <v>0</v>
      </c>
      <c r="G525" s="114">
        <f t="shared" si="1"/>
        <v>0</v>
      </c>
      <c r="H525" s="114">
        <f t="array" ref="H525">IFERROR(IF(B525="",0,INDEX(HPP_ENGINE!$J:$J,MATCH(B525,HPP_ENGINE!$A:$A,0))),0)</f>
        <v>0</v>
      </c>
      <c r="I525" s="114">
        <f t="shared" si="2"/>
        <v>0</v>
      </c>
      <c r="J525" s="114">
        <f t="shared" si="3"/>
        <v>0</v>
      </c>
      <c r="K525" s="133">
        <f t="shared" si="4"/>
        <v>0</v>
      </c>
    </row>
    <row r="526" ht="18.0" customHeight="1">
      <c r="A526" s="134"/>
      <c r="B526" s="77"/>
      <c r="C526" s="77"/>
      <c r="D526" s="135" t="str">
        <f t="array" ref="D526">IFERROR(IF(C526="","",INDEX(PRODUK!$B:$B,MATCH(C526,PRODUK!$A:$A,0))),"")</f>
        <v/>
      </c>
      <c r="E526" s="117"/>
      <c r="F526" s="119">
        <f t="array" ref="F526">IFERROR(IF(C526="",0,INDEX(PRODUK!$F:$F,MATCH(C526,PRODUK!$A:$A,0))),0)</f>
        <v>0</v>
      </c>
      <c r="G526" s="118">
        <f t="shared" si="1"/>
        <v>0</v>
      </c>
      <c r="H526" s="118">
        <f t="array" ref="H526">IFERROR(IF(B526="",0,INDEX(HPP_ENGINE!$J:$J,MATCH(B526,HPP_ENGINE!$A:$A,0))),0)</f>
        <v>0</v>
      </c>
      <c r="I526" s="118">
        <f t="shared" si="2"/>
        <v>0</v>
      </c>
      <c r="J526" s="118">
        <f t="shared" si="3"/>
        <v>0</v>
      </c>
      <c r="K526" s="136">
        <f t="shared" si="4"/>
        <v>0</v>
      </c>
    </row>
    <row r="527" ht="18.0" customHeight="1">
      <c r="A527" s="132"/>
      <c r="B527" s="72"/>
      <c r="C527" s="72"/>
      <c r="D527" s="137" t="str">
        <f t="array" ref="D527">IFERROR(IF(C527="","",INDEX(PRODUK!$B:$B,MATCH(C527,PRODUK!$A:$A,0))),"")</f>
        <v/>
      </c>
      <c r="E527" s="113"/>
      <c r="F527" s="115">
        <f t="array" ref="F527">IFERROR(IF(C527="",0,INDEX(PRODUK!$F:$F,MATCH(C527,PRODUK!$A:$A,0))),0)</f>
        <v>0</v>
      </c>
      <c r="G527" s="114">
        <f t="shared" si="1"/>
        <v>0</v>
      </c>
      <c r="H527" s="114">
        <f t="array" ref="H527">IFERROR(IF(B527="",0,INDEX(HPP_ENGINE!$J:$J,MATCH(B527,HPP_ENGINE!$A:$A,0))),0)</f>
        <v>0</v>
      </c>
      <c r="I527" s="114">
        <f t="shared" si="2"/>
        <v>0</v>
      </c>
      <c r="J527" s="114">
        <f t="shared" si="3"/>
        <v>0</v>
      </c>
      <c r="K527" s="133">
        <f t="shared" si="4"/>
        <v>0</v>
      </c>
    </row>
    <row r="528" ht="18.0" customHeight="1">
      <c r="A528" s="134"/>
      <c r="B528" s="77"/>
      <c r="C528" s="77"/>
      <c r="D528" s="135" t="str">
        <f t="array" ref="D528">IFERROR(IF(C528="","",INDEX(PRODUK!$B:$B,MATCH(C528,PRODUK!$A:$A,0))),"")</f>
        <v/>
      </c>
      <c r="E528" s="117"/>
      <c r="F528" s="119">
        <f t="array" ref="F528">IFERROR(IF(C528="",0,INDEX(PRODUK!$F:$F,MATCH(C528,PRODUK!$A:$A,0))),0)</f>
        <v>0</v>
      </c>
      <c r="G528" s="118">
        <f t="shared" si="1"/>
        <v>0</v>
      </c>
      <c r="H528" s="118">
        <f t="array" ref="H528">IFERROR(IF(B528="",0,INDEX(HPP_ENGINE!$J:$J,MATCH(B528,HPP_ENGINE!$A:$A,0))),0)</f>
        <v>0</v>
      </c>
      <c r="I528" s="118">
        <f t="shared" si="2"/>
        <v>0</v>
      </c>
      <c r="J528" s="118">
        <f t="shared" si="3"/>
        <v>0</v>
      </c>
      <c r="K528" s="136">
        <f t="shared" si="4"/>
        <v>0</v>
      </c>
    </row>
    <row r="529" ht="18.0" customHeight="1">
      <c r="A529" s="132"/>
      <c r="B529" s="72"/>
      <c r="C529" s="72"/>
      <c r="D529" s="137" t="str">
        <f t="array" ref="D529">IFERROR(IF(C529="","",INDEX(PRODUK!$B:$B,MATCH(C529,PRODUK!$A:$A,0))),"")</f>
        <v/>
      </c>
      <c r="E529" s="113"/>
      <c r="F529" s="115">
        <f t="array" ref="F529">IFERROR(IF(C529="",0,INDEX(PRODUK!$F:$F,MATCH(C529,PRODUK!$A:$A,0))),0)</f>
        <v>0</v>
      </c>
      <c r="G529" s="114">
        <f t="shared" si="1"/>
        <v>0</v>
      </c>
      <c r="H529" s="114">
        <f t="array" ref="H529">IFERROR(IF(B529="",0,INDEX(HPP_ENGINE!$J:$J,MATCH(B529,HPP_ENGINE!$A:$A,0))),0)</f>
        <v>0</v>
      </c>
      <c r="I529" s="114">
        <f t="shared" si="2"/>
        <v>0</v>
      </c>
      <c r="J529" s="114">
        <f t="shared" si="3"/>
        <v>0</v>
      </c>
      <c r="K529" s="133">
        <f t="shared" si="4"/>
        <v>0</v>
      </c>
    </row>
    <row r="530" ht="18.0" customHeight="1">
      <c r="A530" s="134"/>
      <c r="B530" s="77"/>
      <c r="C530" s="77"/>
      <c r="D530" s="135" t="str">
        <f t="array" ref="D530">IFERROR(IF(C530="","",INDEX(PRODUK!$B:$B,MATCH(C530,PRODUK!$A:$A,0))),"")</f>
        <v/>
      </c>
      <c r="E530" s="117"/>
      <c r="F530" s="119">
        <f t="array" ref="F530">IFERROR(IF(C530="",0,INDEX(PRODUK!$F:$F,MATCH(C530,PRODUK!$A:$A,0))),0)</f>
        <v>0</v>
      </c>
      <c r="G530" s="118">
        <f t="shared" si="1"/>
        <v>0</v>
      </c>
      <c r="H530" s="118">
        <f t="array" ref="H530">IFERROR(IF(B530="",0,INDEX(HPP_ENGINE!$J:$J,MATCH(B530,HPP_ENGINE!$A:$A,0))),0)</f>
        <v>0</v>
      </c>
      <c r="I530" s="118">
        <f t="shared" si="2"/>
        <v>0</v>
      </c>
      <c r="J530" s="118">
        <f t="shared" si="3"/>
        <v>0</v>
      </c>
      <c r="K530" s="136">
        <f t="shared" si="4"/>
        <v>0</v>
      </c>
    </row>
    <row r="531" ht="18.0" customHeight="1">
      <c r="A531" s="132"/>
      <c r="B531" s="72"/>
      <c r="C531" s="72"/>
      <c r="D531" s="137" t="str">
        <f t="array" ref="D531">IFERROR(IF(C531="","",INDEX(PRODUK!$B:$B,MATCH(C531,PRODUK!$A:$A,0))),"")</f>
        <v/>
      </c>
      <c r="E531" s="113"/>
      <c r="F531" s="115">
        <f t="array" ref="F531">IFERROR(IF(C531="",0,INDEX(PRODUK!$F:$F,MATCH(C531,PRODUK!$A:$A,0))),0)</f>
        <v>0</v>
      </c>
      <c r="G531" s="114">
        <f t="shared" si="1"/>
        <v>0</v>
      </c>
      <c r="H531" s="114">
        <f t="array" ref="H531">IFERROR(IF(B531="",0,INDEX(HPP_ENGINE!$J:$J,MATCH(B531,HPP_ENGINE!$A:$A,0))),0)</f>
        <v>0</v>
      </c>
      <c r="I531" s="114">
        <f t="shared" si="2"/>
        <v>0</v>
      </c>
      <c r="J531" s="114">
        <f t="shared" si="3"/>
        <v>0</v>
      </c>
      <c r="K531" s="133">
        <f t="shared" si="4"/>
        <v>0</v>
      </c>
    </row>
    <row r="532" ht="18.0" customHeight="1">
      <c r="A532" s="134"/>
      <c r="B532" s="77"/>
      <c r="C532" s="77"/>
      <c r="D532" s="135" t="str">
        <f t="array" ref="D532">IFERROR(IF(C532="","",INDEX(PRODUK!$B:$B,MATCH(C532,PRODUK!$A:$A,0))),"")</f>
        <v/>
      </c>
      <c r="E532" s="117"/>
      <c r="F532" s="119">
        <f t="array" ref="F532">IFERROR(IF(C532="",0,INDEX(PRODUK!$F:$F,MATCH(C532,PRODUK!$A:$A,0))),0)</f>
        <v>0</v>
      </c>
      <c r="G532" s="118">
        <f t="shared" si="1"/>
        <v>0</v>
      </c>
      <c r="H532" s="118">
        <f t="array" ref="H532">IFERROR(IF(B532="",0,INDEX(HPP_ENGINE!$J:$J,MATCH(B532,HPP_ENGINE!$A:$A,0))),0)</f>
        <v>0</v>
      </c>
      <c r="I532" s="118">
        <f t="shared" si="2"/>
        <v>0</v>
      </c>
      <c r="J532" s="118">
        <f t="shared" si="3"/>
        <v>0</v>
      </c>
      <c r="K532" s="136">
        <f t="shared" si="4"/>
        <v>0</v>
      </c>
    </row>
    <row r="533" ht="18.0" customHeight="1">
      <c r="A533" s="132"/>
      <c r="B533" s="72"/>
      <c r="C533" s="72"/>
      <c r="D533" s="137" t="str">
        <f t="array" ref="D533">IFERROR(IF(C533="","",INDEX(PRODUK!$B:$B,MATCH(C533,PRODUK!$A:$A,0))),"")</f>
        <v/>
      </c>
      <c r="E533" s="113"/>
      <c r="F533" s="115">
        <f t="array" ref="F533">IFERROR(IF(C533="",0,INDEX(PRODUK!$F:$F,MATCH(C533,PRODUK!$A:$A,0))),0)</f>
        <v>0</v>
      </c>
      <c r="G533" s="114">
        <f t="shared" si="1"/>
        <v>0</v>
      </c>
      <c r="H533" s="114">
        <f t="array" ref="H533">IFERROR(IF(B533="",0,INDEX(HPP_ENGINE!$J:$J,MATCH(B533,HPP_ENGINE!$A:$A,0))),0)</f>
        <v>0</v>
      </c>
      <c r="I533" s="114">
        <f t="shared" si="2"/>
        <v>0</v>
      </c>
      <c r="J533" s="114">
        <f t="shared" si="3"/>
        <v>0</v>
      </c>
      <c r="K533" s="133">
        <f t="shared" si="4"/>
        <v>0</v>
      </c>
    </row>
    <row r="534" ht="18.0" customHeight="1">
      <c r="A534" s="134"/>
      <c r="B534" s="77"/>
      <c r="C534" s="77"/>
      <c r="D534" s="135" t="str">
        <f t="array" ref="D534">IFERROR(IF(C534="","",INDEX(PRODUK!$B:$B,MATCH(C534,PRODUK!$A:$A,0))),"")</f>
        <v/>
      </c>
      <c r="E534" s="117"/>
      <c r="F534" s="119">
        <f t="array" ref="F534">IFERROR(IF(C534="",0,INDEX(PRODUK!$F:$F,MATCH(C534,PRODUK!$A:$A,0))),0)</f>
        <v>0</v>
      </c>
      <c r="G534" s="118">
        <f t="shared" si="1"/>
        <v>0</v>
      </c>
      <c r="H534" s="118">
        <f t="array" ref="H534">IFERROR(IF(B534="",0,INDEX(HPP_ENGINE!$J:$J,MATCH(B534,HPP_ENGINE!$A:$A,0))),0)</f>
        <v>0</v>
      </c>
      <c r="I534" s="118">
        <f t="shared" si="2"/>
        <v>0</v>
      </c>
      <c r="J534" s="118">
        <f t="shared" si="3"/>
        <v>0</v>
      </c>
      <c r="K534" s="136">
        <f t="shared" si="4"/>
        <v>0</v>
      </c>
    </row>
    <row r="535" ht="18.0" customHeight="1">
      <c r="A535" s="132"/>
      <c r="B535" s="72"/>
      <c r="C535" s="72"/>
      <c r="D535" s="137" t="str">
        <f t="array" ref="D535">IFERROR(IF(C535="","",INDEX(PRODUK!$B:$B,MATCH(C535,PRODUK!$A:$A,0))),"")</f>
        <v/>
      </c>
      <c r="E535" s="113"/>
      <c r="F535" s="115">
        <f t="array" ref="F535">IFERROR(IF(C535="",0,INDEX(PRODUK!$F:$F,MATCH(C535,PRODUK!$A:$A,0))),0)</f>
        <v>0</v>
      </c>
      <c r="G535" s="114">
        <f t="shared" si="1"/>
        <v>0</v>
      </c>
      <c r="H535" s="114">
        <f t="array" ref="H535">IFERROR(IF(B535="",0,INDEX(HPP_ENGINE!$J:$J,MATCH(B535,HPP_ENGINE!$A:$A,0))),0)</f>
        <v>0</v>
      </c>
      <c r="I535" s="114">
        <f t="shared" si="2"/>
        <v>0</v>
      </c>
      <c r="J535" s="114">
        <f t="shared" si="3"/>
        <v>0</v>
      </c>
      <c r="K535" s="133">
        <f t="shared" si="4"/>
        <v>0</v>
      </c>
    </row>
    <row r="536" ht="18.0" customHeight="1">
      <c r="A536" s="134"/>
      <c r="B536" s="77"/>
      <c r="C536" s="77"/>
      <c r="D536" s="135" t="str">
        <f t="array" ref="D536">IFERROR(IF(C536="","",INDEX(PRODUK!$B:$B,MATCH(C536,PRODUK!$A:$A,0))),"")</f>
        <v/>
      </c>
      <c r="E536" s="117"/>
      <c r="F536" s="119">
        <f t="array" ref="F536">IFERROR(IF(C536="",0,INDEX(PRODUK!$F:$F,MATCH(C536,PRODUK!$A:$A,0))),0)</f>
        <v>0</v>
      </c>
      <c r="G536" s="118">
        <f t="shared" si="1"/>
        <v>0</v>
      </c>
      <c r="H536" s="118">
        <f t="array" ref="H536">IFERROR(IF(B536="",0,INDEX(HPP_ENGINE!$J:$J,MATCH(B536,HPP_ENGINE!$A:$A,0))),0)</f>
        <v>0</v>
      </c>
      <c r="I536" s="118">
        <f t="shared" si="2"/>
        <v>0</v>
      </c>
      <c r="J536" s="118">
        <f t="shared" si="3"/>
        <v>0</v>
      </c>
      <c r="K536" s="136">
        <f t="shared" si="4"/>
        <v>0</v>
      </c>
    </row>
    <row r="537" ht="18.0" customHeight="1">
      <c r="A537" s="132"/>
      <c r="B537" s="72"/>
      <c r="C537" s="72"/>
      <c r="D537" s="137" t="str">
        <f t="array" ref="D537">IFERROR(IF(C537="","",INDEX(PRODUK!$B:$B,MATCH(C537,PRODUK!$A:$A,0))),"")</f>
        <v/>
      </c>
      <c r="E537" s="113"/>
      <c r="F537" s="115">
        <f t="array" ref="F537">IFERROR(IF(C537="",0,INDEX(PRODUK!$F:$F,MATCH(C537,PRODUK!$A:$A,0))),0)</f>
        <v>0</v>
      </c>
      <c r="G537" s="114">
        <f t="shared" si="1"/>
        <v>0</v>
      </c>
      <c r="H537" s="114">
        <f t="array" ref="H537">IFERROR(IF(B537="",0,INDEX(HPP_ENGINE!$J:$J,MATCH(B537,HPP_ENGINE!$A:$A,0))),0)</f>
        <v>0</v>
      </c>
      <c r="I537" s="114">
        <f t="shared" si="2"/>
        <v>0</v>
      </c>
      <c r="J537" s="114">
        <f t="shared" si="3"/>
        <v>0</v>
      </c>
      <c r="K537" s="133">
        <f t="shared" si="4"/>
        <v>0</v>
      </c>
    </row>
    <row r="538" ht="18.0" customHeight="1">
      <c r="A538" s="134"/>
      <c r="B538" s="77"/>
      <c r="C538" s="77"/>
      <c r="D538" s="135" t="str">
        <f t="array" ref="D538">IFERROR(IF(C538="","",INDEX(PRODUK!$B:$B,MATCH(C538,PRODUK!$A:$A,0))),"")</f>
        <v/>
      </c>
      <c r="E538" s="117"/>
      <c r="F538" s="119">
        <f t="array" ref="F538">IFERROR(IF(C538="",0,INDEX(PRODUK!$F:$F,MATCH(C538,PRODUK!$A:$A,0))),0)</f>
        <v>0</v>
      </c>
      <c r="G538" s="118">
        <f t="shared" si="1"/>
        <v>0</v>
      </c>
      <c r="H538" s="118">
        <f t="array" ref="H538">IFERROR(IF(B538="",0,INDEX(HPP_ENGINE!$J:$J,MATCH(B538,HPP_ENGINE!$A:$A,0))),0)</f>
        <v>0</v>
      </c>
      <c r="I538" s="118">
        <f t="shared" si="2"/>
        <v>0</v>
      </c>
      <c r="J538" s="118">
        <f t="shared" si="3"/>
        <v>0</v>
      </c>
      <c r="K538" s="136">
        <f t="shared" si="4"/>
        <v>0</v>
      </c>
    </row>
    <row r="539" ht="18.0" customHeight="1">
      <c r="A539" s="132"/>
      <c r="B539" s="72"/>
      <c r="C539" s="72"/>
      <c r="D539" s="137" t="str">
        <f t="array" ref="D539">IFERROR(IF(C539="","",INDEX(PRODUK!$B:$B,MATCH(C539,PRODUK!$A:$A,0))),"")</f>
        <v/>
      </c>
      <c r="E539" s="113"/>
      <c r="F539" s="115">
        <f t="array" ref="F539">IFERROR(IF(C539="",0,INDEX(PRODUK!$F:$F,MATCH(C539,PRODUK!$A:$A,0))),0)</f>
        <v>0</v>
      </c>
      <c r="G539" s="114">
        <f t="shared" si="1"/>
        <v>0</v>
      </c>
      <c r="H539" s="114">
        <f t="array" ref="H539">IFERROR(IF(B539="",0,INDEX(HPP_ENGINE!$J:$J,MATCH(B539,HPP_ENGINE!$A:$A,0))),0)</f>
        <v>0</v>
      </c>
      <c r="I539" s="114">
        <f t="shared" si="2"/>
        <v>0</v>
      </c>
      <c r="J539" s="114">
        <f t="shared" si="3"/>
        <v>0</v>
      </c>
      <c r="K539" s="133">
        <f t="shared" si="4"/>
        <v>0</v>
      </c>
    </row>
    <row r="540" ht="18.0" customHeight="1">
      <c r="A540" s="134"/>
      <c r="B540" s="77"/>
      <c r="C540" s="77"/>
      <c r="D540" s="135" t="str">
        <f t="array" ref="D540">IFERROR(IF(C540="","",INDEX(PRODUK!$B:$B,MATCH(C540,PRODUK!$A:$A,0))),"")</f>
        <v/>
      </c>
      <c r="E540" s="117"/>
      <c r="F540" s="119">
        <f t="array" ref="F540">IFERROR(IF(C540="",0,INDEX(PRODUK!$F:$F,MATCH(C540,PRODUK!$A:$A,0))),0)</f>
        <v>0</v>
      </c>
      <c r="G540" s="118">
        <f t="shared" si="1"/>
        <v>0</v>
      </c>
      <c r="H540" s="118">
        <f t="array" ref="H540">IFERROR(IF(B540="",0,INDEX(HPP_ENGINE!$J:$J,MATCH(B540,HPP_ENGINE!$A:$A,0))),0)</f>
        <v>0</v>
      </c>
      <c r="I540" s="118">
        <f t="shared" si="2"/>
        <v>0</v>
      </c>
      <c r="J540" s="118">
        <f t="shared" si="3"/>
        <v>0</v>
      </c>
      <c r="K540" s="136">
        <f t="shared" si="4"/>
        <v>0</v>
      </c>
    </row>
    <row r="541" ht="18.0" customHeight="1">
      <c r="A541" s="132"/>
      <c r="B541" s="72"/>
      <c r="C541" s="72"/>
      <c r="D541" s="137" t="str">
        <f t="array" ref="D541">IFERROR(IF(C541="","",INDEX(PRODUK!$B:$B,MATCH(C541,PRODUK!$A:$A,0))),"")</f>
        <v/>
      </c>
      <c r="E541" s="113"/>
      <c r="F541" s="115">
        <f t="array" ref="F541">IFERROR(IF(C541="",0,INDEX(PRODUK!$F:$F,MATCH(C541,PRODUK!$A:$A,0))),0)</f>
        <v>0</v>
      </c>
      <c r="G541" s="114">
        <f t="shared" si="1"/>
        <v>0</v>
      </c>
      <c r="H541" s="114">
        <f t="array" ref="H541">IFERROR(IF(B541="",0,INDEX(HPP_ENGINE!$J:$J,MATCH(B541,HPP_ENGINE!$A:$A,0))),0)</f>
        <v>0</v>
      </c>
      <c r="I541" s="114">
        <f t="shared" si="2"/>
        <v>0</v>
      </c>
      <c r="J541" s="114">
        <f t="shared" si="3"/>
        <v>0</v>
      </c>
      <c r="K541" s="133">
        <f t="shared" si="4"/>
        <v>0</v>
      </c>
    </row>
    <row r="542" ht="18.0" customHeight="1">
      <c r="A542" s="134"/>
      <c r="B542" s="77"/>
      <c r="C542" s="77"/>
      <c r="D542" s="135" t="str">
        <f t="array" ref="D542">IFERROR(IF(C542="","",INDEX(PRODUK!$B:$B,MATCH(C542,PRODUK!$A:$A,0))),"")</f>
        <v/>
      </c>
      <c r="E542" s="117"/>
      <c r="F542" s="119">
        <f t="array" ref="F542">IFERROR(IF(C542="",0,INDEX(PRODUK!$F:$F,MATCH(C542,PRODUK!$A:$A,0))),0)</f>
        <v>0</v>
      </c>
      <c r="G542" s="118">
        <f t="shared" si="1"/>
        <v>0</v>
      </c>
      <c r="H542" s="118">
        <f t="array" ref="H542">IFERROR(IF(B542="",0,INDEX(HPP_ENGINE!$J:$J,MATCH(B542,HPP_ENGINE!$A:$A,0))),0)</f>
        <v>0</v>
      </c>
      <c r="I542" s="118">
        <f t="shared" si="2"/>
        <v>0</v>
      </c>
      <c r="J542" s="118">
        <f t="shared" si="3"/>
        <v>0</v>
      </c>
      <c r="K542" s="136">
        <f t="shared" si="4"/>
        <v>0</v>
      </c>
    </row>
    <row r="543" ht="18.0" customHeight="1">
      <c r="A543" s="132"/>
      <c r="B543" s="72"/>
      <c r="C543" s="72"/>
      <c r="D543" s="137" t="str">
        <f t="array" ref="D543">IFERROR(IF(C543="","",INDEX(PRODUK!$B:$B,MATCH(C543,PRODUK!$A:$A,0))),"")</f>
        <v/>
      </c>
      <c r="E543" s="113"/>
      <c r="F543" s="115">
        <f t="array" ref="F543">IFERROR(IF(C543="",0,INDEX(PRODUK!$F:$F,MATCH(C543,PRODUK!$A:$A,0))),0)</f>
        <v>0</v>
      </c>
      <c r="G543" s="114">
        <f t="shared" si="1"/>
        <v>0</v>
      </c>
      <c r="H543" s="114">
        <f t="array" ref="H543">IFERROR(IF(B543="",0,INDEX(HPP_ENGINE!$J:$J,MATCH(B543,HPP_ENGINE!$A:$A,0))),0)</f>
        <v>0</v>
      </c>
      <c r="I543" s="114">
        <f t="shared" si="2"/>
        <v>0</v>
      </c>
      <c r="J543" s="114">
        <f t="shared" si="3"/>
        <v>0</v>
      </c>
      <c r="K543" s="133">
        <f t="shared" si="4"/>
        <v>0</v>
      </c>
    </row>
    <row r="544" ht="18.0" customHeight="1">
      <c r="A544" s="134"/>
      <c r="B544" s="77"/>
      <c r="C544" s="77"/>
      <c r="D544" s="135" t="str">
        <f t="array" ref="D544">IFERROR(IF(C544="","",INDEX(PRODUK!$B:$B,MATCH(C544,PRODUK!$A:$A,0))),"")</f>
        <v/>
      </c>
      <c r="E544" s="117"/>
      <c r="F544" s="119">
        <f t="array" ref="F544">IFERROR(IF(C544="",0,INDEX(PRODUK!$F:$F,MATCH(C544,PRODUK!$A:$A,0))),0)</f>
        <v>0</v>
      </c>
      <c r="G544" s="118">
        <f t="shared" si="1"/>
        <v>0</v>
      </c>
      <c r="H544" s="118">
        <f t="array" ref="H544">IFERROR(IF(B544="",0,INDEX(HPP_ENGINE!$J:$J,MATCH(B544,HPP_ENGINE!$A:$A,0))),0)</f>
        <v>0</v>
      </c>
      <c r="I544" s="118">
        <f t="shared" si="2"/>
        <v>0</v>
      </c>
      <c r="J544" s="118">
        <f t="shared" si="3"/>
        <v>0</v>
      </c>
      <c r="K544" s="136">
        <f t="shared" si="4"/>
        <v>0</v>
      </c>
    </row>
    <row r="545" ht="18.0" customHeight="1">
      <c r="A545" s="132"/>
      <c r="B545" s="72"/>
      <c r="C545" s="72"/>
      <c r="D545" s="137" t="str">
        <f t="array" ref="D545">IFERROR(IF(C545="","",INDEX(PRODUK!$B:$B,MATCH(C545,PRODUK!$A:$A,0))),"")</f>
        <v/>
      </c>
      <c r="E545" s="113"/>
      <c r="F545" s="115">
        <f t="array" ref="F545">IFERROR(IF(C545="",0,INDEX(PRODUK!$F:$F,MATCH(C545,PRODUK!$A:$A,0))),0)</f>
        <v>0</v>
      </c>
      <c r="G545" s="114">
        <f t="shared" si="1"/>
        <v>0</v>
      </c>
      <c r="H545" s="114">
        <f t="array" ref="H545">IFERROR(IF(B545="",0,INDEX(HPP_ENGINE!$J:$J,MATCH(B545,HPP_ENGINE!$A:$A,0))),0)</f>
        <v>0</v>
      </c>
      <c r="I545" s="114">
        <f t="shared" si="2"/>
        <v>0</v>
      </c>
      <c r="J545" s="114">
        <f t="shared" si="3"/>
        <v>0</v>
      </c>
      <c r="K545" s="133">
        <f t="shared" si="4"/>
        <v>0</v>
      </c>
    </row>
    <row r="546" ht="18.0" customHeight="1">
      <c r="A546" s="134"/>
      <c r="B546" s="77"/>
      <c r="C546" s="77"/>
      <c r="D546" s="135" t="str">
        <f t="array" ref="D546">IFERROR(IF(C546="","",INDEX(PRODUK!$B:$B,MATCH(C546,PRODUK!$A:$A,0))),"")</f>
        <v/>
      </c>
      <c r="E546" s="117"/>
      <c r="F546" s="119">
        <f t="array" ref="F546">IFERROR(IF(C546="",0,INDEX(PRODUK!$F:$F,MATCH(C546,PRODUK!$A:$A,0))),0)</f>
        <v>0</v>
      </c>
      <c r="G546" s="118">
        <f t="shared" si="1"/>
        <v>0</v>
      </c>
      <c r="H546" s="118">
        <f t="array" ref="H546">IFERROR(IF(B546="",0,INDEX(HPP_ENGINE!$J:$J,MATCH(B546,HPP_ENGINE!$A:$A,0))),0)</f>
        <v>0</v>
      </c>
      <c r="I546" s="118">
        <f t="shared" si="2"/>
        <v>0</v>
      </c>
      <c r="J546" s="118">
        <f t="shared" si="3"/>
        <v>0</v>
      </c>
      <c r="K546" s="136">
        <f t="shared" si="4"/>
        <v>0</v>
      </c>
    </row>
    <row r="547" ht="18.0" customHeight="1">
      <c r="A547" s="132"/>
      <c r="B547" s="72"/>
      <c r="C547" s="72"/>
      <c r="D547" s="137" t="str">
        <f t="array" ref="D547">IFERROR(IF(C547="","",INDEX(PRODUK!$B:$B,MATCH(C547,PRODUK!$A:$A,0))),"")</f>
        <v/>
      </c>
      <c r="E547" s="113"/>
      <c r="F547" s="115">
        <f t="array" ref="F547">IFERROR(IF(C547="",0,INDEX(PRODUK!$F:$F,MATCH(C547,PRODUK!$A:$A,0))),0)</f>
        <v>0</v>
      </c>
      <c r="G547" s="114">
        <f t="shared" si="1"/>
        <v>0</v>
      </c>
      <c r="H547" s="114">
        <f t="array" ref="H547">IFERROR(IF(B547="",0,INDEX(HPP_ENGINE!$J:$J,MATCH(B547,HPP_ENGINE!$A:$A,0))),0)</f>
        <v>0</v>
      </c>
      <c r="I547" s="114">
        <f t="shared" si="2"/>
        <v>0</v>
      </c>
      <c r="J547" s="114">
        <f t="shared" si="3"/>
        <v>0</v>
      </c>
      <c r="K547" s="133">
        <f t="shared" si="4"/>
        <v>0</v>
      </c>
    </row>
    <row r="548" ht="18.0" customHeight="1">
      <c r="A548" s="134"/>
      <c r="B548" s="77"/>
      <c r="C548" s="77"/>
      <c r="D548" s="135" t="str">
        <f t="array" ref="D548">IFERROR(IF(C548="","",INDEX(PRODUK!$B:$B,MATCH(C548,PRODUK!$A:$A,0))),"")</f>
        <v/>
      </c>
      <c r="E548" s="117"/>
      <c r="F548" s="119">
        <f t="array" ref="F548">IFERROR(IF(C548="",0,INDEX(PRODUK!$F:$F,MATCH(C548,PRODUK!$A:$A,0))),0)</f>
        <v>0</v>
      </c>
      <c r="G548" s="118">
        <f t="shared" si="1"/>
        <v>0</v>
      </c>
      <c r="H548" s="118">
        <f t="array" ref="H548">IFERROR(IF(B548="",0,INDEX(HPP_ENGINE!$J:$J,MATCH(B548,HPP_ENGINE!$A:$A,0))),0)</f>
        <v>0</v>
      </c>
      <c r="I548" s="118">
        <f t="shared" si="2"/>
        <v>0</v>
      </c>
      <c r="J548" s="118">
        <f t="shared" si="3"/>
        <v>0</v>
      </c>
      <c r="K548" s="136">
        <f t="shared" si="4"/>
        <v>0</v>
      </c>
    </row>
    <row r="549" ht="18.0" customHeight="1">
      <c r="A549" s="132"/>
      <c r="B549" s="72"/>
      <c r="C549" s="72"/>
      <c r="D549" s="137" t="str">
        <f t="array" ref="D549">IFERROR(IF(C549="","",INDEX(PRODUK!$B:$B,MATCH(C549,PRODUK!$A:$A,0))),"")</f>
        <v/>
      </c>
      <c r="E549" s="113"/>
      <c r="F549" s="115">
        <f t="array" ref="F549">IFERROR(IF(C549="",0,INDEX(PRODUK!$F:$F,MATCH(C549,PRODUK!$A:$A,0))),0)</f>
        <v>0</v>
      </c>
      <c r="G549" s="114">
        <f t="shared" si="1"/>
        <v>0</v>
      </c>
      <c r="H549" s="114">
        <f t="array" ref="H549">IFERROR(IF(B549="",0,INDEX(HPP_ENGINE!$J:$J,MATCH(B549,HPP_ENGINE!$A:$A,0))),0)</f>
        <v>0</v>
      </c>
      <c r="I549" s="114">
        <f t="shared" si="2"/>
        <v>0</v>
      </c>
      <c r="J549" s="114">
        <f t="shared" si="3"/>
        <v>0</v>
      </c>
      <c r="K549" s="133">
        <f t="shared" si="4"/>
        <v>0</v>
      </c>
    </row>
    <row r="550" ht="18.0" customHeight="1">
      <c r="A550" s="134"/>
      <c r="B550" s="77"/>
      <c r="C550" s="77"/>
      <c r="D550" s="135" t="str">
        <f t="array" ref="D550">IFERROR(IF(C550="","",INDEX(PRODUK!$B:$B,MATCH(C550,PRODUK!$A:$A,0))),"")</f>
        <v/>
      </c>
      <c r="E550" s="117"/>
      <c r="F550" s="119">
        <f t="array" ref="F550">IFERROR(IF(C550="",0,INDEX(PRODUK!$F:$F,MATCH(C550,PRODUK!$A:$A,0))),0)</f>
        <v>0</v>
      </c>
      <c r="G550" s="118">
        <f t="shared" si="1"/>
        <v>0</v>
      </c>
      <c r="H550" s="118">
        <f t="array" ref="H550">IFERROR(IF(B550="",0,INDEX(HPP_ENGINE!$J:$J,MATCH(B550,HPP_ENGINE!$A:$A,0))),0)</f>
        <v>0</v>
      </c>
      <c r="I550" s="118">
        <f t="shared" si="2"/>
        <v>0</v>
      </c>
      <c r="J550" s="118">
        <f t="shared" si="3"/>
        <v>0</v>
      </c>
      <c r="K550" s="136">
        <f t="shared" si="4"/>
        <v>0</v>
      </c>
    </row>
    <row r="551" ht="18.0" customHeight="1">
      <c r="A551" s="132"/>
      <c r="B551" s="72"/>
      <c r="C551" s="72"/>
      <c r="D551" s="137" t="str">
        <f t="array" ref="D551">IFERROR(IF(C551="","",INDEX(PRODUK!$B:$B,MATCH(C551,PRODUK!$A:$A,0))),"")</f>
        <v/>
      </c>
      <c r="E551" s="113"/>
      <c r="F551" s="115">
        <f t="array" ref="F551">IFERROR(IF(C551="",0,INDEX(PRODUK!$F:$F,MATCH(C551,PRODUK!$A:$A,0))),0)</f>
        <v>0</v>
      </c>
      <c r="G551" s="114">
        <f t="shared" si="1"/>
        <v>0</v>
      </c>
      <c r="H551" s="114">
        <f t="array" ref="H551">IFERROR(IF(B551="",0,INDEX(HPP_ENGINE!$J:$J,MATCH(B551,HPP_ENGINE!$A:$A,0))),0)</f>
        <v>0</v>
      </c>
      <c r="I551" s="114">
        <f t="shared" si="2"/>
        <v>0</v>
      </c>
      <c r="J551" s="114">
        <f t="shared" si="3"/>
        <v>0</v>
      </c>
      <c r="K551" s="133">
        <f t="shared" si="4"/>
        <v>0</v>
      </c>
    </row>
    <row r="552" ht="18.0" customHeight="1">
      <c r="A552" s="134"/>
      <c r="B552" s="77"/>
      <c r="C552" s="77"/>
      <c r="D552" s="135" t="str">
        <f t="array" ref="D552">IFERROR(IF(C552="","",INDEX(PRODUK!$B:$B,MATCH(C552,PRODUK!$A:$A,0))),"")</f>
        <v/>
      </c>
      <c r="E552" s="117"/>
      <c r="F552" s="119">
        <f t="array" ref="F552">IFERROR(IF(C552="",0,INDEX(PRODUK!$F:$F,MATCH(C552,PRODUK!$A:$A,0))),0)</f>
        <v>0</v>
      </c>
      <c r="G552" s="118">
        <f t="shared" si="1"/>
        <v>0</v>
      </c>
      <c r="H552" s="118">
        <f t="array" ref="H552">IFERROR(IF(B552="",0,INDEX(HPP_ENGINE!$J:$J,MATCH(B552,HPP_ENGINE!$A:$A,0))),0)</f>
        <v>0</v>
      </c>
      <c r="I552" s="118">
        <f t="shared" si="2"/>
        <v>0</v>
      </c>
      <c r="J552" s="118">
        <f t="shared" si="3"/>
        <v>0</v>
      </c>
      <c r="K552" s="136">
        <f t="shared" si="4"/>
        <v>0</v>
      </c>
    </row>
    <row r="553" ht="18.0" customHeight="1">
      <c r="A553" s="132"/>
      <c r="B553" s="72"/>
      <c r="C553" s="72"/>
      <c r="D553" s="137" t="str">
        <f t="array" ref="D553">IFERROR(IF(C553="","",INDEX(PRODUK!$B:$B,MATCH(C553,PRODUK!$A:$A,0))),"")</f>
        <v/>
      </c>
      <c r="E553" s="113"/>
      <c r="F553" s="115">
        <f t="array" ref="F553">IFERROR(IF(C553="",0,INDEX(PRODUK!$F:$F,MATCH(C553,PRODUK!$A:$A,0))),0)</f>
        <v>0</v>
      </c>
      <c r="G553" s="114">
        <f t="shared" si="1"/>
        <v>0</v>
      </c>
      <c r="H553" s="114">
        <f t="array" ref="H553">IFERROR(IF(B553="",0,INDEX(HPP_ENGINE!$J:$J,MATCH(B553,HPP_ENGINE!$A:$A,0))),0)</f>
        <v>0</v>
      </c>
      <c r="I553" s="114">
        <f t="shared" si="2"/>
        <v>0</v>
      </c>
      <c r="J553" s="114">
        <f t="shared" si="3"/>
        <v>0</v>
      </c>
      <c r="K553" s="133">
        <f t="shared" si="4"/>
        <v>0</v>
      </c>
    </row>
    <row r="554" ht="18.0" customHeight="1">
      <c r="A554" s="134"/>
      <c r="B554" s="77"/>
      <c r="C554" s="77"/>
      <c r="D554" s="135" t="str">
        <f t="array" ref="D554">IFERROR(IF(C554="","",INDEX(PRODUK!$B:$B,MATCH(C554,PRODUK!$A:$A,0))),"")</f>
        <v/>
      </c>
      <c r="E554" s="117"/>
      <c r="F554" s="119">
        <f t="array" ref="F554">IFERROR(IF(C554="",0,INDEX(PRODUK!$F:$F,MATCH(C554,PRODUK!$A:$A,0))),0)</f>
        <v>0</v>
      </c>
      <c r="G554" s="118">
        <f t="shared" si="1"/>
        <v>0</v>
      </c>
      <c r="H554" s="118">
        <f t="array" ref="H554">IFERROR(IF(B554="",0,INDEX(HPP_ENGINE!$J:$J,MATCH(B554,HPP_ENGINE!$A:$A,0))),0)</f>
        <v>0</v>
      </c>
      <c r="I554" s="118">
        <f t="shared" si="2"/>
        <v>0</v>
      </c>
      <c r="J554" s="118">
        <f t="shared" si="3"/>
        <v>0</v>
      </c>
      <c r="K554" s="136">
        <f t="shared" si="4"/>
        <v>0</v>
      </c>
    </row>
    <row r="555" ht="18.0" customHeight="1">
      <c r="A555" s="132"/>
      <c r="B555" s="72"/>
      <c r="C555" s="72"/>
      <c r="D555" s="137" t="str">
        <f t="array" ref="D555">IFERROR(IF(C555="","",INDEX(PRODUK!$B:$B,MATCH(C555,PRODUK!$A:$A,0))),"")</f>
        <v/>
      </c>
      <c r="E555" s="113"/>
      <c r="F555" s="115">
        <f t="array" ref="F555">IFERROR(IF(C555="",0,INDEX(PRODUK!$F:$F,MATCH(C555,PRODUK!$A:$A,0))),0)</f>
        <v>0</v>
      </c>
      <c r="G555" s="114">
        <f t="shared" si="1"/>
        <v>0</v>
      </c>
      <c r="H555" s="114">
        <f t="array" ref="H555">IFERROR(IF(B555="",0,INDEX(HPP_ENGINE!$J:$J,MATCH(B555,HPP_ENGINE!$A:$A,0))),0)</f>
        <v>0</v>
      </c>
      <c r="I555" s="114">
        <f t="shared" si="2"/>
        <v>0</v>
      </c>
      <c r="J555" s="114">
        <f t="shared" si="3"/>
        <v>0</v>
      </c>
      <c r="K555" s="133">
        <f t="shared" si="4"/>
        <v>0</v>
      </c>
    </row>
    <row r="556" ht="18.0" customHeight="1">
      <c r="A556" s="134"/>
      <c r="B556" s="77"/>
      <c r="C556" s="77"/>
      <c r="D556" s="135" t="str">
        <f t="array" ref="D556">IFERROR(IF(C556="","",INDEX(PRODUK!$B:$B,MATCH(C556,PRODUK!$A:$A,0))),"")</f>
        <v/>
      </c>
      <c r="E556" s="117"/>
      <c r="F556" s="119">
        <f t="array" ref="F556">IFERROR(IF(C556="",0,INDEX(PRODUK!$F:$F,MATCH(C556,PRODUK!$A:$A,0))),0)</f>
        <v>0</v>
      </c>
      <c r="G556" s="118">
        <f t="shared" si="1"/>
        <v>0</v>
      </c>
      <c r="H556" s="118">
        <f t="array" ref="H556">IFERROR(IF(B556="",0,INDEX(HPP_ENGINE!$J:$J,MATCH(B556,HPP_ENGINE!$A:$A,0))),0)</f>
        <v>0</v>
      </c>
      <c r="I556" s="118">
        <f t="shared" si="2"/>
        <v>0</v>
      </c>
      <c r="J556" s="118">
        <f t="shared" si="3"/>
        <v>0</v>
      </c>
      <c r="K556" s="136">
        <f t="shared" si="4"/>
        <v>0</v>
      </c>
    </row>
    <row r="557" ht="18.0" customHeight="1">
      <c r="A557" s="132"/>
      <c r="B557" s="72"/>
      <c r="C557" s="72"/>
      <c r="D557" s="137" t="str">
        <f t="array" ref="D557">IFERROR(IF(C557="","",INDEX(PRODUK!$B:$B,MATCH(C557,PRODUK!$A:$A,0))),"")</f>
        <v/>
      </c>
      <c r="E557" s="113"/>
      <c r="F557" s="115">
        <f t="array" ref="F557">IFERROR(IF(C557="",0,INDEX(PRODUK!$F:$F,MATCH(C557,PRODUK!$A:$A,0))),0)</f>
        <v>0</v>
      </c>
      <c r="G557" s="114">
        <f t="shared" si="1"/>
        <v>0</v>
      </c>
      <c r="H557" s="114">
        <f t="array" ref="H557">IFERROR(IF(B557="",0,INDEX(HPP_ENGINE!$J:$J,MATCH(B557,HPP_ENGINE!$A:$A,0))),0)</f>
        <v>0</v>
      </c>
      <c r="I557" s="114">
        <f t="shared" si="2"/>
        <v>0</v>
      </c>
      <c r="J557" s="114">
        <f t="shared" si="3"/>
        <v>0</v>
      </c>
      <c r="K557" s="133">
        <f t="shared" si="4"/>
        <v>0</v>
      </c>
    </row>
    <row r="558" ht="18.0" customHeight="1">
      <c r="A558" s="134"/>
      <c r="B558" s="77"/>
      <c r="C558" s="77"/>
      <c r="D558" s="135" t="str">
        <f t="array" ref="D558">IFERROR(IF(C558="","",INDEX(PRODUK!$B:$B,MATCH(C558,PRODUK!$A:$A,0))),"")</f>
        <v/>
      </c>
      <c r="E558" s="117"/>
      <c r="F558" s="119">
        <f t="array" ref="F558">IFERROR(IF(C558="",0,INDEX(PRODUK!$F:$F,MATCH(C558,PRODUK!$A:$A,0))),0)</f>
        <v>0</v>
      </c>
      <c r="G558" s="118">
        <f t="shared" si="1"/>
        <v>0</v>
      </c>
      <c r="H558" s="118">
        <f t="array" ref="H558">IFERROR(IF(B558="",0,INDEX(HPP_ENGINE!$J:$J,MATCH(B558,HPP_ENGINE!$A:$A,0))),0)</f>
        <v>0</v>
      </c>
      <c r="I558" s="118">
        <f t="shared" si="2"/>
        <v>0</v>
      </c>
      <c r="J558" s="118">
        <f t="shared" si="3"/>
        <v>0</v>
      </c>
      <c r="K558" s="136">
        <f t="shared" si="4"/>
        <v>0</v>
      </c>
    </row>
    <row r="559" ht="18.0" customHeight="1">
      <c r="A559" s="132"/>
      <c r="B559" s="72"/>
      <c r="C559" s="72"/>
      <c r="D559" s="137" t="str">
        <f t="array" ref="D559">IFERROR(IF(C559="","",INDEX(PRODUK!$B:$B,MATCH(C559,PRODUK!$A:$A,0))),"")</f>
        <v/>
      </c>
      <c r="E559" s="113"/>
      <c r="F559" s="115">
        <f t="array" ref="F559">IFERROR(IF(C559="",0,INDEX(PRODUK!$F:$F,MATCH(C559,PRODUK!$A:$A,0))),0)</f>
        <v>0</v>
      </c>
      <c r="G559" s="114">
        <f t="shared" si="1"/>
        <v>0</v>
      </c>
      <c r="H559" s="114">
        <f t="array" ref="H559">IFERROR(IF(B559="",0,INDEX(HPP_ENGINE!$J:$J,MATCH(B559,HPP_ENGINE!$A:$A,0))),0)</f>
        <v>0</v>
      </c>
      <c r="I559" s="114">
        <f t="shared" si="2"/>
        <v>0</v>
      </c>
      <c r="J559" s="114">
        <f t="shared" si="3"/>
        <v>0</v>
      </c>
      <c r="K559" s="133">
        <f t="shared" si="4"/>
        <v>0</v>
      </c>
    </row>
    <row r="560" ht="18.0" customHeight="1">
      <c r="A560" s="134"/>
      <c r="B560" s="77"/>
      <c r="C560" s="77"/>
      <c r="D560" s="135" t="str">
        <f t="array" ref="D560">IFERROR(IF(C560="","",INDEX(PRODUK!$B:$B,MATCH(C560,PRODUK!$A:$A,0))),"")</f>
        <v/>
      </c>
      <c r="E560" s="117"/>
      <c r="F560" s="119">
        <f t="array" ref="F560">IFERROR(IF(C560="",0,INDEX(PRODUK!$F:$F,MATCH(C560,PRODUK!$A:$A,0))),0)</f>
        <v>0</v>
      </c>
      <c r="G560" s="118">
        <f t="shared" si="1"/>
        <v>0</v>
      </c>
      <c r="H560" s="118">
        <f t="array" ref="H560">IFERROR(IF(B560="",0,INDEX(HPP_ENGINE!$J:$J,MATCH(B560,HPP_ENGINE!$A:$A,0))),0)</f>
        <v>0</v>
      </c>
      <c r="I560" s="118">
        <f t="shared" si="2"/>
        <v>0</v>
      </c>
      <c r="J560" s="118">
        <f t="shared" si="3"/>
        <v>0</v>
      </c>
      <c r="K560" s="136">
        <f t="shared" si="4"/>
        <v>0</v>
      </c>
    </row>
    <row r="561" ht="18.0" customHeight="1">
      <c r="A561" s="132"/>
      <c r="B561" s="72"/>
      <c r="C561" s="72"/>
      <c r="D561" s="137" t="str">
        <f t="array" ref="D561">IFERROR(IF(C561="","",INDEX(PRODUK!$B:$B,MATCH(C561,PRODUK!$A:$A,0))),"")</f>
        <v/>
      </c>
      <c r="E561" s="113"/>
      <c r="F561" s="115">
        <f t="array" ref="F561">IFERROR(IF(C561="",0,INDEX(PRODUK!$F:$F,MATCH(C561,PRODUK!$A:$A,0))),0)</f>
        <v>0</v>
      </c>
      <c r="G561" s="114">
        <f t="shared" si="1"/>
        <v>0</v>
      </c>
      <c r="H561" s="114">
        <f t="array" ref="H561">IFERROR(IF(B561="",0,INDEX(HPP_ENGINE!$J:$J,MATCH(B561,HPP_ENGINE!$A:$A,0))),0)</f>
        <v>0</v>
      </c>
      <c r="I561" s="114">
        <f t="shared" si="2"/>
        <v>0</v>
      </c>
      <c r="J561" s="114">
        <f t="shared" si="3"/>
        <v>0</v>
      </c>
      <c r="K561" s="133">
        <f t="shared" si="4"/>
        <v>0</v>
      </c>
    </row>
    <row r="562" ht="18.0" customHeight="1">
      <c r="A562" s="134"/>
      <c r="B562" s="77"/>
      <c r="C562" s="77"/>
      <c r="D562" s="135" t="str">
        <f t="array" ref="D562">IFERROR(IF(C562="","",INDEX(PRODUK!$B:$B,MATCH(C562,PRODUK!$A:$A,0))),"")</f>
        <v/>
      </c>
      <c r="E562" s="117"/>
      <c r="F562" s="119">
        <f t="array" ref="F562">IFERROR(IF(C562="",0,INDEX(PRODUK!$F:$F,MATCH(C562,PRODUK!$A:$A,0))),0)</f>
        <v>0</v>
      </c>
      <c r="G562" s="118">
        <f t="shared" si="1"/>
        <v>0</v>
      </c>
      <c r="H562" s="118">
        <f t="array" ref="H562">IFERROR(IF(B562="",0,INDEX(HPP_ENGINE!$J:$J,MATCH(B562,HPP_ENGINE!$A:$A,0))),0)</f>
        <v>0</v>
      </c>
      <c r="I562" s="118">
        <f t="shared" si="2"/>
        <v>0</v>
      </c>
      <c r="J562" s="118">
        <f t="shared" si="3"/>
        <v>0</v>
      </c>
      <c r="K562" s="136">
        <f t="shared" si="4"/>
        <v>0</v>
      </c>
    </row>
    <row r="563" ht="18.0" customHeight="1">
      <c r="A563" s="132"/>
      <c r="B563" s="72"/>
      <c r="C563" s="72"/>
      <c r="D563" s="137" t="str">
        <f t="array" ref="D563">IFERROR(IF(C563="","",INDEX(PRODUK!$B:$B,MATCH(C563,PRODUK!$A:$A,0))),"")</f>
        <v/>
      </c>
      <c r="E563" s="113"/>
      <c r="F563" s="115">
        <f t="array" ref="F563">IFERROR(IF(C563="",0,INDEX(PRODUK!$F:$F,MATCH(C563,PRODUK!$A:$A,0))),0)</f>
        <v>0</v>
      </c>
      <c r="G563" s="114">
        <f t="shared" si="1"/>
        <v>0</v>
      </c>
      <c r="H563" s="114">
        <f t="array" ref="H563">IFERROR(IF(B563="",0,INDEX(HPP_ENGINE!$J:$J,MATCH(B563,HPP_ENGINE!$A:$A,0))),0)</f>
        <v>0</v>
      </c>
      <c r="I563" s="114">
        <f t="shared" si="2"/>
        <v>0</v>
      </c>
      <c r="J563" s="114">
        <f t="shared" si="3"/>
        <v>0</v>
      </c>
      <c r="K563" s="133">
        <f t="shared" si="4"/>
        <v>0</v>
      </c>
    </row>
    <row r="564" ht="18.0" customHeight="1">
      <c r="A564" s="134"/>
      <c r="B564" s="77"/>
      <c r="C564" s="77"/>
      <c r="D564" s="135" t="str">
        <f t="array" ref="D564">IFERROR(IF(C564="","",INDEX(PRODUK!$B:$B,MATCH(C564,PRODUK!$A:$A,0))),"")</f>
        <v/>
      </c>
      <c r="E564" s="117"/>
      <c r="F564" s="119">
        <f t="array" ref="F564">IFERROR(IF(C564="",0,INDEX(PRODUK!$F:$F,MATCH(C564,PRODUK!$A:$A,0))),0)</f>
        <v>0</v>
      </c>
      <c r="G564" s="118">
        <f t="shared" si="1"/>
        <v>0</v>
      </c>
      <c r="H564" s="118">
        <f t="array" ref="H564">IFERROR(IF(B564="",0,INDEX(HPP_ENGINE!$J:$J,MATCH(B564,HPP_ENGINE!$A:$A,0))),0)</f>
        <v>0</v>
      </c>
      <c r="I564" s="118">
        <f t="shared" si="2"/>
        <v>0</v>
      </c>
      <c r="J564" s="118">
        <f t="shared" si="3"/>
        <v>0</v>
      </c>
      <c r="K564" s="136">
        <f t="shared" si="4"/>
        <v>0</v>
      </c>
    </row>
    <row r="565" ht="18.0" customHeight="1">
      <c r="A565" s="132"/>
      <c r="B565" s="72"/>
      <c r="C565" s="72"/>
      <c r="D565" s="137" t="str">
        <f t="array" ref="D565">IFERROR(IF(C565="","",INDEX(PRODUK!$B:$B,MATCH(C565,PRODUK!$A:$A,0))),"")</f>
        <v/>
      </c>
      <c r="E565" s="113"/>
      <c r="F565" s="115">
        <f t="array" ref="F565">IFERROR(IF(C565="",0,INDEX(PRODUK!$F:$F,MATCH(C565,PRODUK!$A:$A,0))),0)</f>
        <v>0</v>
      </c>
      <c r="G565" s="114">
        <f t="shared" si="1"/>
        <v>0</v>
      </c>
      <c r="H565" s="114">
        <f t="array" ref="H565">IFERROR(IF(B565="",0,INDEX(HPP_ENGINE!$J:$J,MATCH(B565,HPP_ENGINE!$A:$A,0))),0)</f>
        <v>0</v>
      </c>
      <c r="I565" s="114">
        <f t="shared" si="2"/>
        <v>0</v>
      </c>
      <c r="J565" s="114">
        <f t="shared" si="3"/>
        <v>0</v>
      </c>
      <c r="K565" s="133">
        <f t="shared" si="4"/>
        <v>0</v>
      </c>
    </row>
    <row r="566" ht="18.0" customHeight="1">
      <c r="A566" s="134"/>
      <c r="B566" s="77"/>
      <c r="C566" s="77"/>
      <c r="D566" s="135" t="str">
        <f t="array" ref="D566">IFERROR(IF(C566="","",INDEX(PRODUK!$B:$B,MATCH(C566,PRODUK!$A:$A,0))),"")</f>
        <v/>
      </c>
      <c r="E566" s="117"/>
      <c r="F566" s="119">
        <f t="array" ref="F566">IFERROR(IF(C566="",0,INDEX(PRODUK!$F:$F,MATCH(C566,PRODUK!$A:$A,0))),0)</f>
        <v>0</v>
      </c>
      <c r="G566" s="118">
        <f t="shared" si="1"/>
        <v>0</v>
      </c>
      <c r="H566" s="118">
        <f t="array" ref="H566">IFERROR(IF(B566="",0,INDEX(HPP_ENGINE!$J:$J,MATCH(B566,HPP_ENGINE!$A:$A,0))),0)</f>
        <v>0</v>
      </c>
      <c r="I566" s="118">
        <f t="shared" si="2"/>
        <v>0</v>
      </c>
      <c r="J566" s="118">
        <f t="shared" si="3"/>
        <v>0</v>
      </c>
      <c r="K566" s="136">
        <f t="shared" si="4"/>
        <v>0</v>
      </c>
    </row>
    <row r="567" ht="18.0" customHeight="1">
      <c r="A567" s="132"/>
      <c r="B567" s="72"/>
      <c r="C567" s="72"/>
      <c r="D567" s="137" t="str">
        <f t="array" ref="D567">IFERROR(IF(C567="","",INDEX(PRODUK!$B:$B,MATCH(C567,PRODUK!$A:$A,0))),"")</f>
        <v/>
      </c>
      <c r="E567" s="113"/>
      <c r="F567" s="115">
        <f t="array" ref="F567">IFERROR(IF(C567="",0,INDEX(PRODUK!$F:$F,MATCH(C567,PRODUK!$A:$A,0))),0)</f>
        <v>0</v>
      </c>
      <c r="G567" s="114">
        <f t="shared" si="1"/>
        <v>0</v>
      </c>
      <c r="H567" s="114">
        <f t="array" ref="H567">IFERROR(IF(B567="",0,INDEX(HPP_ENGINE!$J:$J,MATCH(B567,HPP_ENGINE!$A:$A,0))),0)</f>
        <v>0</v>
      </c>
      <c r="I567" s="114">
        <f t="shared" si="2"/>
        <v>0</v>
      </c>
      <c r="J567" s="114">
        <f t="shared" si="3"/>
        <v>0</v>
      </c>
      <c r="K567" s="133">
        <f t="shared" si="4"/>
        <v>0</v>
      </c>
    </row>
    <row r="568" ht="18.0" customHeight="1">
      <c r="A568" s="134"/>
      <c r="B568" s="77"/>
      <c r="C568" s="77"/>
      <c r="D568" s="135" t="str">
        <f t="array" ref="D568">IFERROR(IF(C568="","",INDEX(PRODUK!$B:$B,MATCH(C568,PRODUK!$A:$A,0))),"")</f>
        <v/>
      </c>
      <c r="E568" s="117"/>
      <c r="F568" s="119">
        <f t="array" ref="F568">IFERROR(IF(C568="",0,INDEX(PRODUK!$F:$F,MATCH(C568,PRODUK!$A:$A,0))),0)</f>
        <v>0</v>
      </c>
      <c r="G568" s="118">
        <f t="shared" si="1"/>
        <v>0</v>
      </c>
      <c r="H568" s="118">
        <f t="array" ref="H568">IFERROR(IF(B568="",0,INDEX(HPP_ENGINE!$J:$J,MATCH(B568,HPP_ENGINE!$A:$A,0))),0)</f>
        <v>0</v>
      </c>
      <c r="I568" s="118">
        <f t="shared" si="2"/>
        <v>0</v>
      </c>
      <c r="J568" s="118">
        <f t="shared" si="3"/>
        <v>0</v>
      </c>
      <c r="K568" s="136">
        <f t="shared" si="4"/>
        <v>0</v>
      </c>
    </row>
    <row r="569" ht="18.0" customHeight="1">
      <c r="A569" s="132"/>
      <c r="B569" s="72"/>
      <c r="C569" s="72"/>
      <c r="D569" s="137" t="str">
        <f t="array" ref="D569">IFERROR(IF(C569="","",INDEX(PRODUK!$B:$B,MATCH(C569,PRODUK!$A:$A,0))),"")</f>
        <v/>
      </c>
      <c r="E569" s="113"/>
      <c r="F569" s="115">
        <f t="array" ref="F569">IFERROR(IF(C569="",0,INDEX(PRODUK!$F:$F,MATCH(C569,PRODUK!$A:$A,0))),0)</f>
        <v>0</v>
      </c>
      <c r="G569" s="114">
        <f t="shared" si="1"/>
        <v>0</v>
      </c>
      <c r="H569" s="114">
        <f t="array" ref="H569">IFERROR(IF(B569="",0,INDEX(HPP_ENGINE!$J:$J,MATCH(B569,HPP_ENGINE!$A:$A,0))),0)</f>
        <v>0</v>
      </c>
      <c r="I569" s="114">
        <f t="shared" si="2"/>
        <v>0</v>
      </c>
      <c r="J569" s="114">
        <f t="shared" si="3"/>
        <v>0</v>
      </c>
      <c r="K569" s="133">
        <f t="shared" si="4"/>
        <v>0</v>
      </c>
    </row>
    <row r="570" ht="18.0" customHeight="1">
      <c r="A570" s="134"/>
      <c r="B570" s="77"/>
      <c r="C570" s="77"/>
      <c r="D570" s="135" t="str">
        <f t="array" ref="D570">IFERROR(IF(C570="","",INDEX(PRODUK!$B:$B,MATCH(C570,PRODUK!$A:$A,0))),"")</f>
        <v/>
      </c>
      <c r="E570" s="117"/>
      <c r="F570" s="119">
        <f t="array" ref="F570">IFERROR(IF(C570="",0,INDEX(PRODUK!$F:$F,MATCH(C570,PRODUK!$A:$A,0))),0)</f>
        <v>0</v>
      </c>
      <c r="G570" s="118">
        <f t="shared" si="1"/>
        <v>0</v>
      </c>
      <c r="H570" s="118">
        <f t="array" ref="H570">IFERROR(IF(B570="",0,INDEX(HPP_ENGINE!$J:$J,MATCH(B570,HPP_ENGINE!$A:$A,0))),0)</f>
        <v>0</v>
      </c>
      <c r="I570" s="118">
        <f t="shared" si="2"/>
        <v>0</v>
      </c>
      <c r="J570" s="118">
        <f t="shared" si="3"/>
        <v>0</v>
      </c>
      <c r="K570" s="136">
        <f t="shared" si="4"/>
        <v>0</v>
      </c>
    </row>
    <row r="571" ht="18.0" customHeight="1">
      <c r="A571" s="132"/>
      <c r="B571" s="72"/>
      <c r="C571" s="72"/>
      <c r="D571" s="137" t="str">
        <f t="array" ref="D571">IFERROR(IF(C571="","",INDEX(PRODUK!$B:$B,MATCH(C571,PRODUK!$A:$A,0))),"")</f>
        <v/>
      </c>
      <c r="E571" s="113"/>
      <c r="F571" s="115">
        <f t="array" ref="F571">IFERROR(IF(C571="",0,INDEX(PRODUK!$F:$F,MATCH(C571,PRODUK!$A:$A,0))),0)</f>
        <v>0</v>
      </c>
      <c r="G571" s="114">
        <f t="shared" si="1"/>
        <v>0</v>
      </c>
      <c r="H571" s="114">
        <f t="array" ref="H571">IFERROR(IF(B571="",0,INDEX(HPP_ENGINE!$J:$J,MATCH(B571,HPP_ENGINE!$A:$A,0))),0)</f>
        <v>0</v>
      </c>
      <c r="I571" s="114">
        <f t="shared" si="2"/>
        <v>0</v>
      </c>
      <c r="J571" s="114">
        <f t="shared" si="3"/>
        <v>0</v>
      </c>
      <c r="K571" s="133">
        <f t="shared" si="4"/>
        <v>0</v>
      </c>
    </row>
    <row r="572" ht="18.0" customHeight="1">
      <c r="A572" s="134"/>
      <c r="B572" s="77"/>
      <c r="C572" s="77"/>
      <c r="D572" s="135" t="str">
        <f t="array" ref="D572">IFERROR(IF(C572="","",INDEX(PRODUK!$B:$B,MATCH(C572,PRODUK!$A:$A,0))),"")</f>
        <v/>
      </c>
      <c r="E572" s="117"/>
      <c r="F572" s="119">
        <f t="array" ref="F572">IFERROR(IF(C572="",0,INDEX(PRODUK!$F:$F,MATCH(C572,PRODUK!$A:$A,0))),0)</f>
        <v>0</v>
      </c>
      <c r="G572" s="118">
        <f t="shared" si="1"/>
        <v>0</v>
      </c>
      <c r="H572" s="118">
        <f t="array" ref="H572">IFERROR(IF(B572="",0,INDEX(HPP_ENGINE!$J:$J,MATCH(B572,HPP_ENGINE!$A:$A,0))),0)</f>
        <v>0</v>
      </c>
      <c r="I572" s="118">
        <f t="shared" si="2"/>
        <v>0</v>
      </c>
      <c r="J572" s="118">
        <f t="shared" si="3"/>
        <v>0</v>
      </c>
      <c r="K572" s="136">
        <f t="shared" si="4"/>
        <v>0</v>
      </c>
    </row>
    <row r="573" ht="18.0" customHeight="1">
      <c r="A573" s="132"/>
      <c r="B573" s="72"/>
      <c r="C573" s="72"/>
      <c r="D573" s="137" t="str">
        <f t="array" ref="D573">IFERROR(IF(C573="","",INDEX(PRODUK!$B:$B,MATCH(C573,PRODUK!$A:$A,0))),"")</f>
        <v/>
      </c>
      <c r="E573" s="113"/>
      <c r="F573" s="115">
        <f t="array" ref="F573">IFERROR(IF(C573="",0,INDEX(PRODUK!$F:$F,MATCH(C573,PRODUK!$A:$A,0))),0)</f>
        <v>0</v>
      </c>
      <c r="G573" s="114">
        <f t="shared" si="1"/>
        <v>0</v>
      </c>
      <c r="H573" s="114">
        <f t="array" ref="H573">IFERROR(IF(B573="",0,INDEX(HPP_ENGINE!$J:$J,MATCH(B573,HPP_ENGINE!$A:$A,0))),0)</f>
        <v>0</v>
      </c>
      <c r="I573" s="114">
        <f t="shared" si="2"/>
        <v>0</v>
      </c>
      <c r="J573" s="114">
        <f t="shared" si="3"/>
        <v>0</v>
      </c>
      <c r="K573" s="133">
        <f t="shared" si="4"/>
        <v>0</v>
      </c>
    </row>
    <row r="574" ht="18.0" customHeight="1">
      <c r="A574" s="134"/>
      <c r="B574" s="77"/>
      <c r="C574" s="77"/>
      <c r="D574" s="135" t="str">
        <f t="array" ref="D574">IFERROR(IF(C574="","",INDEX(PRODUK!$B:$B,MATCH(C574,PRODUK!$A:$A,0))),"")</f>
        <v/>
      </c>
      <c r="E574" s="117"/>
      <c r="F574" s="119">
        <f t="array" ref="F574">IFERROR(IF(C574="",0,INDEX(PRODUK!$F:$F,MATCH(C574,PRODUK!$A:$A,0))),0)</f>
        <v>0</v>
      </c>
      <c r="G574" s="118">
        <f t="shared" si="1"/>
        <v>0</v>
      </c>
      <c r="H574" s="118">
        <f t="array" ref="H574">IFERROR(IF(B574="",0,INDEX(HPP_ENGINE!$J:$J,MATCH(B574,HPP_ENGINE!$A:$A,0))),0)</f>
        <v>0</v>
      </c>
      <c r="I574" s="118">
        <f t="shared" si="2"/>
        <v>0</v>
      </c>
      <c r="J574" s="118">
        <f t="shared" si="3"/>
        <v>0</v>
      </c>
      <c r="K574" s="136">
        <f t="shared" si="4"/>
        <v>0</v>
      </c>
    </row>
    <row r="575" ht="18.0" customHeight="1">
      <c r="A575" s="132"/>
      <c r="B575" s="72"/>
      <c r="C575" s="72"/>
      <c r="D575" s="137" t="str">
        <f t="array" ref="D575">IFERROR(IF(C575="","",INDEX(PRODUK!$B:$B,MATCH(C575,PRODUK!$A:$A,0))),"")</f>
        <v/>
      </c>
      <c r="E575" s="113"/>
      <c r="F575" s="115">
        <f t="array" ref="F575">IFERROR(IF(C575="",0,INDEX(PRODUK!$F:$F,MATCH(C575,PRODUK!$A:$A,0))),0)</f>
        <v>0</v>
      </c>
      <c r="G575" s="114">
        <f t="shared" si="1"/>
        <v>0</v>
      </c>
      <c r="H575" s="114">
        <f t="array" ref="H575">IFERROR(IF(B575="",0,INDEX(HPP_ENGINE!$J:$J,MATCH(B575,HPP_ENGINE!$A:$A,0))),0)</f>
        <v>0</v>
      </c>
      <c r="I575" s="114">
        <f t="shared" si="2"/>
        <v>0</v>
      </c>
      <c r="J575" s="114">
        <f t="shared" si="3"/>
        <v>0</v>
      </c>
      <c r="K575" s="133">
        <f t="shared" si="4"/>
        <v>0</v>
      </c>
    </row>
    <row r="576" ht="18.0" customHeight="1">
      <c r="A576" s="134"/>
      <c r="B576" s="77"/>
      <c r="C576" s="77"/>
      <c r="D576" s="135" t="str">
        <f t="array" ref="D576">IFERROR(IF(C576="","",INDEX(PRODUK!$B:$B,MATCH(C576,PRODUK!$A:$A,0))),"")</f>
        <v/>
      </c>
      <c r="E576" s="117"/>
      <c r="F576" s="119">
        <f t="array" ref="F576">IFERROR(IF(C576="",0,INDEX(PRODUK!$F:$F,MATCH(C576,PRODUK!$A:$A,0))),0)</f>
        <v>0</v>
      </c>
      <c r="G576" s="118">
        <f t="shared" si="1"/>
        <v>0</v>
      </c>
      <c r="H576" s="118">
        <f t="array" ref="H576">IFERROR(IF(B576="",0,INDEX(HPP_ENGINE!$J:$J,MATCH(B576,HPP_ENGINE!$A:$A,0))),0)</f>
        <v>0</v>
      </c>
      <c r="I576" s="118">
        <f t="shared" si="2"/>
        <v>0</v>
      </c>
      <c r="J576" s="118">
        <f t="shared" si="3"/>
        <v>0</v>
      </c>
      <c r="K576" s="136">
        <f t="shared" si="4"/>
        <v>0</v>
      </c>
    </row>
    <row r="577" ht="18.0" customHeight="1">
      <c r="A577" s="132"/>
      <c r="B577" s="72"/>
      <c r="C577" s="72"/>
      <c r="D577" s="137" t="str">
        <f t="array" ref="D577">IFERROR(IF(C577="","",INDEX(PRODUK!$B:$B,MATCH(C577,PRODUK!$A:$A,0))),"")</f>
        <v/>
      </c>
      <c r="E577" s="113"/>
      <c r="F577" s="115">
        <f t="array" ref="F577">IFERROR(IF(C577="",0,INDEX(PRODUK!$F:$F,MATCH(C577,PRODUK!$A:$A,0))),0)</f>
        <v>0</v>
      </c>
      <c r="G577" s="114">
        <f t="shared" si="1"/>
        <v>0</v>
      </c>
      <c r="H577" s="114">
        <f t="array" ref="H577">IFERROR(IF(B577="",0,INDEX(HPP_ENGINE!$J:$J,MATCH(B577,HPP_ENGINE!$A:$A,0))),0)</f>
        <v>0</v>
      </c>
      <c r="I577" s="114">
        <f t="shared" si="2"/>
        <v>0</v>
      </c>
      <c r="J577" s="114">
        <f t="shared" si="3"/>
        <v>0</v>
      </c>
      <c r="K577" s="133">
        <f t="shared" si="4"/>
        <v>0</v>
      </c>
    </row>
    <row r="578" ht="18.0" customHeight="1">
      <c r="A578" s="134"/>
      <c r="B578" s="77"/>
      <c r="C578" s="77"/>
      <c r="D578" s="135" t="str">
        <f t="array" ref="D578">IFERROR(IF(C578="","",INDEX(PRODUK!$B:$B,MATCH(C578,PRODUK!$A:$A,0))),"")</f>
        <v/>
      </c>
      <c r="E578" s="117"/>
      <c r="F578" s="119">
        <f t="array" ref="F578">IFERROR(IF(C578="",0,INDEX(PRODUK!$F:$F,MATCH(C578,PRODUK!$A:$A,0))),0)</f>
        <v>0</v>
      </c>
      <c r="G578" s="118">
        <f t="shared" si="1"/>
        <v>0</v>
      </c>
      <c r="H578" s="118">
        <f t="array" ref="H578">IFERROR(IF(B578="",0,INDEX(HPP_ENGINE!$J:$J,MATCH(B578,HPP_ENGINE!$A:$A,0))),0)</f>
        <v>0</v>
      </c>
      <c r="I578" s="118">
        <f t="shared" si="2"/>
        <v>0</v>
      </c>
      <c r="J578" s="118">
        <f t="shared" si="3"/>
        <v>0</v>
      </c>
      <c r="K578" s="136">
        <f t="shared" si="4"/>
        <v>0</v>
      </c>
    </row>
    <row r="579" ht="18.0" customHeight="1">
      <c r="A579" s="132"/>
      <c r="B579" s="72"/>
      <c r="C579" s="72"/>
      <c r="D579" s="137" t="str">
        <f t="array" ref="D579">IFERROR(IF(C579="","",INDEX(PRODUK!$B:$B,MATCH(C579,PRODUK!$A:$A,0))),"")</f>
        <v/>
      </c>
      <c r="E579" s="113"/>
      <c r="F579" s="115">
        <f t="array" ref="F579">IFERROR(IF(C579="",0,INDEX(PRODUK!$F:$F,MATCH(C579,PRODUK!$A:$A,0))),0)</f>
        <v>0</v>
      </c>
      <c r="G579" s="114">
        <f t="shared" si="1"/>
        <v>0</v>
      </c>
      <c r="H579" s="114">
        <f t="array" ref="H579">IFERROR(IF(B579="",0,INDEX(HPP_ENGINE!$J:$J,MATCH(B579,HPP_ENGINE!$A:$A,0))),0)</f>
        <v>0</v>
      </c>
      <c r="I579" s="114">
        <f t="shared" si="2"/>
        <v>0</v>
      </c>
      <c r="J579" s="114">
        <f t="shared" si="3"/>
        <v>0</v>
      </c>
      <c r="K579" s="133">
        <f t="shared" si="4"/>
        <v>0</v>
      </c>
    </row>
    <row r="580" ht="18.0" customHeight="1">
      <c r="A580" s="134"/>
      <c r="B580" s="77"/>
      <c r="C580" s="77"/>
      <c r="D580" s="135" t="str">
        <f t="array" ref="D580">IFERROR(IF(C580="","",INDEX(PRODUK!$B:$B,MATCH(C580,PRODUK!$A:$A,0))),"")</f>
        <v/>
      </c>
      <c r="E580" s="117"/>
      <c r="F580" s="119">
        <f t="array" ref="F580">IFERROR(IF(C580="",0,INDEX(PRODUK!$F:$F,MATCH(C580,PRODUK!$A:$A,0))),0)</f>
        <v>0</v>
      </c>
      <c r="G580" s="118">
        <f t="shared" si="1"/>
        <v>0</v>
      </c>
      <c r="H580" s="118">
        <f t="array" ref="H580">IFERROR(IF(B580="",0,INDEX(HPP_ENGINE!$J:$J,MATCH(B580,HPP_ENGINE!$A:$A,0))),0)</f>
        <v>0</v>
      </c>
      <c r="I580" s="118">
        <f t="shared" si="2"/>
        <v>0</v>
      </c>
      <c r="J580" s="118">
        <f t="shared" si="3"/>
        <v>0</v>
      </c>
      <c r="K580" s="136">
        <f t="shared" si="4"/>
        <v>0</v>
      </c>
    </row>
    <row r="581" ht="18.0" customHeight="1">
      <c r="A581" s="132"/>
      <c r="B581" s="72"/>
      <c r="C581" s="72"/>
      <c r="D581" s="137" t="str">
        <f t="array" ref="D581">IFERROR(IF(C581="","",INDEX(PRODUK!$B:$B,MATCH(C581,PRODUK!$A:$A,0))),"")</f>
        <v/>
      </c>
      <c r="E581" s="113"/>
      <c r="F581" s="115">
        <f t="array" ref="F581">IFERROR(IF(C581="",0,INDEX(PRODUK!$F:$F,MATCH(C581,PRODUK!$A:$A,0))),0)</f>
        <v>0</v>
      </c>
      <c r="G581" s="114">
        <f t="shared" si="1"/>
        <v>0</v>
      </c>
      <c r="H581" s="114">
        <f t="array" ref="H581">IFERROR(IF(B581="",0,INDEX(HPP_ENGINE!$J:$J,MATCH(B581,HPP_ENGINE!$A:$A,0))),0)</f>
        <v>0</v>
      </c>
      <c r="I581" s="114">
        <f t="shared" si="2"/>
        <v>0</v>
      </c>
      <c r="J581" s="114">
        <f t="shared" si="3"/>
        <v>0</v>
      </c>
      <c r="K581" s="133">
        <f t="shared" si="4"/>
        <v>0</v>
      </c>
    </row>
    <row r="582" ht="18.0" customHeight="1">
      <c r="A582" s="134"/>
      <c r="B582" s="77"/>
      <c r="C582" s="77"/>
      <c r="D582" s="135" t="str">
        <f t="array" ref="D582">IFERROR(IF(C582="","",INDEX(PRODUK!$B:$B,MATCH(C582,PRODUK!$A:$A,0))),"")</f>
        <v/>
      </c>
      <c r="E582" s="117"/>
      <c r="F582" s="119">
        <f t="array" ref="F582">IFERROR(IF(C582="",0,INDEX(PRODUK!$F:$F,MATCH(C582,PRODUK!$A:$A,0))),0)</f>
        <v>0</v>
      </c>
      <c r="G582" s="118">
        <f t="shared" si="1"/>
        <v>0</v>
      </c>
      <c r="H582" s="118">
        <f t="array" ref="H582">IFERROR(IF(B582="",0,INDEX(HPP_ENGINE!$J:$J,MATCH(B582,HPP_ENGINE!$A:$A,0))),0)</f>
        <v>0</v>
      </c>
      <c r="I582" s="118">
        <f t="shared" si="2"/>
        <v>0</v>
      </c>
      <c r="J582" s="118">
        <f t="shared" si="3"/>
        <v>0</v>
      </c>
      <c r="K582" s="136">
        <f t="shared" si="4"/>
        <v>0</v>
      </c>
    </row>
    <row r="583" ht="18.0" customHeight="1">
      <c r="A583" s="132"/>
      <c r="B583" s="72"/>
      <c r="C583" s="72"/>
      <c r="D583" s="137" t="str">
        <f t="array" ref="D583">IFERROR(IF(C583="","",INDEX(PRODUK!$B:$B,MATCH(C583,PRODUK!$A:$A,0))),"")</f>
        <v/>
      </c>
      <c r="E583" s="113"/>
      <c r="F583" s="115">
        <f t="array" ref="F583">IFERROR(IF(C583="",0,INDEX(PRODUK!$F:$F,MATCH(C583,PRODUK!$A:$A,0))),0)</f>
        <v>0</v>
      </c>
      <c r="G583" s="114">
        <f t="shared" si="1"/>
        <v>0</v>
      </c>
      <c r="H583" s="114">
        <f t="array" ref="H583">IFERROR(IF(B583="",0,INDEX(HPP_ENGINE!$J:$J,MATCH(B583,HPP_ENGINE!$A:$A,0))),0)</f>
        <v>0</v>
      </c>
      <c r="I583" s="114">
        <f t="shared" si="2"/>
        <v>0</v>
      </c>
      <c r="J583" s="114">
        <f t="shared" si="3"/>
        <v>0</v>
      </c>
      <c r="K583" s="133">
        <f t="shared" si="4"/>
        <v>0</v>
      </c>
    </row>
    <row r="584" ht="18.0" customHeight="1">
      <c r="A584" s="134"/>
      <c r="B584" s="77"/>
      <c r="C584" s="77"/>
      <c r="D584" s="135" t="str">
        <f t="array" ref="D584">IFERROR(IF(C584="","",INDEX(PRODUK!$B:$B,MATCH(C584,PRODUK!$A:$A,0))),"")</f>
        <v/>
      </c>
      <c r="E584" s="117"/>
      <c r="F584" s="119">
        <f t="array" ref="F584">IFERROR(IF(C584="",0,INDEX(PRODUK!$F:$F,MATCH(C584,PRODUK!$A:$A,0))),0)</f>
        <v>0</v>
      </c>
      <c r="G584" s="118">
        <f t="shared" si="1"/>
        <v>0</v>
      </c>
      <c r="H584" s="118">
        <f t="array" ref="H584">IFERROR(IF(B584="",0,INDEX(HPP_ENGINE!$J:$J,MATCH(B584,HPP_ENGINE!$A:$A,0))),0)</f>
        <v>0</v>
      </c>
      <c r="I584" s="118">
        <f t="shared" si="2"/>
        <v>0</v>
      </c>
      <c r="J584" s="118">
        <f t="shared" si="3"/>
        <v>0</v>
      </c>
      <c r="K584" s="136">
        <f t="shared" si="4"/>
        <v>0</v>
      </c>
    </row>
    <row r="585" ht="18.0" customHeight="1">
      <c r="A585" s="132"/>
      <c r="B585" s="72"/>
      <c r="C585" s="72"/>
      <c r="D585" s="137" t="str">
        <f t="array" ref="D585">IFERROR(IF(C585="","",INDEX(PRODUK!$B:$B,MATCH(C585,PRODUK!$A:$A,0))),"")</f>
        <v/>
      </c>
      <c r="E585" s="113"/>
      <c r="F585" s="115">
        <f t="array" ref="F585">IFERROR(IF(C585="",0,INDEX(PRODUK!$F:$F,MATCH(C585,PRODUK!$A:$A,0))),0)</f>
        <v>0</v>
      </c>
      <c r="G585" s="114">
        <f t="shared" si="1"/>
        <v>0</v>
      </c>
      <c r="H585" s="114">
        <f t="array" ref="H585">IFERROR(IF(B585="",0,INDEX(HPP_ENGINE!$J:$J,MATCH(B585,HPP_ENGINE!$A:$A,0))),0)</f>
        <v>0</v>
      </c>
      <c r="I585" s="114">
        <f t="shared" si="2"/>
        <v>0</v>
      </c>
      <c r="J585" s="114">
        <f t="shared" si="3"/>
        <v>0</v>
      </c>
      <c r="K585" s="133">
        <f t="shared" si="4"/>
        <v>0</v>
      </c>
    </row>
    <row r="586" ht="18.0" customHeight="1">
      <c r="A586" s="134"/>
      <c r="B586" s="77"/>
      <c r="C586" s="77"/>
      <c r="D586" s="135" t="str">
        <f t="array" ref="D586">IFERROR(IF(C586="","",INDEX(PRODUK!$B:$B,MATCH(C586,PRODUK!$A:$A,0))),"")</f>
        <v/>
      </c>
      <c r="E586" s="117"/>
      <c r="F586" s="119">
        <f t="array" ref="F586">IFERROR(IF(C586="",0,INDEX(PRODUK!$F:$F,MATCH(C586,PRODUK!$A:$A,0))),0)</f>
        <v>0</v>
      </c>
      <c r="G586" s="118">
        <f t="shared" si="1"/>
        <v>0</v>
      </c>
      <c r="H586" s="118">
        <f t="array" ref="H586">IFERROR(IF(B586="",0,INDEX(HPP_ENGINE!$J:$J,MATCH(B586,HPP_ENGINE!$A:$A,0))),0)</f>
        <v>0</v>
      </c>
      <c r="I586" s="118">
        <f t="shared" si="2"/>
        <v>0</v>
      </c>
      <c r="J586" s="118">
        <f t="shared" si="3"/>
        <v>0</v>
      </c>
      <c r="K586" s="136">
        <f t="shared" si="4"/>
        <v>0</v>
      </c>
    </row>
    <row r="587" ht="18.0" customHeight="1">
      <c r="A587" s="132"/>
      <c r="B587" s="72"/>
      <c r="C587" s="72"/>
      <c r="D587" s="137" t="str">
        <f t="array" ref="D587">IFERROR(IF(C587="","",INDEX(PRODUK!$B:$B,MATCH(C587,PRODUK!$A:$A,0))),"")</f>
        <v/>
      </c>
      <c r="E587" s="113"/>
      <c r="F587" s="115">
        <f t="array" ref="F587">IFERROR(IF(C587="",0,INDEX(PRODUK!$F:$F,MATCH(C587,PRODUK!$A:$A,0))),0)</f>
        <v>0</v>
      </c>
      <c r="G587" s="114">
        <f t="shared" si="1"/>
        <v>0</v>
      </c>
      <c r="H587" s="114">
        <f t="array" ref="H587">IFERROR(IF(B587="",0,INDEX(HPP_ENGINE!$J:$J,MATCH(B587,HPP_ENGINE!$A:$A,0))),0)</f>
        <v>0</v>
      </c>
      <c r="I587" s="114">
        <f t="shared" si="2"/>
        <v>0</v>
      </c>
      <c r="J587" s="114">
        <f t="shared" si="3"/>
        <v>0</v>
      </c>
      <c r="K587" s="133">
        <f t="shared" si="4"/>
        <v>0</v>
      </c>
    </row>
    <row r="588" ht="18.0" customHeight="1">
      <c r="A588" s="134"/>
      <c r="B588" s="77"/>
      <c r="C588" s="77"/>
      <c r="D588" s="135" t="str">
        <f t="array" ref="D588">IFERROR(IF(C588="","",INDEX(PRODUK!$B:$B,MATCH(C588,PRODUK!$A:$A,0))),"")</f>
        <v/>
      </c>
      <c r="E588" s="117"/>
      <c r="F588" s="119">
        <f t="array" ref="F588">IFERROR(IF(C588="",0,INDEX(PRODUK!$F:$F,MATCH(C588,PRODUK!$A:$A,0))),0)</f>
        <v>0</v>
      </c>
      <c r="G588" s="118">
        <f t="shared" si="1"/>
        <v>0</v>
      </c>
      <c r="H588" s="118">
        <f t="array" ref="H588">IFERROR(IF(B588="",0,INDEX(HPP_ENGINE!$J:$J,MATCH(B588,HPP_ENGINE!$A:$A,0))),0)</f>
        <v>0</v>
      </c>
      <c r="I588" s="118">
        <f t="shared" si="2"/>
        <v>0</v>
      </c>
      <c r="J588" s="118">
        <f t="shared" si="3"/>
        <v>0</v>
      </c>
      <c r="K588" s="136">
        <f t="shared" si="4"/>
        <v>0</v>
      </c>
    </row>
    <row r="589" ht="18.0" customHeight="1">
      <c r="A589" s="132"/>
      <c r="B589" s="72"/>
      <c r="C589" s="72"/>
      <c r="D589" s="137" t="str">
        <f t="array" ref="D589">IFERROR(IF(C589="","",INDEX(PRODUK!$B:$B,MATCH(C589,PRODUK!$A:$A,0))),"")</f>
        <v/>
      </c>
      <c r="E589" s="113"/>
      <c r="F589" s="115">
        <f t="array" ref="F589">IFERROR(IF(C589="",0,INDEX(PRODUK!$F:$F,MATCH(C589,PRODUK!$A:$A,0))),0)</f>
        <v>0</v>
      </c>
      <c r="G589" s="114">
        <f t="shared" si="1"/>
        <v>0</v>
      </c>
      <c r="H589" s="114">
        <f t="array" ref="H589">IFERROR(IF(B589="",0,INDEX(HPP_ENGINE!$J:$J,MATCH(B589,HPP_ENGINE!$A:$A,0))),0)</f>
        <v>0</v>
      </c>
      <c r="I589" s="114">
        <f t="shared" si="2"/>
        <v>0</v>
      </c>
      <c r="J589" s="114">
        <f t="shared" si="3"/>
        <v>0</v>
      </c>
      <c r="K589" s="133">
        <f t="shared" si="4"/>
        <v>0</v>
      </c>
    </row>
    <row r="590" ht="18.0" customHeight="1">
      <c r="A590" s="134"/>
      <c r="B590" s="77"/>
      <c r="C590" s="77"/>
      <c r="D590" s="135" t="str">
        <f t="array" ref="D590">IFERROR(IF(C590="","",INDEX(PRODUK!$B:$B,MATCH(C590,PRODUK!$A:$A,0))),"")</f>
        <v/>
      </c>
      <c r="E590" s="117"/>
      <c r="F590" s="119">
        <f t="array" ref="F590">IFERROR(IF(C590="",0,INDEX(PRODUK!$F:$F,MATCH(C590,PRODUK!$A:$A,0))),0)</f>
        <v>0</v>
      </c>
      <c r="G590" s="118">
        <f t="shared" si="1"/>
        <v>0</v>
      </c>
      <c r="H590" s="118">
        <f t="array" ref="H590">IFERROR(IF(B590="",0,INDEX(HPP_ENGINE!$J:$J,MATCH(B590,HPP_ENGINE!$A:$A,0))),0)</f>
        <v>0</v>
      </c>
      <c r="I590" s="118">
        <f t="shared" si="2"/>
        <v>0</v>
      </c>
      <c r="J590" s="118">
        <f t="shared" si="3"/>
        <v>0</v>
      </c>
      <c r="K590" s="136">
        <f t="shared" si="4"/>
        <v>0</v>
      </c>
    </row>
    <row r="591" ht="18.0" customHeight="1">
      <c r="A591" s="132"/>
      <c r="B591" s="72"/>
      <c r="C591" s="72"/>
      <c r="D591" s="137" t="str">
        <f t="array" ref="D591">IFERROR(IF(C591="","",INDEX(PRODUK!$B:$B,MATCH(C591,PRODUK!$A:$A,0))),"")</f>
        <v/>
      </c>
      <c r="E591" s="113"/>
      <c r="F591" s="115">
        <f t="array" ref="F591">IFERROR(IF(C591="",0,INDEX(PRODUK!$F:$F,MATCH(C591,PRODUK!$A:$A,0))),0)</f>
        <v>0</v>
      </c>
      <c r="G591" s="114">
        <f t="shared" si="1"/>
        <v>0</v>
      </c>
      <c r="H591" s="114">
        <f t="array" ref="H591">IFERROR(IF(B591="",0,INDEX(HPP_ENGINE!$J:$J,MATCH(B591,HPP_ENGINE!$A:$A,0))),0)</f>
        <v>0</v>
      </c>
      <c r="I591" s="114">
        <f t="shared" si="2"/>
        <v>0</v>
      </c>
      <c r="J591" s="114">
        <f t="shared" si="3"/>
        <v>0</v>
      </c>
      <c r="K591" s="133">
        <f t="shared" si="4"/>
        <v>0</v>
      </c>
    </row>
    <row r="592" ht="18.0" customHeight="1">
      <c r="A592" s="134"/>
      <c r="B592" s="77"/>
      <c r="C592" s="77"/>
      <c r="D592" s="135" t="str">
        <f t="array" ref="D592">IFERROR(IF(C592="","",INDEX(PRODUK!$B:$B,MATCH(C592,PRODUK!$A:$A,0))),"")</f>
        <v/>
      </c>
      <c r="E592" s="117"/>
      <c r="F592" s="119">
        <f t="array" ref="F592">IFERROR(IF(C592="",0,INDEX(PRODUK!$F:$F,MATCH(C592,PRODUK!$A:$A,0))),0)</f>
        <v>0</v>
      </c>
      <c r="G592" s="118">
        <f t="shared" si="1"/>
        <v>0</v>
      </c>
      <c r="H592" s="118">
        <f t="array" ref="H592">IFERROR(IF(B592="",0,INDEX(HPP_ENGINE!$J:$J,MATCH(B592,HPP_ENGINE!$A:$A,0))),0)</f>
        <v>0</v>
      </c>
      <c r="I592" s="118">
        <f t="shared" si="2"/>
        <v>0</v>
      </c>
      <c r="J592" s="118">
        <f t="shared" si="3"/>
        <v>0</v>
      </c>
      <c r="K592" s="136">
        <f t="shared" si="4"/>
        <v>0</v>
      </c>
    </row>
    <row r="593" ht="18.0" customHeight="1">
      <c r="A593" s="132"/>
      <c r="B593" s="72"/>
      <c r="C593" s="72"/>
      <c r="D593" s="137" t="str">
        <f t="array" ref="D593">IFERROR(IF(C593="","",INDEX(PRODUK!$B:$B,MATCH(C593,PRODUK!$A:$A,0))),"")</f>
        <v/>
      </c>
      <c r="E593" s="113"/>
      <c r="F593" s="115">
        <f t="array" ref="F593">IFERROR(IF(C593="",0,INDEX(PRODUK!$F:$F,MATCH(C593,PRODUK!$A:$A,0))),0)</f>
        <v>0</v>
      </c>
      <c r="G593" s="114">
        <f t="shared" si="1"/>
        <v>0</v>
      </c>
      <c r="H593" s="114">
        <f t="array" ref="H593">IFERROR(IF(B593="",0,INDEX(HPP_ENGINE!$J:$J,MATCH(B593,HPP_ENGINE!$A:$A,0))),0)</f>
        <v>0</v>
      </c>
      <c r="I593" s="114">
        <f t="shared" si="2"/>
        <v>0</v>
      </c>
      <c r="J593" s="114">
        <f t="shared" si="3"/>
        <v>0</v>
      </c>
      <c r="K593" s="133">
        <f t="shared" si="4"/>
        <v>0</v>
      </c>
    </row>
    <row r="594" ht="18.0" customHeight="1">
      <c r="A594" s="134"/>
      <c r="B594" s="77"/>
      <c r="C594" s="77"/>
      <c r="D594" s="135" t="str">
        <f t="array" ref="D594">IFERROR(IF(C594="","",INDEX(PRODUK!$B:$B,MATCH(C594,PRODUK!$A:$A,0))),"")</f>
        <v/>
      </c>
      <c r="E594" s="117"/>
      <c r="F594" s="119">
        <f t="array" ref="F594">IFERROR(IF(C594="",0,INDEX(PRODUK!$F:$F,MATCH(C594,PRODUK!$A:$A,0))),0)</f>
        <v>0</v>
      </c>
      <c r="G594" s="118">
        <f t="shared" si="1"/>
        <v>0</v>
      </c>
      <c r="H594" s="118">
        <f t="array" ref="H594">IFERROR(IF(B594="",0,INDEX(HPP_ENGINE!$J:$J,MATCH(B594,HPP_ENGINE!$A:$A,0))),0)</f>
        <v>0</v>
      </c>
      <c r="I594" s="118">
        <f t="shared" si="2"/>
        <v>0</v>
      </c>
      <c r="J594" s="118">
        <f t="shared" si="3"/>
        <v>0</v>
      </c>
      <c r="K594" s="136">
        <f t="shared" si="4"/>
        <v>0</v>
      </c>
    </row>
    <row r="595" ht="18.0" customHeight="1">
      <c r="A595" s="132"/>
      <c r="B595" s="72"/>
      <c r="C595" s="72"/>
      <c r="D595" s="137" t="str">
        <f t="array" ref="D595">IFERROR(IF(C595="","",INDEX(PRODUK!$B:$B,MATCH(C595,PRODUK!$A:$A,0))),"")</f>
        <v/>
      </c>
      <c r="E595" s="113"/>
      <c r="F595" s="115">
        <f t="array" ref="F595">IFERROR(IF(C595="",0,INDEX(PRODUK!$F:$F,MATCH(C595,PRODUK!$A:$A,0))),0)</f>
        <v>0</v>
      </c>
      <c r="G595" s="114">
        <f t="shared" si="1"/>
        <v>0</v>
      </c>
      <c r="H595" s="114">
        <f t="array" ref="H595">IFERROR(IF(B595="",0,INDEX(HPP_ENGINE!$J:$J,MATCH(B595,HPP_ENGINE!$A:$A,0))),0)</f>
        <v>0</v>
      </c>
      <c r="I595" s="114">
        <f t="shared" si="2"/>
        <v>0</v>
      </c>
      <c r="J595" s="114">
        <f t="shared" si="3"/>
        <v>0</v>
      </c>
      <c r="K595" s="133">
        <f t="shared" si="4"/>
        <v>0</v>
      </c>
    </row>
    <row r="596" ht="18.0" customHeight="1">
      <c r="A596" s="134"/>
      <c r="B596" s="77"/>
      <c r="C596" s="77"/>
      <c r="D596" s="135" t="str">
        <f t="array" ref="D596">IFERROR(IF(C596="","",INDEX(PRODUK!$B:$B,MATCH(C596,PRODUK!$A:$A,0))),"")</f>
        <v/>
      </c>
      <c r="E596" s="117"/>
      <c r="F596" s="119">
        <f t="array" ref="F596">IFERROR(IF(C596="",0,INDEX(PRODUK!$F:$F,MATCH(C596,PRODUK!$A:$A,0))),0)</f>
        <v>0</v>
      </c>
      <c r="G596" s="118">
        <f t="shared" si="1"/>
        <v>0</v>
      </c>
      <c r="H596" s="118">
        <f t="array" ref="H596">IFERROR(IF(B596="",0,INDEX(HPP_ENGINE!$J:$J,MATCH(B596,HPP_ENGINE!$A:$A,0))),0)</f>
        <v>0</v>
      </c>
      <c r="I596" s="118">
        <f t="shared" si="2"/>
        <v>0</v>
      </c>
      <c r="J596" s="118">
        <f t="shared" si="3"/>
        <v>0</v>
      </c>
      <c r="K596" s="136">
        <f t="shared" si="4"/>
        <v>0</v>
      </c>
    </row>
    <row r="597" ht="18.0" customHeight="1">
      <c r="A597" s="132"/>
      <c r="B597" s="72"/>
      <c r="C597" s="72"/>
      <c r="D597" s="137" t="str">
        <f t="array" ref="D597">IFERROR(IF(C597="","",INDEX(PRODUK!$B:$B,MATCH(C597,PRODUK!$A:$A,0))),"")</f>
        <v/>
      </c>
      <c r="E597" s="113"/>
      <c r="F597" s="115">
        <f t="array" ref="F597">IFERROR(IF(C597="",0,INDEX(PRODUK!$F:$F,MATCH(C597,PRODUK!$A:$A,0))),0)</f>
        <v>0</v>
      </c>
      <c r="G597" s="114">
        <f t="shared" si="1"/>
        <v>0</v>
      </c>
      <c r="H597" s="114">
        <f t="array" ref="H597">IFERROR(IF(B597="",0,INDEX(HPP_ENGINE!$J:$J,MATCH(B597,HPP_ENGINE!$A:$A,0))),0)</f>
        <v>0</v>
      </c>
      <c r="I597" s="114">
        <f t="shared" si="2"/>
        <v>0</v>
      </c>
      <c r="J597" s="114">
        <f t="shared" si="3"/>
        <v>0</v>
      </c>
      <c r="K597" s="133">
        <f t="shared" si="4"/>
        <v>0</v>
      </c>
    </row>
    <row r="598" ht="18.0" customHeight="1">
      <c r="A598" s="134"/>
      <c r="B598" s="77"/>
      <c r="C598" s="77"/>
      <c r="D598" s="135" t="str">
        <f t="array" ref="D598">IFERROR(IF(C598="","",INDEX(PRODUK!$B:$B,MATCH(C598,PRODUK!$A:$A,0))),"")</f>
        <v/>
      </c>
      <c r="E598" s="117"/>
      <c r="F598" s="119">
        <f t="array" ref="F598">IFERROR(IF(C598="",0,INDEX(PRODUK!$F:$F,MATCH(C598,PRODUK!$A:$A,0))),0)</f>
        <v>0</v>
      </c>
      <c r="G598" s="118">
        <f t="shared" si="1"/>
        <v>0</v>
      </c>
      <c r="H598" s="118">
        <f t="array" ref="H598">IFERROR(IF(B598="",0,INDEX(HPP_ENGINE!$J:$J,MATCH(B598,HPP_ENGINE!$A:$A,0))),0)</f>
        <v>0</v>
      </c>
      <c r="I598" s="118">
        <f t="shared" si="2"/>
        <v>0</v>
      </c>
      <c r="J598" s="118">
        <f t="shared" si="3"/>
        <v>0</v>
      </c>
      <c r="K598" s="136">
        <f t="shared" si="4"/>
        <v>0</v>
      </c>
    </row>
    <row r="599" ht="18.0" customHeight="1">
      <c r="A599" s="132"/>
      <c r="B599" s="72"/>
      <c r="C599" s="72"/>
      <c r="D599" s="137" t="str">
        <f t="array" ref="D599">IFERROR(IF(C599="","",INDEX(PRODUK!$B:$B,MATCH(C599,PRODUK!$A:$A,0))),"")</f>
        <v/>
      </c>
      <c r="E599" s="113"/>
      <c r="F599" s="115">
        <f t="array" ref="F599">IFERROR(IF(C599="",0,INDEX(PRODUK!$F:$F,MATCH(C599,PRODUK!$A:$A,0))),0)</f>
        <v>0</v>
      </c>
      <c r="G599" s="114">
        <f t="shared" si="1"/>
        <v>0</v>
      </c>
      <c r="H599" s="114">
        <f t="array" ref="H599">IFERROR(IF(B599="",0,INDEX(HPP_ENGINE!$J:$J,MATCH(B599,HPP_ENGINE!$A:$A,0))),0)</f>
        <v>0</v>
      </c>
      <c r="I599" s="114">
        <f t="shared" si="2"/>
        <v>0</v>
      </c>
      <c r="J599" s="114">
        <f t="shared" si="3"/>
        <v>0</v>
      </c>
      <c r="K599" s="133">
        <f t="shared" si="4"/>
        <v>0</v>
      </c>
    </row>
    <row r="600" ht="18.0" customHeight="1">
      <c r="A600" s="134"/>
      <c r="B600" s="77"/>
      <c r="C600" s="77"/>
      <c r="D600" s="135" t="str">
        <f t="array" ref="D600">IFERROR(IF(C600="","",INDEX(PRODUK!$B:$B,MATCH(C600,PRODUK!$A:$A,0))),"")</f>
        <v/>
      </c>
      <c r="E600" s="117"/>
      <c r="F600" s="119">
        <f t="array" ref="F600">IFERROR(IF(C600="",0,INDEX(PRODUK!$F:$F,MATCH(C600,PRODUK!$A:$A,0))),0)</f>
        <v>0</v>
      </c>
      <c r="G600" s="118">
        <f t="shared" si="1"/>
        <v>0</v>
      </c>
      <c r="H600" s="118">
        <f t="array" ref="H600">IFERROR(IF(B600="",0,INDEX(HPP_ENGINE!$J:$J,MATCH(B600,HPP_ENGINE!$A:$A,0))),0)</f>
        <v>0</v>
      </c>
      <c r="I600" s="118">
        <f t="shared" si="2"/>
        <v>0</v>
      </c>
      <c r="J600" s="118">
        <f t="shared" si="3"/>
        <v>0</v>
      </c>
      <c r="K600" s="136">
        <f t="shared" si="4"/>
        <v>0</v>
      </c>
    </row>
    <row r="601" ht="18.0" customHeight="1">
      <c r="A601" s="132"/>
      <c r="B601" s="72"/>
      <c r="C601" s="72"/>
      <c r="D601" s="137" t="str">
        <f t="array" ref="D601">IFERROR(IF(C601="","",INDEX(PRODUK!$B:$B,MATCH(C601,PRODUK!$A:$A,0))),"")</f>
        <v/>
      </c>
      <c r="E601" s="113"/>
      <c r="F601" s="115">
        <f t="array" ref="F601">IFERROR(IF(C601="",0,INDEX(PRODUK!$F:$F,MATCH(C601,PRODUK!$A:$A,0))),0)</f>
        <v>0</v>
      </c>
      <c r="G601" s="114">
        <f t="shared" si="1"/>
        <v>0</v>
      </c>
      <c r="H601" s="114">
        <f t="array" ref="H601">IFERROR(IF(B601="",0,INDEX(HPP_ENGINE!$J:$J,MATCH(B601,HPP_ENGINE!$A:$A,0))),0)</f>
        <v>0</v>
      </c>
      <c r="I601" s="114">
        <f t="shared" si="2"/>
        <v>0</v>
      </c>
      <c r="J601" s="114">
        <f t="shared" si="3"/>
        <v>0</v>
      </c>
      <c r="K601" s="133">
        <f t="shared" si="4"/>
        <v>0</v>
      </c>
    </row>
    <row r="602" ht="18.0" customHeight="1">
      <c r="A602" s="134"/>
      <c r="B602" s="77"/>
      <c r="C602" s="77"/>
      <c r="D602" s="135" t="str">
        <f t="array" ref="D602">IFERROR(IF(C602="","",INDEX(PRODUK!$B:$B,MATCH(C602,PRODUK!$A:$A,0))),"")</f>
        <v/>
      </c>
      <c r="E602" s="117"/>
      <c r="F602" s="119">
        <f t="array" ref="F602">IFERROR(IF(C602="",0,INDEX(PRODUK!$F:$F,MATCH(C602,PRODUK!$A:$A,0))),0)</f>
        <v>0</v>
      </c>
      <c r="G602" s="118">
        <f t="shared" si="1"/>
        <v>0</v>
      </c>
      <c r="H602" s="118">
        <f t="array" ref="H602">IFERROR(IF(B602="",0,INDEX(HPP_ENGINE!$J:$J,MATCH(B602,HPP_ENGINE!$A:$A,0))),0)</f>
        <v>0</v>
      </c>
      <c r="I602" s="118">
        <f t="shared" si="2"/>
        <v>0</v>
      </c>
      <c r="J602" s="118">
        <f t="shared" si="3"/>
        <v>0</v>
      </c>
      <c r="K602" s="136">
        <f t="shared" si="4"/>
        <v>0</v>
      </c>
    </row>
    <row r="603" ht="18.0" customHeight="1">
      <c r="A603" s="132"/>
      <c r="B603" s="72"/>
      <c r="C603" s="72"/>
      <c r="D603" s="137" t="str">
        <f t="array" ref="D603">IFERROR(IF(C603="","",INDEX(PRODUK!$B:$B,MATCH(C603,PRODUK!$A:$A,0))),"")</f>
        <v/>
      </c>
      <c r="E603" s="113"/>
      <c r="F603" s="115">
        <f t="array" ref="F603">IFERROR(IF(C603="",0,INDEX(PRODUK!$F:$F,MATCH(C603,PRODUK!$A:$A,0))),0)</f>
        <v>0</v>
      </c>
      <c r="G603" s="114">
        <f t="shared" si="1"/>
        <v>0</v>
      </c>
      <c r="H603" s="114">
        <f t="array" ref="H603">IFERROR(IF(B603="",0,INDEX(HPP_ENGINE!$J:$J,MATCH(B603,HPP_ENGINE!$A:$A,0))),0)</f>
        <v>0</v>
      </c>
      <c r="I603" s="114">
        <f t="shared" si="2"/>
        <v>0</v>
      </c>
      <c r="J603" s="114">
        <f t="shared" si="3"/>
        <v>0</v>
      </c>
      <c r="K603" s="133">
        <f t="shared" si="4"/>
        <v>0</v>
      </c>
    </row>
    <row r="604" ht="18.0" customHeight="1">
      <c r="A604" s="134"/>
      <c r="B604" s="77"/>
      <c r="C604" s="77"/>
      <c r="D604" s="135" t="str">
        <f t="array" ref="D604">IFERROR(IF(C604="","",INDEX(PRODUK!$B:$B,MATCH(C604,PRODUK!$A:$A,0))),"")</f>
        <v/>
      </c>
      <c r="E604" s="117"/>
      <c r="F604" s="119">
        <f t="array" ref="F604">IFERROR(IF(C604="",0,INDEX(PRODUK!$F:$F,MATCH(C604,PRODUK!$A:$A,0))),0)</f>
        <v>0</v>
      </c>
      <c r="G604" s="118">
        <f t="shared" si="1"/>
        <v>0</v>
      </c>
      <c r="H604" s="118">
        <f t="array" ref="H604">IFERROR(IF(B604="",0,INDEX(HPP_ENGINE!$J:$J,MATCH(B604,HPP_ENGINE!$A:$A,0))),0)</f>
        <v>0</v>
      </c>
      <c r="I604" s="118">
        <f t="shared" si="2"/>
        <v>0</v>
      </c>
      <c r="J604" s="118">
        <f t="shared" si="3"/>
        <v>0</v>
      </c>
      <c r="K604" s="136">
        <f t="shared" si="4"/>
        <v>0</v>
      </c>
    </row>
    <row r="605" ht="18.0" customHeight="1">
      <c r="A605" s="132"/>
      <c r="B605" s="72"/>
      <c r="C605" s="72"/>
      <c r="D605" s="137" t="str">
        <f t="array" ref="D605">IFERROR(IF(C605="","",INDEX(PRODUK!$B:$B,MATCH(C605,PRODUK!$A:$A,0))),"")</f>
        <v/>
      </c>
      <c r="E605" s="113"/>
      <c r="F605" s="115">
        <f t="array" ref="F605">IFERROR(IF(C605="",0,INDEX(PRODUK!$F:$F,MATCH(C605,PRODUK!$A:$A,0))),0)</f>
        <v>0</v>
      </c>
      <c r="G605" s="114">
        <f t="shared" si="1"/>
        <v>0</v>
      </c>
      <c r="H605" s="114">
        <f t="array" ref="H605">IFERROR(IF(B605="",0,INDEX(HPP_ENGINE!$J:$J,MATCH(B605,HPP_ENGINE!$A:$A,0))),0)</f>
        <v>0</v>
      </c>
      <c r="I605" s="114">
        <f t="shared" si="2"/>
        <v>0</v>
      </c>
      <c r="J605" s="114">
        <f t="shared" si="3"/>
        <v>0</v>
      </c>
      <c r="K605" s="133">
        <f t="shared" si="4"/>
        <v>0</v>
      </c>
    </row>
    <row r="606" ht="18.0" customHeight="1">
      <c r="A606" s="134"/>
      <c r="B606" s="77"/>
      <c r="C606" s="77"/>
      <c r="D606" s="135" t="str">
        <f t="array" ref="D606">IFERROR(IF(C606="","",INDEX(PRODUK!$B:$B,MATCH(C606,PRODUK!$A:$A,0))),"")</f>
        <v/>
      </c>
      <c r="E606" s="117"/>
      <c r="F606" s="119">
        <f t="array" ref="F606">IFERROR(IF(C606="",0,INDEX(PRODUK!$F:$F,MATCH(C606,PRODUK!$A:$A,0))),0)</f>
        <v>0</v>
      </c>
      <c r="G606" s="118">
        <f t="shared" si="1"/>
        <v>0</v>
      </c>
      <c r="H606" s="118">
        <f t="array" ref="H606">IFERROR(IF(B606="",0,INDEX(HPP_ENGINE!$J:$J,MATCH(B606,HPP_ENGINE!$A:$A,0))),0)</f>
        <v>0</v>
      </c>
      <c r="I606" s="118">
        <f t="shared" si="2"/>
        <v>0</v>
      </c>
      <c r="J606" s="118">
        <f t="shared" si="3"/>
        <v>0</v>
      </c>
      <c r="K606" s="136">
        <f t="shared" si="4"/>
        <v>0</v>
      </c>
    </row>
    <row r="607" ht="18.0" customHeight="1">
      <c r="A607" s="132"/>
      <c r="B607" s="72"/>
      <c r="C607" s="72"/>
      <c r="D607" s="137" t="str">
        <f t="array" ref="D607">IFERROR(IF(C607="","",INDEX(PRODUK!$B:$B,MATCH(C607,PRODUK!$A:$A,0))),"")</f>
        <v/>
      </c>
      <c r="E607" s="113"/>
      <c r="F607" s="115">
        <f t="array" ref="F607">IFERROR(IF(C607="",0,INDEX(PRODUK!$F:$F,MATCH(C607,PRODUK!$A:$A,0))),0)</f>
        <v>0</v>
      </c>
      <c r="G607" s="114">
        <f t="shared" si="1"/>
        <v>0</v>
      </c>
      <c r="H607" s="114">
        <f t="array" ref="H607">IFERROR(IF(B607="",0,INDEX(HPP_ENGINE!$J:$J,MATCH(B607,HPP_ENGINE!$A:$A,0))),0)</f>
        <v>0</v>
      </c>
      <c r="I607" s="114">
        <f t="shared" si="2"/>
        <v>0</v>
      </c>
      <c r="J607" s="114">
        <f t="shared" si="3"/>
        <v>0</v>
      </c>
      <c r="K607" s="133">
        <f t="shared" si="4"/>
        <v>0</v>
      </c>
    </row>
    <row r="608" ht="18.0" customHeight="1">
      <c r="A608" s="134"/>
      <c r="B608" s="77"/>
      <c r="C608" s="77"/>
      <c r="D608" s="135" t="str">
        <f t="array" ref="D608">IFERROR(IF(C608="","",INDEX(PRODUK!$B:$B,MATCH(C608,PRODUK!$A:$A,0))),"")</f>
        <v/>
      </c>
      <c r="E608" s="117"/>
      <c r="F608" s="119">
        <f t="array" ref="F608">IFERROR(IF(C608="",0,INDEX(PRODUK!$F:$F,MATCH(C608,PRODUK!$A:$A,0))),0)</f>
        <v>0</v>
      </c>
      <c r="G608" s="118">
        <f t="shared" si="1"/>
        <v>0</v>
      </c>
      <c r="H608" s="118">
        <f t="array" ref="H608">IFERROR(IF(B608="",0,INDEX(HPP_ENGINE!$J:$J,MATCH(B608,HPP_ENGINE!$A:$A,0))),0)</f>
        <v>0</v>
      </c>
      <c r="I608" s="118">
        <f t="shared" si="2"/>
        <v>0</v>
      </c>
      <c r="J608" s="118">
        <f t="shared" si="3"/>
        <v>0</v>
      </c>
      <c r="K608" s="136">
        <f t="shared" si="4"/>
        <v>0</v>
      </c>
    </row>
    <row r="609" ht="18.0" customHeight="1">
      <c r="A609" s="132"/>
      <c r="B609" s="72"/>
      <c r="C609" s="72"/>
      <c r="D609" s="137" t="str">
        <f t="array" ref="D609">IFERROR(IF(C609="","",INDEX(PRODUK!$B:$B,MATCH(C609,PRODUK!$A:$A,0))),"")</f>
        <v/>
      </c>
      <c r="E609" s="113"/>
      <c r="F609" s="115">
        <f t="array" ref="F609">IFERROR(IF(C609="",0,INDEX(PRODUK!$F:$F,MATCH(C609,PRODUK!$A:$A,0))),0)</f>
        <v>0</v>
      </c>
      <c r="G609" s="114">
        <f t="shared" si="1"/>
        <v>0</v>
      </c>
      <c r="H609" s="114">
        <f t="array" ref="H609">IFERROR(IF(B609="",0,INDEX(HPP_ENGINE!$J:$J,MATCH(B609,HPP_ENGINE!$A:$A,0))),0)</f>
        <v>0</v>
      </c>
      <c r="I609" s="114">
        <f t="shared" si="2"/>
        <v>0</v>
      </c>
      <c r="J609" s="114">
        <f t="shared" si="3"/>
        <v>0</v>
      </c>
      <c r="K609" s="133">
        <f t="shared" si="4"/>
        <v>0</v>
      </c>
    </row>
    <row r="610" ht="18.0" customHeight="1">
      <c r="A610" s="134"/>
      <c r="B610" s="77"/>
      <c r="C610" s="77"/>
      <c r="D610" s="135" t="str">
        <f t="array" ref="D610">IFERROR(IF(C610="","",INDEX(PRODUK!$B:$B,MATCH(C610,PRODUK!$A:$A,0))),"")</f>
        <v/>
      </c>
      <c r="E610" s="117"/>
      <c r="F610" s="119">
        <f t="array" ref="F610">IFERROR(IF(C610="",0,INDEX(PRODUK!$F:$F,MATCH(C610,PRODUK!$A:$A,0))),0)</f>
        <v>0</v>
      </c>
      <c r="G610" s="118">
        <f t="shared" si="1"/>
        <v>0</v>
      </c>
      <c r="H610" s="118">
        <f t="array" ref="H610">IFERROR(IF(B610="",0,INDEX(HPP_ENGINE!$J:$J,MATCH(B610,HPP_ENGINE!$A:$A,0))),0)</f>
        <v>0</v>
      </c>
      <c r="I610" s="118">
        <f t="shared" si="2"/>
        <v>0</v>
      </c>
      <c r="J610" s="118">
        <f t="shared" si="3"/>
        <v>0</v>
      </c>
      <c r="K610" s="136">
        <f t="shared" si="4"/>
        <v>0</v>
      </c>
    </row>
    <row r="611" ht="18.0" customHeight="1">
      <c r="A611" s="132"/>
      <c r="B611" s="72"/>
      <c r="C611" s="72"/>
      <c r="D611" s="137" t="str">
        <f t="array" ref="D611">IFERROR(IF(C611="","",INDEX(PRODUK!$B:$B,MATCH(C611,PRODUK!$A:$A,0))),"")</f>
        <v/>
      </c>
      <c r="E611" s="113"/>
      <c r="F611" s="115">
        <f t="array" ref="F611">IFERROR(IF(C611="",0,INDEX(PRODUK!$F:$F,MATCH(C611,PRODUK!$A:$A,0))),0)</f>
        <v>0</v>
      </c>
      <c r="G611" s="114">
        <f t="shared" si="1"/>
        <v>0</v>
      </c>
      <c r="H611" s="114">
        <f t="array" ref="H611">IFERROR(IF(B611="",0,INDEX(HPP_ENGINE!$J:$J,MATCH(B611,HPP_ENGINE!$A:$A,0))),0)</f>
        <v>0</v>
      </c>
      <c r="I611" s="114">
        <f t="shared" si="2"/>
        <v>0</v>
      </c>
      <c r="J611" s="114">
        <f t="shared" si="3"/>
        <v>0</v>
      </c>
      <c r="K611" s="133">
        <f t="shared" si="4"/>
        <v>0</v>
      </c>
    </row>
    <row r="612" ht="18.0" customHeight="1">
      <c r="A612" s="134"/>
      <c r="B612" s="77"/>
      <c r="C612" s="77"/>
      <c r="D612" s="135" t="str">
        <f t="array" ref="D612">IFERROR(IF(C612="","",INDEX(PRODUK!$B:$B,MATCH(C612,PRODUK!$A:$A,0))),"")</f>
        <v/>
      </c>
      <c r="E612" s="117"/>
      <c r="F612" s="119">
        <f t="array" ref="F612">IFERROR(IF(C612="",0,INDEX(PRODUK!$F:$F,MATCH(C612,PRODUK!$A:$A,0))),0)</f>
        <v>0</v>
      </c>
      <c r="G612" s="118">
        <f t="shared" si="1"/>
        <v>0</v>
      </c>
      <c r="H612" s="118">
        <f t="array" ref="H612">IFERROR(IF(B612="",0,INDEX(HPP_ENGINE!$J:$J,MATCH(B612,HPP_ENGINE!$A:$A,0))),0)</f>
        <v>0</v>
      </c>
      <c r="I612" s="118">
        <f t="shared" si="2"/>
        <v>0</v>
      </c>
      <c r="J612" s="118">
        <f t="shared" si="3"/>
        <v>0</v>
      </c>
      <c r="K612" s="136">
        <f t="shared" si="4"/>
        <v>0</v>
      </c>
    </row>
    <row r="613" ht="18.0" customHeight="1">
      <c r="A613" s="132"/>
      <c r="B613" s="72"/>
      <c r="C613" s="72"/>
      <c r="D613" s="137" t="str">
        <f t="array" ref="D613">IFERROR(IF(C613="","",INDEX(PRODUK!$B:$B,MATCH(C613,PRODUK!$A:$A,0))),"")</f>
        <v/>
      </c>
      <c r="E613" s="113"/>
      <c r="F613" s="115">
        <f t="array" ref="F613">IFERROR(IF(C613="",0,INDEX(PRODUK!$F:$F,MATCH(C613,PRODUK!$A:$A,0))),0)</f>
        <v>0</v>
      </c>
      <c r="G613" s="114">
        <f t="shared" si="1"/>
        <v>0</v>
      </c>
      <c r="H613" s="114">
        <f t="array" ref="H613">IFERROR(IF(B613="",0,INDEX(HPP_ENGINE!$J:$J,MATCH(B613,HPP_ENGINE!$A:$A,0))),0)</f>
        <v>0</v>
      </c>
      <c r="I613" s="114">
        <f t="shared" si="2"/>
        <v>0</v>
      </c>
      <c r="J613" s="114">
        <f t="shared" si="3"/>
        <v>0</v>
      </c>
      <c r="K613" s="133">
        <f t="shared" si="4"/>
        <v>0</v>
      </c>
    </row>
    <row r="614" ht="18.0" customHeight="1">
      <c r="A614" s="134"/>
      <c r="B614" s="77"/>
      <c r="C614" s="77"/>
      <c r="D614" s="135" t="str">
        <f t="array" ref="D614">IFERROR(IF(C614="","",INDEX(PRODUK!$B:$B,MATCH(C614,PRODUK!$A:$A,0))),"")</f>
        <v/>
      </c>
      <c r="E614" s="117"/>
      <c r="F614" s="119">
        <f t="array" ref="F614">IFERROR(IF(C614="",0,INDEX(PRODUK!$F:$F,MATCH(C614,PRODUK!$A:$A,0))),0)</f>
        <v>0</v>
      </c>
      <c r="G614" s="118">
        <f t="shared" si="1"/>
        <v>0</v>
      </c>
      <c r="H614" s="118">
        <f t="array" ref="H614">IFERROR(IF(B614="",0,INDEX(HPP_ENGINE!$J:$J,MATCH(B614,HPP_ENGINE!$A:$A,0))),0)</f>
        <v>0</v>
      </c>
      <c r="I614" s="118">
        <f t="shared" si="2"/>
        <v>0</v>
      </c>
      <c r="J614" s="118">
        <f t="shared" si="3"/>
        <v>0</v>
      </c>
      <c r="K614" s="136">
        <f t="shared" si="4"/>
        <v>0</v>
      </c>
    </row>
    <row r="615" ht="18.0" customHeight="1">
      <c r="A615" s="132"/>
      <c r="B615" s="72"/>
      <c r="C615" s="72"/>
      <c r="D615" s="137" t="str">
        <f t="array" ref="D615">IFERROR(IF(C615="","",INDEX(PRODUK!$B:$B,MATCH(C615,PRODUK!$A:$A,0))),"")</f>
        <v/>
      </c>
      <c r="E615" s="113"/>
      <c r="F615" s="115">
        <f t="array" ref="F615">IFERROR(IF(C615="",0,INDEX(PRODUK!$F:$F,MATCH(C615,PRODUK!$A:$A,0))),0)</f>
        <v>0</v>
      </c>
      <c r="G615" s="114">
        <f t="shared" si="1"/>
        <v>0</v>
      </c>
      <c r="H615" s="114">
        <f t="array" ref="H615">IFERROR(IF(B615="",0,INDEX(HPP_ENGINE!$J:$J,MATCH(B615,HPP_ENGINE!$A:$A,0))),0)</f>
        <v>0</v>
      </c>
      <c r="I615" s="114">
        <f t="shared" si="2"/>
        <v>0</v>
      </c>
      <c r="J615" s="114">
        <f t="shared" si="3"/>
        <v>0</v>
      </c>
      <c r="K615" s="133">
        <f t="shared" si="4"/>
        <v>0</v>
      </c>
    </row>
    <row r="616" ht="18.0" customHeight="1">
      <c r="A616" s="134"/>
      <c r="B616" s="77"/>
      <c r="C616" s="77"/>
      <c r="D616" s="135" t="str">
        <f t="array" ref="D616">IFERROR(IF(C616="","",INDEX(PRODUK!$B:$B,MATCH(C616,PRODUK!$A:$A,0))),"")</f>
        <v/>
      </c>
      <c r="E616" s="117"/>
      <c r="F616" s="119">
        <f t="array" ref="F616">IFERROR(IF(C616="",0,INDEX(PRODUK!$F:$F,MATCH(C616,PRODUK!$A:$A,0))),0)</f>
        <v>0</v>
      </c>
      <c r="G616" s="118">
        <f t="shared" si="1"/>
        <v>0</v>
      </c>
      <c r="H616" s="118">
        <f t="array" ref="H616">IFERROR(IF(B616="",0,INDEX(HPP_ENGINE!$J:$J,MATCH(B616,HPP_ENGINE!$A:$A,0))),0)</f>
        <v>0</v>
      </c>
      <c r="I616" s="118">
        <f t="shared" si="2"/>
        <v>0</v>
      </c>
      <c r="J616" s="118">
        <f t="shared" si="3"/>
        <v>0</v>
      </c>
      <c r="K616" s="136">
        <f t="shared" si="4"/>
        <v>0</v>
      </c>
    </row>
    <row r="617" ht="18.0" customHeight="1">
      <c r="A617" s="132"/>
      <c r="B617" s="72"/>
      <c r="C617" s="72"/>
      <c r="D617" s="137" t="str">
        <f t="array" ref="D617">IFERROR(IF(C617="","",INDEX(PRODUK!$B:$B,MATCH(C617,PRODUK!$A:$A,0))),"")</f>
        <v/>
      </c>
      <c r="E617" s="113"/>
      <c r="F617" s="115">
        <f t="array" ref="F617">IFERROR(IF(C617="",0,INDEX(PRODUK!$F:$F,MATCH(C617,PRODUK!$A:$A,0))),0)</f>
        <v>0</v>
      </c>
      <c r="G617" s="114">
        <f t="shared" si="1"/>
        <v>0</v>
      </c>
      <c r="H617" s="114">
        <f t="array" ref="H617">IFERROR(IF(B617="",0,INDEX(HPP_ENGINE!$J:$J,MATCH(B617,HPP_ENGINE!$A:$A,0))),0)</f>
        <v>0</v>
      </c>
      <c r="I617" s="114">
        <f t="shared" si="2"/>
        <v>0</v>
      </c>
      <c r="J617" s="114">
        <f t="shared" si="3"/>
        <v>0</v>
      </c>
      <c r="K617" s="133">
        <f t="shared" si="4"/>
        <v>0</v>
      </c>
    </row>
    <row r="618" ht="18.0" customHeight="1">
      <c r="A618" s="134"/>
      <c r="B618" s="77"/>
      <c r="C618" s="77"/>
      <c r="D618" s="135" t="str">
        <f t="array" ref="D618">IFERROR(IF(C618="","",INDEX(PRODUK!$B:$B,MATCH(C618,PRODUK!$A:$A,0))),"")</f>
        <v/>
      </c>
      <c r="E618" s="117"/>
      <c r="F618" s="119">
        <f t="array" ref="F618">IFERROR(IF(C618="",0,INDEX(PRODUK!$F:$F,MATCH(C618,PRODUK!$A:$A,0))),0)</f>
        <v>0</v>
      </c>
      <c r="G618" s="118">
        <f t="shared" si="1"/>
        <v>0</v>
      </c>
      <c r="H618" s="118">
        <f t="array" ref="H618">IFERROR(IF(B618="",0,INDEX(HPP_ENGINE!$J:$J,MATCH(B618,HPP_ENGINE!$A:$A,0))),0)</f>
        <v>0</v>
      </c>
      <c r="I618" s="118">
        <f t="shared" si="2"/>
        <v>0</v>
      </c>
      <c r="J618" s="118">
        <f t="shared" si="3"/>
        <v>0</v>
      </c>
      <c r="K618" s="136">
        <f t="shared" si="4"/>
        <v>0</v>
      </c>
    </row>
    <row r="619" ht="18.0" customHeight="1">
      <c r="A619" s="132"/>
      <c r="B619" s="72"/>
      <c r="C619" s="72"/>
      <c r="D619" s="137" t="str">
        <f t="array" ref="D619">IFERROR(IF(C619="","",INDEX(PRODUK!$B:$B,MATCH(C619,PRODUK!$A:$A,0))),"")</f>
        <v/>
      </c>
      <c r="E619" s="113"/>
      <c r="F619" s="115">
        <f t="array" ref="F619">IFERROR(IF(C619="",0,INDEX(PRODUK!$F:$F,MATCH(C619,PRODUK!$A:$A,0))),0)</f>
        <v>0</v>
      </c>
      <c r="G619" s="114">
        <f t="shared" si="1"/>
        <v>0</v>
      </c>
      <c r="H619" s="114">
        <f t="array" ref="H619">IFERROR(IF(B619="",0,INDEX(HPP_ENGINE!$J:$J,MATCH(B619,HPP_ENGINE!$A:$A,0))),0)</f>
        <v>0</v>
      </c>
      <c r="I619" s="114">
        <f t="shared" si="2"/>
        <v>0</v>
      </c>
      <c r="J619" s="114">
        <f t="shared" si="3"/>
        <v>0</v>
      </c>
      <c r="K619" s="133">
        <f t="shared" si="4"/>
        <v>0</v>
      </c>
    </row>
    <row r="620" ht="18.0" customHeight="1">
      <c r="A620" s="134"/>
      <c r="B620" s="77"/>
      <c r="C620" s="77"/>
      <c r="D620" s="135" t="str">
        <f t="array" ref="D620">IFERROR(IF(C620="","",INDEX(PRODUK!$B:$B,MATCH(C620,PRODUK!$A:$A,0))),"")</f>
        <v/>
      </c>
      <c r="E620" s="117"/>
      <c r="F620" s="119">
        <f t="array" ref="F620">IFERROR(IF(C620="",0,INDEX(PRODUK!$F:$F,MATCH(C620,PRODUK!$A:$A,0))),0)</f>
        <v>0</v>
      </c>
      <c r="G620" s="118">
        <f t="shared" si="1"/>
        <v>0</v>
      </c>
      <c r="H620" s="118">
        <f t="array" ref="H620">IFERROR(IF(B620="",0,INDEX(HPP_ENGINE!$J:$J,MATCH(B620,HPP_ENGINE!$A:$A,0))),0)</f>
        <v>0</v>
      </c>
      <c r="I620" s="118">
        <f t="shared" si="2"/>
        <v>0</v>
      </c>
      <c r="J620" s="118">
        <f t="shared" si="3"/>
        <v>0</v>
      </c>
      <c r="K620" s="136">
        <f t="shared" si="4"/>
        <v>0</v>
      </c>
    </row>
    <row r="621" ht="18.0" customHeight="1">
      <c r="A621" s="132"/>
      <c r="B621" s="72"/>
      <c r="C621" s="72"/>
      <c r="D621" s="137" t="str">
        <f t="array" ref="D621">IFERROR(IF(C621="","",INDEX(PRODUK!$B:$B,MATCH(C621,PRODUK!$A:$A,0))),"")</f>
        <v/>
      </c>
      <c r="E621" s="113"/>
      <c r="F621" s="115">
        <f t="array" ref="F621">IFERROR(IF(C621="",0,INDEX(PRODUK!$F:$F,MATCH(C621,PRODUK!$A:$A,0))),0)</f>
        <v>0</v>
      </c>
      <c r="G621" s="114">
        <f t="shared" si="1"/>
        <v>0</v>
      </c>
      <c r="H621" s="114">
        <f t="array" ref="H621">IFERROR(IF(B621="",0,INDEX(HPP_ENGINE!$J:$J,MATCH(B621,HPP_ENGINE!$A:$A,0))),0)</f>
        <v>0</v>
      </c>
      <c r="I621" s="114">
        <f t="shared" si="2"/>
        <v>0</v>
      </c>
      <c r="J621" s="114">
        <f t="shared" si="3"/>
        <v>0</v>
      </c>
      <c r="K621" s="133">
        <f t="shared" si="4"/>
        <v>0</v>
      </c>
    </row>
    <row r="622" ht="18.0" customHeight="1">
      <c r="A622" s="134"/>
      <c r="B622" s="77"/>
      <c r="C622" s="77"/>
      <c r="D622" s="135" t="str">
        <f t="array" ref="D622">IFERROR(IF(C622="","",INDEX(PRODUK!$B:$B,MATCH(C622,PRODUK!$A:$A,0))),"")</f>
        <v/>
      </c>
      <c r="E622" s="117"/>
      <c r="F622" s="119">
        <f t="array" ref="F622">IFERROR(IF(C622="",0,INDEX(PRODUK!$F:$F,MATCH(C622,PRODUK!$A:$A,0))),0)</f>
        <v>0</v>
      </c>
      <c r="G622" s="118">
        <f t="shared" si="1"/>
        <v>0</v>
      </c>
      <c r="H622" s="118">
        <f t="array" ref="H622">IFERROR(IF(B622="",0,INDEX(HPP_ENGINE!$J:$J,MATCH(B622,HPP_ENGINE!$A:$A,0))),0)</f>
        <v>0</v>
      </c>
      <c r="I622" s="118">
        <f t="shared" si="2"/>
        <v>0</v>
      </c>
      <c r="J622" s="118">
        <f t="shared" si="3"/>
        <v>0</v>
      </c>
      <c r="K622" s="136">
        <f t="shared" si="4"/>
        <v>0</v>
      </c>
    </row>
    <row r="623" ht="18.0" customHeight="1">
      <c r="A623" s="132"/>
      <c r="B623" s="72"/>
      <c r="C623" s="72"/>
      <c r="D623" s="137" t="str">
        <f t="array" ref="D623">IFERROR(IF(C623="","",INDEX(PRODUK!$B:$B,MATCH(C623,PRODUK!$A:$A,0))),"")</f>
        <v/>
      </c>
      <c r="E623" s="113"/>
      <c r="F623" s="115">
        <f t="array" ref="F623">IFERROR(IF(C623="",0,INDEX(PRODUK!$F:$F,MATCH(C623,PRODUK!$A:$A,0))),0)</f>
        <v>0</v>
      </c>
      <c r="G623" s="114">
        <f t="shared" si="1"/>
        <v>0</v>
      </c>
      <c r="H623" s="114">
        <f t="array" ref="H623">IFERROR(IF(B623="",0,INDEX(HPP_ENGINE!$J:$J,MATCH(B623,HPP_ENGINE!$A:$A,0))),0)</f>
        <v>0</v>
      </c>
      <c r="I623" s="114">
        <f t="shared" si="2"/>
        <v>0</v>
      </c>
      <c r="J623" s="114">
        <f t="shared" si="3"/>
        <v>0</v>
      </c>
      <c r="K623" s="133">
        <f t="shared" si="4"/>
        <v>0</v>
      </c>
    </row>
    <row r="624" ht="18.0" customHeight="1">
      <c r="A624" s="134"/>
      <c r="B624" s="77"/>
      <c r="C624" s="77"/>
      <c r="D624" s="135" t="str">
        <f t="array" ref="D624">IFERROR(IF(C624="","",INDEX(PRODUK!$B:$B,MATCH(C624,PRODUK!$A:$A,0))),"")</f>
        <v/>
      </c>
      <c r="E624" s="117"/>
      <c r="F624" s="119">
        <f t="array" ref="F624">IFERROR(IF(C624="",0,INDEX(PRODUK!$F:$F,MATCH(C624,PRODUK!$A:$A,0))),0)</f>
        <v>0</v>
      </c>
      <c r="G624" s="118">
        <f t="shared" si="1"/>
        <v>0</v>
      </c>
      <c r="H624" s="118">
        <f t="array" ref="H624">IFERROR(IF(B624="",0,INDEX(HPP_ENGINE!$J:$J,MATCH(B624,HPP_ENGINE!$A:$A,0))),0)</f>
        <v>0</v>
      </c>
      <c r="I624" s="118">
        <f t="shared" si="2"/>
        <v>0</v>
      </c>
      <c r="J624" s="118">
        <f t="shared" si="3"/>
        <v>0</v>
      </c>
      <c r="K624" s="136">
        <f t="shared" si="4"/>
        <v>0</v>
      </c>
    </row>
    <row r="625" ht="18.0" customHeight="1">
      <c r="A625" s="132"/>
      <c r="B625" s="72"/>
      <c r="C625" s="72"/>
      <c r="D625" s="137" t="str">
        <f t="array" ref="D625">IFERROR(IF(C625="","",INDEX(PRODUK!$B:$B,MATCH(C625,PRODUK!$A:$A,0))),"")</f>
        <v/>
      </c>
      <c r="E625" s="113"/>
      <c r="F625" s="115">
        <f t="array" ref="F625">IFERROR(IF(C625="",0,INDEX(PRODUK!$F:$F,MATCH(C625,PRODUK!$A:$A,0))),0)</f>
        <v>0</v>
      </c>
      <c r="G625" s="114">
        <f t="shared" si="1"/>
        <v>0</v>
      </c>
      <c r="H625" s="114">
        <f t="array" ref="H625">IFERROR(IF(B625="",0,INDEX(HPP_ENGINE!$J:$J,MATCH(B625,HPP_ENGINE!$A:$A,0))),0)</f>
        <v>0</v>
      </c>
      <c r="I625" s="114">
        <f t="shared" si="2"/>
        <v>0</v>
      </c>
      <c r="J625" s="114">
        <f t="shared" si="3"/>
        <v>0</v>
      </c>
      <c r="K625" s="133">
        <f t="shared" si="4"/>
        <v>0</v>
      </c>
    </row>
    <row r="626" ht="18.0" customHeight="1">
      <c r="A626" s="134"/>
      <c r="B626" s="77"/>
      <c r="C626" s="77"/>
      <c r="D626" s="135" t="str">
        <f t="array" ref="D626">IFERROR(IF(C626="","",INDEX(PRODUK!$B:$B,MATCH(C626,PRODUK!$A:$A,0))),"")</f>
        <v/>
      </c>
      <c r="E626" s="117"/>
      <c r="F626" s="119">
        <f t="array" ref="F626">IFERROR(IF(C626="",0,INDEX(PRODUK!$F:$F,MATCH(C626,PRODUK!$A:$A,0))),0)</f>
        <v>0</v>
      </c>
      <c r="G626" s="118">
        <f t="shared" si="1"/>
        <v>0</v>
      </c>
      <c r="H626" s="118">
        <f t="array" ref="H626">IFERROR(IF(B626="",0,INDEX(HPP_ENGINE!$J:$J,MATCH(B626,HPP_ENGINE!$A:$A,0))),0)</f>
        <v>0</v>
      </c>
      <c r="I626" s="118">
        <f t="shared" si="2"/>
        <v>0</v>
      </c>
      <c r="J626" s="118">
        <f t="shared" si="3"/>
        <v>0</v>
      </c>
      <c r="K626" s="136">
        <f t="shared" si="4"/>
        <v>0</v>
      </c>
    </row>
    <row r="627" ht="18.0" customHeight="1">
      <c r="A627" s="132"/>
      <c r="B627" s="72"/>
      <c r="C627" s="72"/>
      <c r="D627" s="137" t="str">
        <f t="array" ref="D627">IFERROR(IF(C627="","",INDEX(PRODUK!$B:$B,MATCH(C627,PRODUK!$A:$A,0))),"")</f>
        <v/>
      </c>
      <c r="E627" s="113"/>
      <c r="F627" s="115">
        <f t="array" ref="F627">IFERROR(IF(C627="",0,INDEX(PRODUK!$F:$F,MATCH(C627,PRODUK!$A:$A,0))),0)</f>
        <v>0</v>
      </c>
      <c r="G627" s="114">
        <f t="shared" si="1"/>
        <v>0</v>
      </c>
      <c r="H627" s="114">
        <f t="array" ref="H627">IFERROR(IF(B627="",0,INDEX(HPP_ENGINE!$J:$J,MATCH(B627,HPP_ENGINE!$A:$A,0))),0)</f>
        <v>0</v>
      </c>
      <c r="I627" s="114">
        <f t="shared" si="2"/>
        <v>0</v>
      </c>
      <c r="J627" s="114">
        <f t="shared" si="3"/>
        <v>0</v>
      </c>
      <c r="K627" s="133">
        <f t="shared" si="4"/>
        <v>0</v>
      </c>
    </row>
    <row r="628" ht="18.0" customHeight="1">
      <c r="A628" s="134"/>
      <c r="B628" s="77"/>
      <c r="C628" s="77"/>
      <c r="D628" s="135" t="str">
        <f t="array" ref="D628">IFERROR(IF(C628="","",INDEX(PRODUK!$B:$B,MATCH(C628,PRODUK!$A:$A,0))),"")</f>
        <v/>
      </c>
      <c r="E628" s="117"/>
      <c r="F628" s="119">
        <f t="array" ref="F628">IFERROR(IF(C628="",0,INDEX(PRODUK!$F:$F,MATCH(C628,PRODUK!$A:$A,0))),0)</f>
        <v>0</v>
      </c>
      <c r="G628" s="118">
        <f t="shared" si="1"/>
        <v>0</v>
      </c>
      <c r="H628" s="118">
        <f t="array" ref="H628">IFERROR(IF(B628="",0,INDEX(HPP_ENGINE!$J:$J,MATCH(B628,HPP_ENGINE!$A:$A,0))),0)</f>
        <v>0</v>
      </c>
      <c r="I628" s="118">
        <f t="shared" si="2"/>
        <v>0</v>
      </c>
      <c r="J628" s="118">
        <f t="shared" si="3"/>
        <v>0</v>
      </c>
      <c r="K628" s="136">
        <f t="shared" si="4"/>
        <v>0</v>
      </c>
    </row>
    <row r="629" ht="18.0" customHeight="1">
      <c r="A629" s="132"/>
      <c r="B629" s="72"/>
      <c r="C629" s="72"/>
      <c r="D629" s="137" t="str">
        <f t="array" ref="D629">IFERROR(IF(C629="","",INDEX(PRODUK!$B:$B,MATCH(C629,PRODUK!$A:$A,0))),"")</f>
        <v/>
      </c>
      <c r="E629" s="113"/>
      <c r="F629" s="115">
        <f t="array" ref="F629">IFERROR(IF(C629="",0,INDEX(PRODUK!$F:$F,MATCH(C629,PRODUK!$A:$A,0))),0)</f>
        <v>0</v>
      </c>
      <c r="G629" s="114">
        <f t="shared" si="1"/>
        <v>0</v>
      </c>
      <c r="H629" s="114">
        <f t="array" ref="H629">IFERROR(IF(B629="",0,INDEX(HPP_ENGINE!$J:$J,MATCH(B629,HPP_ENGINE!$A:$A,0))),0)</f>
        <v>0</v>
      </c>
      <c r="I629" s="114">
        <f t="shared" si="2"/>
        <v>0</v>
      </c>
      <c r="J629" s="114">
        <f t="shared" si="3"/>
        <v>0</v>
      </c>
      <c r="K629" s="133">
        <f t="shared" si="4"/>
        <v>0</v>
      </c>
    </row>
    <row r="630" ht="18.0" customHeight="1">
      <c r="A630" s="134"/>
      <c r="B630" s="77"/>
      <c r="C630" s="77"/>
      <c r="D630" s="135" t="str">
        <f t="array" ref="D630">IFERROR(IF(C630="","",INDEX(PRODUK!$B:$B,MATCH(C630,PRODUK!$A:$A,0))),"")</f>
        <v/>
      </c>
      <c r="E630" s="117"/>
      <c r="F630" s="119">
        <f t="array" ref="F630">IFERROR(IF(C630="",0,INDEX(PRODUK!$F:$F,MATCH(C630,PRODUK!$A:$A,0))),0)</f>
        <v>0</v>
      </c>
      <c r="G630" s="118">
        <f t="shared" si="1"/>
        <v>0</v>
      </c>
      <c r="H630" s="118">
        <f t="array" ref="H630">IFERROR(IF(B630="",0,INDEX(HPP_ENGINE!$J:$J,MATCH(B630,HPP_ENGINE!$A:$A,0))),0)</f>
        <v>0</v>
      </c>
      <c r="I630" s="118">
        <f t="shared" si="2"/>
        <v>0</v>
      </c>
      <c r="J630" s="118">
        <f t="shared" si="3"/>
        <v>0</v>
      </c>
      <c r="K630" s="136">
        <f t="shared" si="4"/>
        <v>0</v>
      </c>
    </row>
    <row r="631" ht="18.0" customHeight="1">
      <c r="A631" s="132"/>
      <c r="B631" s="72"/>
      <c r="C631" s="72"/>
      <c r="D631" s="137" t="str">
        <f t="array" ref="D631">IFERROR(IF(C631="","",INDEX(PRODUK!$B:$B,MATCH(C631,PRODUK!$A:$A,0))),"")</f>
        <v/>
      </c>
      <c r="E631" s="113"/>
      <c r="F631" s="115">
        <f t="array" ref="F631">IFERROR(IF(C631="",0,INDEX(PRODUK!$F:$F,MATCH(C631,PRODUK!$A:$A,0))),0)</f>
        <v>0</v>
      </c>
      <c r="G631" s="114">
        <f t="shared" si="1"/>
        <v>0</v>
      </c>
      <c r="H631" s="114">
        <f t="array" ref="H631">IFERROR(IF(B631="",0,INDEX(HPP_ENGINE!$J:$J,MATCH(B631,HPP_ENGINE!$A:$A,0))),0)</f>
        <v>0</v>
      </c>
      <c r="I631" s="114">
        <f t="shared" si="2"/>
        <v>0</v>
      </c>
      <c r="J631" s="114">
        <f t="shared" si="3"/>
        <v>0</v>
      </c>
      <c r="K631" s="133">
        <f t="shared" si="4"/>
        <v>0</v>
      </c>
    </row>
    <row r="632" ht="18.0" customHeight="1">
      <c r="A632" s="134"/>
      <c r="B632" s="77"/>
      <c r="C632" s="77"/>
      <c r="D632" s="135" t="str">
        <f t="array" ref="D632">IFERROR(IF(C632="","",INDEX(PRODUK!$B:$B,MATCH(C632,PRODUK!$A:$A,0))),"")</f>
        <v/>
      </c>
      <c r="E632" s="117"/>
      <c r="F632" s="119">
        <f t="array" ref="F632">IFERROR(IF(C632="",0,INDEX(PRODUK!$F:$F,MATCH(C632,PRODUK!$A:$A,0))),0)</f>
        <v>0</v>
      </c>
      <c r="G632" s="118">
        <f t="shared" si="1"/>
        <v>0</v>
      </c>
      <c r="H632" s="118">
        <f t="array" ref="H632">IFERROR(IF(B632="",0,INDEX(HPP_ENGINE!$J:$J,MATCH(B632,HPP_ENGINE!$A:$A,0))),0)</f>
        <v>0</v>
      </c>
      <c r="I632" s="118">
        <f t="shared" si="2"/>
        <v>0</v>
      </c>
      <c r="J632" s="118">
        <f t="shared" si="3"/>
        <v>0</v>
      </c>
      <c r="K632" s="136">
        <f t="shared" si="4"/>
        <v>0</v>
      </c>
    </row>
    <row r="633" ht="18.0" customHeight="1">
      <c r="A633" s="132"/>
      <c r="B633" s="72"/>
      <c r="C633" s="72"/>
      <c r="D633" s="137" t="str">
        <f t="array" ref="D633">IFERROR(IF(C633="","",INDEX(PRODUK!$B:$B,MATCH(C633,PRODUK!$A:$A,0))),"")</f>
        <v/>
      </c>
      <c r="E633" s="113"/>
      <c r="F633" s="115">
        <f t="array" ref="F633">IFERROR(IF(C633="",0,INDEX(PRODUK!$F:$F,MATCH(C633,PRODUK!$A:$A,0))),0)</f>
        <v>0</v>
      </c>
      <c r="G633" s="114">
        <f t="shared" si="1"/>
        <v>0</v>
      </c>
      <c r="H633" s="114">
        <f t="array" ref="H633">IFERROR(IF(B633="",0,INDEX(HPP_ENGINE!$J:$J,MATCH(B633,HPP_ENGINE!$A:$A,0))),0)</f>
        <v>0</v>
      </c>
      <c r="I633" s="114">
        <f t="shared" si="2"/>
        <v>0</v>
      </c>
      <c r="J633" s="114">
        <f t="shared" si="3"/>
        <v>0</v>
      </c>
      <c r="K633" s="133">
        <f t="shared" si="4"/>
        <v>0</v>
      </c>
    </row>
    <row r="634" ht="18.0" customHeight="1">
      <c r="A634" s="134"/>
      <c r="B634" s="77"/>
      <c r="C634" s="77"/>
      <c r="D634" s="135" t="str">
        <f t="array" ref="D634">IFERROR(IF(C634="","",INDEX(PRODUK!$B:$B,MATCH(C634,PRODUK!$A:$A,0))),"")</f>
        <v/>
      </c>
      <c r="E634" s="117"/>
      <c r="F634" s="119">
        <f t="array" ref="F634">IFERROR(IF(C634="",0,INDEX(PRODUK!$F:$F,MATCH(C634,PRODUK!$A:$A,0))),0)</f>
        <v>0</v>
      </c>
      <c r="G634" s="118">
        <f t="shared" si="1"/>
        <v>0</v>
      </c>
      <c r="H634" s="118">
        <f t="array" ref="H634">IFERROR(IF(B634="",0,INDEX(HPP_ENGINE!$J:$J,MATCH(B634,HPP_ENGINE!$A:$A,0))),0)</f>
        <v>0</v>
      </c>
      <c r="I634" s="118">
        <f t="shared" si="2"/>
        <v>0</v>
      </c>
      <c r="J634" s="118">
        <f t="shared" si="3"/>
        <v>0</v>
      </c>
      <c r="K634" s="136">
        <f t="shared" si="4"/>
        <v>0</v>
      </c>
    </row>
    <row r="635" ht="18.0" customHeight="1">
      <c r="A635" s="132"/>
      <c r="B635" s="72"/>
      <c r="C635" s="72"/>
      <c r="D635" s="137" t="str">
        <f t="array" ref="D635">IFERROR(IF(C635="","",INDEX(PRODUK!$B:$B,MATCH(C635,PRODUK!$A:$A,0))),"")</f>
        <v/>
      </c>
      <c r="E635" s="113"/>
      <c r="F635" s="115">
        <f t="array" ref="F635">IFERROR(IF(C635="",0,INDEX(PRODUK!$F:$F,MATCH(C635,PRODUK!$A:$A,0))),0)</f>
        <v>0</v>
      </c>
      <c r="G635" s="114">
        <f t="shared" si="1"/>
        <v>0</v>
      </c>
      <c r="H635" s="114">
        <f t="array" ref="H635">IFERROR(IF(B635="",0,INDEX(HPP_ENGINE!$J:$J,MATCH(B635,HPP_ENGINE!$A:$A,0))),0)</f>
        <v>0</v>
      </c>
      <c r="I635" s="114">
        <f t="shared" si="2"/>
        <v>0</v>
      </c>
      <c r="J635" s="114">
        <f t="shared" si="3"/>
        <v>0</v>
      </c>
      <c r="K635" s="133">
        <f t="shared" si="4"/>
        <v>0</v>
      </c>
    </row>
    <row r="636" ht="18.0" customHeight="1">
      <c r="A636" s="134"/>
      <c r="B636" s="77"/>
      <c r="C636" s="77"/>
      <c r="D636" s="135" t="str">
        <f t="array" ref="D636">IFERROR(IF(C636="","",INDEX(PRODUK!$B:$B,MATCH(C636,PRODUK!$A:$A,0))),"")</f>
        <v/>
      </c>
      <c r="E636" s="117"/>
      <c r="F636" s="119">
        <f t="array" ref="F636">IFERROR(IF(C636="",0,INDEX(PRODUK!$F:$F,MATCH(C636,PRODUK!$A:$A,0))),0)</f>
        <v>0</v>
      </c>
      <c r="G636" s="118">
        <f t="shared" si="1"/>
        <v>0</v>
      </c>
      <c r="H636" s="118">
        <f t="array" ref="H636">IFERROR(IF(B636="",0,INDEX(HPP_ENGINE!$J:$J,MATCH(B636,HPP_ENGINE!$A:$A,0))),0)</f>
        <v>0</v>
      </c>
      <c r="I636" s="118">
        <f t="shared" si="2"/>
        <v>0</v>
      </c>
      <c r="J636" s="118">
        <f t="shared" si="3"/>
        <v>0</v>
      </c>
      <c r="K636" s="136">
        <f t="shared" si="4"/>
        <v>0</v>
      </c>
    </row>
    <row r="637" ht="18.0" customHeight="1">
      <c r="A637" s="132"/>
      <c r="B637" s="72"/>
      <c r="C637" s="72"/>
      <c r="D637" s="137" t="str">
        <f t="array" ref="D637">IFERROR(IF(C637="","",INDEX(PRODUK!$B:$B,MATCH(C637,PRODUK!$A:$A,0))),"")</f>
        <v/>
      </c>
      <c r="E637" s="113"/>
      <c r="F637" s="115">
        <f t="array" ref="F637">IFERROR(IF(C637="",0,INDEX(PRODUK!$F:$F,MATCH(C637,PRODUK!$A:$A,0))),0)</f>
        <v>0</v>
      </c>
      <c r="G637" s="114">
        <f t="shared" si="1"/>
        <v>0</v>
      </c>
      <c r="H637" s="114">
        <f t="array" ref="H637">IFERROR(IF(B637="",0,INDEX(HPP_ENGINE!$J:$J,MATCH(B637,HPP_ENGINE!$A:$A,0))),0)</f>
        <v>0</v>
      </c>
      <c r="I637" s="114">
        <f t="shared" si="2"/>
        <v>0</v>
      </c>
      <c r="J637" s="114">
        <f t="shared" si="3"/>
        <v>0</v>
      </c>
      <c r="K637" s="133">
        <f t="shared" si="4"/>
        <v>0</v>
      </c>
    </row>
    <row r="638" ht="18.0" customHeight="1">
      <c r="A638" s="134"/>
      <c r="B638" s="77"/>
      <c r="C638" s="77"/>
      <c r="D638" s="135" t="str">
        <f t="array" ref="D638">IFERROR(IF(C638="","",INDEX(PRODUK!$B:$B,MATCH(C638,PRODUK!$A:$A,0))),"")</f>
        <v/>
      </c>
      <c r="E638" s="117"/>
      <c r="F638" s="119">
        <f t="array" ref="F638">IFERROR(IF(C638="",0,INDEX(PRODUK!$F:$F,MATCH(C638,PRODUK!$A:$A,0))),0)</f>
        <v>0</v>
      </c>
      <c r="G638" s="118">
        <f t="shared" si="1"/>
        <v>0</v>
      </c>
      <c r="H638" s="118">
        <f t="array" ref="H638">IFERROR(IF(B638="",0,INDEX(HPP_ENGINE!$J:$J,MATCH(B638,HPP_ENGINE!$A:$A,0))),0)</f>
        <v>0</v>
      </c>
      <c r="I638" s="118">
        <f t="shared" si="2"/>
        <v>0</v>
      </c>
      <c r="J638" s="118">
        <f t="shared" si="3"/>
        <v>0</v>
      </c>
      <c r="K638" s="136">
        <f t="shared" si="4"/>
        <v>0</v>
      </c>
    </row>
    <row r="639" ht="18.0" customHeight="1">
      <c r="A639" s="132"/>
      <c r="B639" s="72"/>
      <c r="C639" s="72"/>
      <c r="D639" s="137" t="str">
        <f t="array" ref="D639">IFERROR(IF(C639="","",INDEX(PRODUK!$B:$B,MATCH(C639,PRODUK!$A:$A,0))),"")</f>
        <v/>
      </c>
      <c r="E639" s="113"/>
      <c r="F639" s="115">
        <f t="array" ref="F639">IFERROR(IF(C639="",0,INDEX(PRODUK!$F:$F,MATCH(C639,PRODUK!$A:$A,0))),0)</f>
        <v>0</v>
      </c>
      <c r="G639" s="114">
        <f t="shared" si="1"/>
        <v>0</v>
      </c>
      <c r="H639" s="114">
        <f t="array" ref="H639">IFERROR(IF(B639="",0,INDEX(HPP_ENGINE!$J:$J,MATCH(B639,HPP_ENGINE!$A:$A,0))),0)</f>
        <v>0</v>
      </c>
      <c r="I639" s="114">
        <f t="shared" si="2"/>
        <v>0</v>
      </c>
      <c r="J639" s="114">
        <f t="shared" si="3"/>
        <v>0</v>
      </c>
      <c r="K639" s="133">
        <f t="shared" si="4"/>
        <v>0</v>
      </c>
    </row>
    <row r="640" ht="18.0" customHeight="1">
      <c r="A640" s="134"/>
      <c r="B640" s="77"/>
      <c r="C640" s="77"/>
      <c r="D640" s="135" t="str">
        <f t="array" ref="D640">IFERROR(IF(C640="","",INDEX(PRODUK!$B:$B,MATCH(C640,PRODUK!$A:$A,0))),"")</f>
        <v/>
      </c>
      <c r="E640" s="117"/>
      <c r="F640" s="119">
        <f t="array" ref="F640">IFERROR(IF(C640="",0,INDEX(PRODUK!$F:$F,MATCH(C640,PRODUK!$A:$A,0))),0)</f>
        <v>0</v>
      </c>
      <c r="G640" s="118">
        <f t="shared" si="1"/>
        <v>0</v>
      </c>
      <c r="H640" s="118">
        <f t="array" ref="H640">IFERROR(IF(B640="",0,INDEX(HPP_ENGINE!$J:$J,MATCH(B640,HPP_ENGINE!$A:$A,0))),0)</f>
        <v>0</v>
      </c>
      <c r="I640" s="118">
        <f t="shared" si="2"/>
        <v>0</v>
      </c>
      <c r="J640" s="118">
        <f t="shared" si="3"/>
        <v>0</v>
      </c>
      <c r="K640" s="136">
        <f t="shared" si="4"/>
        <v>0</v>
      </c>
    </row>
    <row r="641" ht="18.0" customHeight="1">
      <c r="A641" s="132"/>
      <c r="B641" s="72"/>
      <c r="C641" s="72"/>
      <c r="D641" s="137" t="str">
        <f t="array" ref="D641">IFERROR(IF(C641="","",INDEX(PRODUK!$B:$B,MATCH(C641,PRODUK!$A:$A,0))),"")</f>
        <v/>
      </c>
      <c r="E641" s="113"/>
      <c r="F641" s="115">
        <f t="array" ref="F641">IFERROR(IF(C641="",0,INDEX(PRODUK!$F:$F,MATCH(C641,PRODUK!$A:$A,0))),0)</f>
        <v>0</v>
      </c>
      <c r="G641" s="114">
        <f t="shared" si="1"/>
        <v>0</v>
      </c>
      <c r="H641" s="114">
        <f t="array" ref="H641">IFERROR(IF(B641="",0,INDEX(HPP_ENGINE!$J:$J,MATCH(B641,HPP_ENGINE!$A:$A,0))),0)</f>
        <v>0</v>
      </c>
      <c r="I641" s="114">
        <f t="shared" si="2"/>
        <v>0</v>
      </c>
      <c r="J641" s="114">
        <f t="shared" si="3"/>
        <v>0</v>
      </c>
      <c r="K641" s="133">
        <f t="shared" si="4"/>
        <v>0</v>
      </c>
    </row>
    <row r="642" ht="18.0" customHeight="1">
      <c r="A642" s="134"/>
      <c r="B642" s="77"/>
      <c r="C642" s="77"/>
      <c r="D642" s="135" t="str">
        <f t="array" ref="D642">IFERROR(IF(C642="","",INDEX(PRODUK!$B:$B,MATCH(C642,PRODUK!$A:$A,0))),"")</f>
        <v/>
      </c>
      <c r="E642" s="117"/>
      <c r="F642" s="119">
        <f t="array" ref="F642">IFERROR(IF(C642="",0,INDEX(PRODUK!$F:$F,MATCH(C642,PRODUK!$A:$A,0))),0)</f>
        <v>0</v>
      </c>
      <c r="G642" s="118">
        <f t="shared" si="1"/>
        <v>0</v>
      </c>
      <c r="H642" s="118">
        <f t="array" ref="H642">IFERROR(IF(B642="",0,INDEX(HPP_ENGINE!$J:$J,MATCH(B642,HPP_ENGINE!$A:$A,0))),0)</f>
        <v>0</v>
      </c>
      <c r="I642" s="118">
        <f t="shared" si="2"/>
        <v>0</v>
      </c>
      <c r="J642" s="118">
        <f t="shared" si="3"/>
        <v>0</v>
      </c>
      <c r="K642" s="136">
        <f t="shared" si="4"/>
        <v>0</v>
      </c>
    </row>
    <row r="643" ht="18.0" customHeight="1">
      <c r="A643" s="132"/>
      <c r="B643" s="72"/>
      <c r="C643" s="72"/>
      <c r="D643" s="137" t="str">
        <f t="array" ref="D643">IFERROR(IF(C643="","",INDEX(PRODUK!$B:$B,MATCH(C643,PRODUK!$A:$A,0))),"")</f>
        <v/>
      </c>
      <c r="E643" s="113"/>
      <c r="F643" s="115">
        <f t="array" ref="F643">IFERROR(IF(C643="",0,INDEX(PRODUK!$F:$F,MATCH(C643,PRODUK!$A:$A,0))),0)</f>
        <v>0</v>
      </c>
      <c r="G643" s="114">
        <f t="shared" si="1"/>
        <v>0</v>
      </c>
      <c r="H643" s="114">
        <f t="array" ref="H643">IFERROR(IF(B643="",0,INDEX(HPP_ENGINE!$J:$J,MATCH(B643,HPP_ENGINE!$A:$A,0))),0)</f>
        <v>0</v>
      </c>
      <c r="I643" s="114">
        <f t="shared" si="2"/>
        <v>0</v>
      </c>
      <c r="J643" s="114">
        <f t="shared" si="3"/>
        <v>0</v>
      </c>
      <c r="K643" s="133">
        <f t="shared" si="4"/>
        <v>0</v>
      </c>
    </row>
    <row r="644" ht="18.0" customHeight="1">
      <c r="A644" s="134"/>
      <c r="B644" s="77"/>
      <c r="C644" s="77"/>
      <c r="D644" s="135" t="str">
        <f t="array" ref="D644">IFERROR(IF(C644="","",INDEX(PRODUK!$B:$B,MATCH(C644,PRODUK!$A:$A,0))),"")</f>
        <v/>
      </c>
      <c r="E644" s="117"/>
      <c r="F644" s="119">
        <f t="array" ref="F644">IFERROR(IF(C644="",0,INDEX(PRODUK!$F:$F,MATCH(C644,PRODUK!$A:$A,0))),0)</f>
        <v>0</v>
      </c>
      <c r="G644" s="118">
        <f t="shared" si="1"/>
        <v>0</v>
      </c>
      <c r="H644" s="118">
        <f t="array" ref="H644">IFERROR(IF(B644="",0,INDEX(HPP_ENGINE!$J:$J,MATCH(B644,HPP_ENGINE!$A:$A,0))),0)</f>
        <v>0</v>
      </c>
      <c r="I644" s="118">
        <f t="shared" si="2"/>
        <v>0</v>
      </c>
      <c r="J644" s="118">
        <f t="shared" si="3"/>
        <v>0</v>
      </c>
      <c r="K644" s="136">
        <f t="shared" si="4"/>
        <v>0</v>
      </c>
    </row>
    <row r="645" ht="18.0" customHeight="1">
      <c r="A645" s="132"/>
      <c r="B645" s="72"/>
      <c r="C645" s="72"/>
      <c r="D645" s="137" t="str">
        <f t="array" ref="D645">IFERROR(IF(C645="","",INDEX(PRODUK!$B:$B,MATCH(C645,PRODUK!$A:$A,0))),"")</f>
        <v/>
      </c>
      <c r="E645" s="113"/>
      <c r="F645" s="115">
        <f t="array" ref="F645">IFERROR(IF(C645="",0,INDEX(PRODUK!$F:$F,MATCH(C645,PRODUK!$A:$A,0))),0)</f>
        <v>0</v>
      </c>
      <c r="G645" s="114">
        <f t="shared" si="1"/>
        <v>0</v>
      </c>
      <c r="H645" s="114">
        <f t="array" ref="H645">IFERROR(IF(B645="",0,INDEX(HPP_ENGINE!$J:$J,MATCH(B645,HPP_ENGINE!$A:$A,0))),0)</f>
        <v>0</v>
      </c>
      <c r="I645" s="114">
        <f t="shared" si="2"/>
        <v>0</v>
      </c>
      <c r="J645" s="114">
        <f t="shared" si="3"/>
        <v>0</v>
      </c>
      <c r="K645" s="133">
        <f t="shared" si="4"/>
        <v>0</v>
      </c>
    </row>
    <row r="646" ht="18.0" customHeight="1">
      <c r="A646" s="134"/>
      <c r="B646" s="77"/>
      <c r="C646" s="77"/>
      <c r="D646" s="135" t="str">
        <f t="array" ref="D646">IFERROR(IF(C646="","",INDEX(PRODUK!$B:$B,MATCH(C646,PRODUK!$A:$A,0))),"")</f>
        <v/>
      </c>
      <c r="E646" s="117"/>
      <c r="F646" s="119">
        <f t="array" ref="F646">IFERROR(IF(C646="",0,INDEX(PRODUK!$F:$F,MATCH(C646,PRODUK!$A:$A,0))),0)</f>
        <v>0</v>
      </c>
      <c r="G646" s="118">
        <f t="shared" si="1"/>
        <v>0</v>
      </c>
      <c r="H646" s="118">
        <f t="array" ref="H646">IFERROR(IF(B646="",0,INDEX(HPP_ENGINE!$J:$J,MATCH(B646,HPP_ENGINE!$A:$A,0))),0)</f>
        <v>0</v>
      </c>
      <c r="I646" s="118">
        <f t="shared" si="2"/>
        <v>0</v>
      </c>
      <c r="J646" s="118">
        <f t="shared" si="3"/>
        <v>0</v>
      </c>
      <c r="K646" s="136">
        <f t="shared" si="4"/>
        <v>0</v>
      </c>
    </row>
    <row r="647" ht="18.0" customHeight="1">
      <c r="A647" s="132"/>
      <c r="B647" s="72"/>
      <c r="C647" s="72"/>
      <c r="D647" s="137" t="str">
        <f t="array" ref="D647">IFERROR(IF(C647="","",INDEX(PRODUK!$B:$B,MATCH(C647,PRODUK!$A:$A,0))),"")</f>
        <v/>
      </c>
      <c r="E647" s="113"/>
      <c r="F647" s="115">
        <f t="array" ref="F647">IFERROR(IF(C647="",0,INDEX(PRODUK!$F:$F,MATCH(C647,PRODUK!$A:$A,0))),0)</f>
        <v>0</v>
      </c>
      <c r="G647" s="114">
        <f t="shared" si="1"/>
        <v>0</v>
      </c>
      <c r="H647" s="114">
        <f t="array" ref="H647">IFERROR(IF(B647="",0,INDEX(HPP_ENGINE!$J:$J,MATCH(B647,HPP_ENGINE!$A:$A,0))),0)</f>
        <v>0</v>
      </c>
      <c r="I647" s="114">
        <f t="shared" si="2"/>
        <v>0</v>
      </c>
      <c r="J647" s="114">
        <f t="shared" si="3"/>
        <v>0</v>
      </c>
      <c r="K647" s="133">
        <f t="shared" si="4"/>
        <v>0</v>
      </c>
    </row>
    <row r="648" ht="18.0" customHeight="1">
      <c r="A648" s="134"/>
      <c r="B648" s="77"/>
      <c r="C648" s="77"/>
      <c r="D648" s="135" t="str">
        <f t="array" ref="D648">IFERROR(IF(C648="","",INDEX(PRODUK!$B:$B,MATCH(C648,PRODUK!$A:$A,0))),"")</f>
        <v/>
      </c>
      <c r="E648" s="117"/>
      <c r="F648" s="119">
        <f t="array" ref="F648">IFERROR(IF(C648="",0,INDEX(PRODUK!$F:$F,MATCH(C648,PRODUK!$A:$A,0))),0)</f>
        <v>0</v>
      </c>
      <c r="G648" s="118">
        <f t="shared" si="1"/>
        <v>0</v>
      </c>
      <c r="H648" s="118">
        <f t="array" ref="H648">IFERROR(IF(B648="",0,INDEX(HPP_ENGINE!$J:$J,MATCH(B648,HPP_ENGINE!$A:$A,0))),0)</f>
        <v>0</v>
      </c>
      <c r="I648" s="118">
        <f t="shared" si="2"/>
        <v>0</v>
      </c>
      <c r="J648" s="118">
        <f t="shared" si="3"/>
        <v>0</v>
      </c>
      <c r="K648" s="136">
        <f t="shared" si="4"/>
        <v>0</v>
      </c>
    </row>
    <row r="649" ht="18.0" customHeight="1">
      <c r="A649" s="132"/>
      <c r="B649" s="72"/>
      <c r="C649" s="72"/>
      <c r="D649" s="137" t="str">
        <f t="array" ref="D649">IFERROR(IF(C649="","",INDEX(PRODUK!$B:$B,MATCH(C649,PRODUK!$A:$A,0))),"")</f>
        <v/>
      </c>
      <c r="E649" s="113"/>
      <c r="F649" s="115">
        <f t="array" ref="F649">IFERROR(IF(C649="",0,INDEX(PRODUK!$F:$F,MATCH(C649,PRODUK!$A:$A,0))),0)</f>
        <v>0</v>
      </c>
      <c r="G649" s="114">
        <f t="shared" si="1"/>
        <v>0</v>
      </c>
      <c r="H649" s="114">
        <f t="array" ref="H649">IFERROR(IF(B649="",0,INDEX(HPP_ENGINE!$J:$J,MATCH(B649,HPP_ENGINE!$A:$A,0))),0)</f>
        <v>0</v>
      </c>
      <c r="I649" s="114">
        <f t="shared" si="2"/>
        <v>0</v>
      </c>
      <c r="J649" s="114">
        <f t="shared" si="3"/>
        <v>0</v>
      </c>
      <c r="K649" s="133">
        <f t="shared" si="4"/>
        <v>0</v>
      </c>
    </row>
    <row r="650" ht="18.0" customHeight="1">
      <c r="A650" s="134"/>
      <c r="B650" s="77"/>
      <c r="C650" s="77"/>
      <c r="D650" s="135" t="str">
        <f t="array" ref="D650">IFERROR(IF(C650="","",INDEX(PRODUK!$B:$B,MATCH(C650,PRODUK!$A:$A,0))),"")</f>
        <v/>
      </c>
      <c r="E650" s="117"/>
      <c r="F650" s="119">
        <f t="array" ref="F650">IFERROR(IF(C650="",0,INDEX(PRODUK!$F:$F,MATCH(C650,PRODUK!$A:$A,0))),0)</f>
        <v>0</v>
      </c>
      <c r="G650" s="118">
        <f t="shared" si="1"/>
        <v>0</v>
      </c>
      <c r="H650" s="118">
        <f t="array" ref="H650">IFERROR(IF(B650="",0,INDEX(HPP_ENGINE!$J:$J,MATCH(B650,HPP_ENGINE!$A:$A,0))),0)</f>
        <v>0</v>
      </c>
      <c r="I650" s="118">
        <f t="shared" si="2"/>
        <v>0</v>
      </c>
      <c r="J650" s="118">
        <f t="shared" si="3"/>
        <v>0</v>
      </c>
      <c r="K650" s="136">
        <f t="shared" si="4"/>
        <v>0</v>
      </c>
    </row>
    <row r="651" ht="18.0" customHeight="1">
      <c r="A651" s="132"/>
      <c r="B651" s="72"/>
      <c r="C651" s="72"/>
      <c r="D651" s="137" t="str">
        <f t="array" ref="D651">IFERROR(IF(C651="","",INDEX(PRODUK!$B:$B,MATCH(C651,PRODUK!$A:$A,0))),"")</f>
        <v/>
      </c>
      <c r="E651" s="113"/>
      <c r="F651" s="115">
        <f t="array" ref="F651">IFERROR(IF(C651="",0,INDEX(PRODUK!$F:$F,MATCH(C651,PRODUK!$A:$A,0))),0)</f>
        <v>0</v>
      </c>
      <c r="G651" s="114">
        <f t="shared" si="1"/>
        <v>0</v>
      </c>
      <c r="H651" s="114">
        <f t="array" ref="H651">IFERROR(IF(B651="",0,INDEX(HPP_ENGINE!$J:$J,MATCH(B651,HPP_ENGINE!$A:$A,0))),0)</f>
        <v>0</v>
      </c>
      <c r="I651" s="114">
        <f t="shared" si="2"/>
        <v>0</v>
      </c>
      <c r="J651" s="114">
        <f t="shared" si="3"/>
        <v>0</v>
      </c>
      <c r="K651" s="133">
        <f t="shared" si="4"/>
        <v>0</v>
      </c>
    </row>
    <row r="652" ht="18.0" customHeight="1">
      <c r="A652" s="134"/>
      <c r="B652" s="77"/>
      <c r="C652" s="77"/>
      <c r="D652" s="135" t="str">
        <f t="array" ref="D652">IFERROR(IF(C652="","",INDEX(PRODUK!$B:$B,MATCH(C652,PRODUK!$A:$A,0))),"")</f>
        <v/>
      </c>
      <c r="E652" s="117"/>
      <c r="F652" s="119">
        <f t="array" ref="F652">IFERROR(IF(C652="",0,INDEX(PRODUK!$F:$F,MATCH(C652,PRODUK!$A:$A,0))),0)</f>
        <v>0</v>
      </c>
      <c r="G652" s="118">
        <f t="shared" si="1"/>
        <v>0</v>
      </c>
      <c r="H652" s="118">
        <f t="array" ref="H652">IFERROR(IF(B652="",0,INDEX(HPP_ENGINE!$J:$J,MATCH(B652,HPP_ENGINE!$A:$A,0))),0)</f>
        <v>0</v>
      </c>
      <c r="I652" s="118">
        <f t="shared" si="2"/>
        <v>0</v>
      </c>
      <c r="J652" s="118">
        <f t="shared" si="3"/>
        <v>0</v>
      </c>
      <c r="K652" s="136">
        <f t="shared" si="4"/>
        <v>0</v>
      </c>
    </row>
    <row r="653" ht="18.0" customHeight="1">
      <c r="A653" s="132"/>
      <c r="B653" s="72"/>
      <c r="C653" s="72"/>
      <c r="D653" s="137" t="str">
        <f t="array" ref="D653">IFERROR(IF(C653="","",INDEX(PRODUK!$B:$B,MATCH(C653,PRODUK!$A:$A,0))),"")</f>
        <v/>
      </c>
      <c r="E653" s="113"/>
      <c r="F653" s="115">
        <f t="array" ref="F653">IFERROR(IF(C653="",0,INDEX(PRODUK!$F:$F,MATCH(C653,PRODUK!$A:$A,0))),0)</f>
        <v>0</v>
      </c>
      <c r="G653" s="114">
        <f t="shared" si="1"/>
        <v>0</v>
      </c>
      <c r="H653" s="114">
        <f t="array" ref="H653">IFERROR(IF(B653="",0,INDEX(HPP_ENGINE!$J:$J,MATCH(B653,HPP_ENGINE!$A:$A,0))),0)</f>
        <v>0</v>
      </c>
      <c r="I653" s="114">
        <f t="shared" si="2"/>
        <v>0</v>
      </c>
      <c r="J653" s="114">
        <f t="shared" si="3"/>
        <v>0</v>
      </c>
      <c r="K653" s="133">
        <f t="shared" si="4"/>
        <v>0</v>
      </c>
    </row>
    <row r="654" ht="18.0" customHeight="1">
      <c r="A654" s="134"/>
      <c r="B654" s="77"/>
      <c r="C654" s="77"/>
      <c r="D654" s="135" t="str">
        <f t="array" ref="D654">IFERROR(IF(C654="","",INDEX(PRODUK!$B:$B,MATCH(C654,PRODUK!$A:$A,0))),"")</f>
        <v/>
      </c>
      <c r="E654" s="117"/>
      <c r="F654" s="119">
        <f t="array" ref="F654">IFERROR(IF(C654="",0,INDEX(PRODUK!$F:$F,MATCH(C654,PRODUK!$A:$A,0))),0)</f>
        <v>0</v>
      </c>
      <c r="G654" s="118">
        <f t="shared" si="1"/>
        <v>0</v>
      </c>
      <c r="H654" s="118">
        <f t="array" ref="H654">IFERROR(IF(B654="",0,INDEX(HPP_ENGINE!$J:$J,MATCH(B654,HPP_ENGINE!$A:$A,0))),0)</f>
        <v>0</v>
      </c>
      <c r="I654" s="118">
        <f t="shared" si="2"/>
        <v>0</v>
      </c>
      <c r="J654" s="118">
        <f t="shared" si="3"/>
        <v>0</v>
      </c>
      <c r="K654" s="136">
        <f t="shared" si="4"/>
        <v>0</v>
      </c>
    </row>
    <row r="655" ht="18.0" customHeight="1">
      <c r="A655" s="132"/>
      <c r="B655" s="72"/>
      <c r="C655" s="72"/>
      <c r="D655" s="137" t="str">
        <f t="array" ref="D655">IFERROR(IF(C655="","",INDEX(PRODUK!$B:$B,MATCH(C655,PRODUK!$A:$A,0))),"")</f>
        <v/>
      </c>
      <c r="E655" s="113"/>
      <c r="F655" s="115">
        <f t="array" ref="F655">IFERROR(IF(C655="",0,INDEX(PRODUK!$F:$F,MATCH(C655,PRODUK!$A:$A,0))),0)</f>
        <v>0</v>
      </c>
      <c r="G655" s="114">
        <f t="shared" si="1"/>
        <v>0</v>
      </c>
      <c r="H655" s="114">
        <f t="array" ref="H655">IFERROR(IF(B655="",0,INDEX(HPP_ENGINE!$J:$J,MATCH(B655,HPP_ENGINE!$A:$A,0))),0)</f>
        <v>0</v>
      </c>
      <c r="I655" s="114">
        <f t="shared" si="2"/>
        <v>0</v>
      </c>
      <c r="J655" s="114">
        <f t="shared" si="3"/>
        <v>0</v>
      </c>
      <c r="K655" s="133">
        <f t="shared" si="4"/>
        <v>0</v>
      </c>
    </row>
    <row r="656" ht="18.0" customHeight="1">
      <c r="A656" s="134"/>
      <c r="B656" s="77"/>
      <c r="C656" s="77"/>
      <c r="D656" s="135" t="str">
        <f t="array" ref="D656">IFERROR(IF(C656="","",INDEX(PRODUK!$B:$B,MATCH(C656,PRODUK!$A:$A,0))),"")</f>
        <v/>
      </c>
      <c r="E656" s="117"/>
      <c r="F656" s="119">
        <f t="array" ref="F656">IFERROR(IF(C656="",0,INDEX(PRODUK!$F:$F,MATCH(C656,PRODUK!$A:$A,0))),0)</f>
        <v>0</v>
      </c>
      <c r="G656" s="118">
        <f t="shared" si="1"/>
        <v>0</v>
      </c>
      <c r="H656" s="118">
        <f t="array" ref="H656">IFERROR(IF(B656="",0,INDEX(HPP_ENGINE!$J:$J,MATCH(B656,HPP_ENGINE!$A:$A,0))),0)</f>
        <v>0</v>
      </c>
      <c r="I656" s="118">
        <f t="shared" si="2"/>
        <v>0</v>
      </c>
      <c r="J656" s="118">
        <f t="shared" si="3"/>
        <v>0</v>
      </c>
      <c r="K656" s="136">
        <f t="shared" si="4"/>
        <v>0</v>
      </c>
    </row>
    <row r="657" ht="18.0" customHeight="1">
      <c r="A657" s="132"/>
      <c r="B657" s="72"/>
      <c r="C657" s="72"/>
      <c r="D657" s="137" t="str">
        <f t="array" ref="D657">IFERROR(IF(C657="","",INDEX(PRODUK!$B:$B,MATCH(C657,PRODUK!$A:$A,0))),"")</f>
        <v/>
      </c>
      <c r="E657" s="113"/>
      <c r="F657" s="115">
        <f t="array" ref="F657">IFERROR(IF(C657="",0,INDEX(PRODUK!$F:$F,MATCH(C657,PRODUK!$A:$A,0))),0)</f>
        <v>0</v>
      </c>
      <c r="G657" s="114">
        <f t="shared" si="1"/>
        <v>0</v>
      </c>
      <c r="H657" s="114">
        <f t="array" ref="H657">IFERROR(IF(B657="",0,INDEX(HPP_ENGINE!$J:$J,MATCH(B657,HPP_ENGINE!$A:$A,0))),0)</f>
        <v>0</v>
      </c>
      <c r="I657" s="114">
        <f t="shared" si="2"/>
        <v>0</v>
      </c>
      <c r="J657" s="114">
        <f t="shared" si="3"/>
        <v>0</v>
      </c>
      <c r="K657" s="133">
        <f t="shared" si="4"/>
        <v>0</v>
      </c>
    </row>
    <row r="658" ht="18.0" customHeight="1">
      <c r="A658" s="134"/>
      <c r="B658" s="77"/>
      <c r="C658" s="77"/>
      <c r="D658" s="135" t="str">
        <f t="array" ref="D658">IFERROR(IF(C658="","",INDEX(PRODUK!$B:$B,MATCH(C658,PRODUK!$A:$A,0))),"")</f>
        <v/>
      </c>
      <c r="E658" s="117"/>
      <c r="F658" s="119">
        <f t="array" ref="F658">IFERROR(IF(C658="",0,INDEX(PRODUK!$F:$F,MATCH(C658,PRODUK!$A:$A,0))),0)</f>
        <v>0</v>
      </c>
      <c r="G658" s="118">
        <f t="shared" si="1"/>
        <v>0</v>
      </c>
      <c r="H658" s="118">
        <f t="array" ref="H658">IFERROR(IF(B658="",0,INDEX(HPP_ENGINE!$J:$J,MATCH(B658,HPP_ENGINE!$A:$A,0))),0)</f>
        <v>0</v>
      </c>
      <c r="I658" s="118">
        <f t="shared" si="2"/>
        <v>0</v>
      </c>
      <c r="J658" s="118">
        <f t="shared" si="3"/>
        <v>0</v>
      </c>
      <c r="K658" s="136">
        <f t="shared" si="4"/>
        <v>0</v>
      </c>
    </row>
    <row r="659" ht="18.0" customHeight="1">
      <c r="A659" s="132"/>
      <c r="B659" s="72"/>
      <c r="C659" s="72"/>
      <c r="D659" s="137" t="str">
        <f t="array" ref="D659">IFERROR(IF(C659="","",INDEX(PRODUK!$B:$B,MATCH(C659,PRODUK!$A:$A,0))),"")</f>
        <v/>
      </c>
      <c r="E659" s="113"/>
      <c r="F659" s="115">
        <f t="array" ref="F659">IFERROR(IF(C659="",0,INDEX(PRODUK!$F:$F,MATCH(C659,PRODUK!$A:$A,0))),0)</f>
        <v>0</v>
      </c>
      <c r="G659" s="114">
        <f t="shared" si="1"/>
        <v>0</v>
      </c>
      <c r="H659" s="114">
        <f t="array" ref="H659">IFERROR(IF(B659="",0,INDEX(HPP_ENGINE!$J:$J,MATCH(B659,HPP_ENGINE!$A:$A,0))),0)</f>
        <v>0</v>
      </c>
      <c r="I659" s="114">
        <f t="shared" si="2"/>
        <v>0</v>
      </c>
      <c r="J659" s="114">
        <f t="shared" si="3"/>
        <v>0</v>
      </c>
      <c r="K659" s="133">
        <f t="shared" si="4"/>
        <v>0</v>
      </c>
    </row>
    <row r="660" ht="18.0" customHeight="1">
      <c r="A660" s="134"/>
      <c r="B660" s="77"/>
      <c r="C660" s="77"/>
      <c r="D660" s="135" t="str">
        <f t="array" ref="D660">IFERROR(IF(C660="","",INDEX(PRODUK!$B:$B,MATCH(C660,PRODUK!$A:$A,0))),"")</f>
        <v/>
      </c>
      <c r="E660" s="117"/>
      <c r="F660" s="119">
        <f t="array" ref="F660">IFERROR(IF(C660="",0,INDEX(PRODUK!$F:$F,MATCH(C660,PRODUK!$A:$A,0))),0)</f>
        <v>0</v>
      </c>
      <c r="G660" s="118">
        <f t="shared" si="1"/>
        <v>0</v>
      </c>
      <c r="H660" s="118">
        <f t="array" ref="H660">IFERROR(IF(B660="",0,INDEX(HPP_ENGINE!$J:$J,MATCH(B660,HPP_ENGINE!$A:$A,0))),0)</f>
        <v>0</v>
      </c>
      <c r="I660" s="118">
        <f t="shared" si="2"/>
        <v>0</v>
      </c>
      <c r="J660" s="118">
        <f t="shared" si="3"/>
        <v>0</v>
      </c>
      <c r="K660" s="136">
        <f t="shared" si="4"/>
        <v>0</v>
      </c>
    </row>
    <row r="661" ht="18.0" customHeight="1">
      <c r="A661" s="132"/>
      <c r="B661" s="72"/>
      <c r="C661" s="72"/>
      <c r="D661" s="137" t="str">
        <f t="array" ref="D661">IFERROR(IF(C661="","",INDEX(PRODUK!$B:$B,MATCH(C661,PRODUK!$A:$A,0))),"")</f>
        <v/>
      </c>
      <c r="E661" s="113"/>
      <c r="F661" s="115">
        <f t="array" ref="F661">IFERROR(IF(C661="",0,INDEX(PRODUK!$F:$F,MATCH(C661,PRODUK!$A:$A,0))),0)</f>
        <v>0</v>
      </c>
      <c r="G661" s="114">
        <f t="shared" si="1"/>
        <v>0</v>
      </c>
      <c r="H661" s="114">
        <f t="array" ref="H661">IFERROR(IF(B661="",0,INDEX(HPP_ENGINE!$J:$J,MATCH(B661,HPP_ENGINE!$A:$A,0))),0)</f>
        <v>0</v>
      </c>
      <c r="I661" s="114">
        <f t="shared" si="2"/>
        <v>0</v>
      </c>
      <c r="J661" s="114">
        <f t="shared" si="3"/>
        <v>0</v>
      </c>
      <c r="K661" s="133">
        <f t="shared" si="4"/>
        <v>0</v>
      </c>
    </row>
    <row r="662" ht="18.0" customHeight="1">
      <c r="A662" s="134"/>
      <c r="B662" s="77"/>
      <c r="C662" s="77"/>
      <c r="D662" s="135" t="str">
        <f t="array" ref="D662">IFERROR(IF(C662="","",INDEX(PRODUK!$B:$B,MATCH(C662,PRODUK!$A:$A,0))),"")</f>
        <v/>
      </c>
      <c r="E662" s="117"/>
      <c r="F662" s="119">
        <f t="array" ref="F662">IFERROR(IF(C662="",0,INDEX(PRODUK!$F:$F,MATCH(C662,PRODUK!$A:$A,0))),0)</f>
        <v>0</v>
      </c>
      <c r="G662" s="118">
        <f t="shared" si="1"/>
        <v>0</v>
      </c>
      <c r="H662" s="118">
        <f t="array" ref="H662">IFERROR(IF(B662="",0,INDEX(HPP_ENGINE!$J:$J,MATCH(B662,HPP_ENGINE!$A:$A,0))),0)</f>
        <v>0</v>
      </c>
      <c r="I662" s="118">
        <f t="shared" si="2"/>
        <v>0</v>
      </c>
      <c r="J662" s="118">
        <f t="shared" si="3"/>
        <v>0</v>
      </c>
      <c r="K662" s="136">
        <f t="shared" si="4"/>
        <v>0</v>
      </c>
    </row>
    <row r="663" ht="18.0" customHeight="1">
      <c r="A663" s="132"/>
      <c r="B663" s="72"/>
      <c r="C663" s="72"/>
      <c r="D663" s="137" t="str">
        <f t="array" ref="D663">IFERROR(IF(C663="","",INDEX(PRODUK!$B:$B,MATCH(C663,PRODUK!$A:$A,0))),"")</f>
        <v/>
      </c>
      <c r="E663" s="113"/>
      <c r="F663" s="115">
        <f t="array" ref="F663">IFERROR(IF(C663="",0,INDEX(PRODUK!$F:$F,MATCH(C663,PRODUK!$A:$A,0))),0)</f>
        <v>0</v>
      </c>
      <c r="G663" s="114">
        <f t="shared" si="1"/>
        <v>0</v>
      </c>
      <c r="H663" s="114">
        <f t="array" ref="H663">IFERROR(IF(B663="",0,INDEX(HPP_ENGINE!$J:$J,MATCH(B663,HPP_ENGINE!$A:$A,0))),0)</f>
        <v>0</v>
      </c>
      <c r="I663" s="114">
        <f t="shared" si="2"/>
        <v>0</v>
      </c>
      <c r="J663" s="114">
        <f t="shared" si="3"/>
        <v>0</v>
      </c>
      <c r="K663" s="133">
        <f t="shared" si="4"/>
        <v>0</v>
      </c>
    </row>
    <row r="664" ht="18.0" customHeight="1">
      <c r="A664" s="134"/>
      <c r="B664" s="77"/>
      <c r="C664" s="77"/>
      <c r="D664" s="135" t="str">
        <f t="array" ref="D664">IFERROR(IF(C664="","",INDEX(PRODUK!$B:$B,MATCH(C664,PRODUK!$A:$A,0))),"")</f>
        <v/>
      </c>
      <c r="E664" s="117"/>
      <c r="F664" s="119">
        <f t="array" ref="F664">IFERROR(IF(C664="",0,INDEX(PRODUK!$F:$F,MATCH(C664,PRODUK!$A:$A,0))),0)</f>
        <v>0</v>
      </c>
      <c r="G664" s="118">
        <f t="shared" si="1"/>
        <v>0</v>
      </c>
      <c r="H664" s="118">
        <f t="array" ref="H664">IFERROR(IF(B664="",0,INDEX(HPP_ENGINE!$J:$J,MATCH(B664,HPP_ENGINE!$A:$A,0))),0)</f>
        <v>0</v>
      </c>
      <c r="I664" s="118">
        <f t="shared" si="2"/>
        <v>0</v>
      </c>
      <c r="J664" s="118">
        <f t="shared" si="3"/>
        <v>0</v>
      </c>
      <c r="K664" s="136">
        <f t="shared" si="4"/>
        <v>0</v>
      </c>
    </row>
    <row r="665" ht="18.0" customHeight="1">
      <c r="A665" s="132"/>
      <c r="B665" s="72"/>
      <c r="C665" s="72"/>
      <c r="D665" s="137" t="str">
        <f t="array" ref="D665">IFERROR(IF(C665="","",INDEX(PRODUK!$B:$B,MATCH(C665,PRODUK!$A:$A,0))),"")</f>
        <v/>
      </c>
      <c r="E665" s="113"/>
      <c r="F665" s="115">
        <f t="array" ref="F665">IFERROR(IF(C665="",0,INDEX(PRODUK!$F:$F,MATCH(C665,PRODUK!$A:$A,0))),0)</f>
        <v>0</v>
      </c>
      <c r="G665" s="114">
        <f t="shared" si="1"/>
        <v>0</v>
      </c>
      <c r="H665" s="114">
        <f t="array" ref="H665">IFERROR(IF(B665="",0,INDEX(HPP_ENGINE!$J:$J,MATCH(B665,HPP_ENGINE!$A:$A,0))),0)</f>
        <v>0</v>
      </c>
      <c r="I665" s="114">
        <f t="shared" si="2"/>
        <v>0</v>
      </c>
      <c r="J665" s="114">
        <f t="shared" si="3"/>
        <v>0</v>
      </c>
      <c r="K665" s="133">
        <f t="shared" si="4"/>
        <v>0</v>
      </c>
    </row>
    <row r="666" ht="18.0" customHeight="1">
      <c r="A666" s="134"/>
      <c r="B666" s="77"/>
      <c r="C666" s="77"/>
      <c r="D666" s="135" t="str">
        <f t="array" ref="D666">IFERROR(IF(C666="","",INDEX(PRODUK!$B:$B,MATCH(C666,PRODUK!$A:$A,0))),"")</f>
        <v/>
      </c>
      <c r="E666" s="117"/>
      <c r="F666" s="119">
        <f t="array" ref="F666">IFERROR(IF(C666="",0,INDEX(PRODUK!$F:$F,MATCH(C666,PRODUK!$A:$A,0))),0)</f>
        <v>0</v>
      </c>
      <c r="G666" s="118">
        <f t="shared" si="1"/>
        <v>0</v>
      </c>
      <c r="H666" s="118">
        <f t="array" ref="H666">IFERROR(IF(B666="",0,INDEX(HPP_ENGINE!$J:$J,MATCH(B666,HPP_ENGINE!$A:$A,0))),0)</f>
        <v>0</v>
      </c>
      <c r="I666" s="118">
        <f t="shared" si="2"/>
        <v>0</v>
      </c>
      <c r="J666" s="118">
        <f t="shared" si="3"/>
        <v>0</v>
      </c>
      <c r="K666" s="136">
        <f t="shared" si="4"/>
        <v>0</v>
      </c>
    </row>
    <row r="667" ht="18.0" customHeight="1">
      <c r="A667" s="132"/>
      <c r="B667" s="72"/>
      <c r="C667" s="72"/>
      <c r="D667" s="137" t="str">
        <f t="array" ref="D667">IFERROR(IF(C667="","",INDEX(PRODUK!$B:$B,MATCH(C667,PRODUK!$A:$A,0))),"")</f>
        <v/>
      </c>
      <c r="E667" s="113"/>
      <c r="F667" s="115">
        <f t="array" ref="F667">IFERROR(IF(C667="",0,INDEX(PRODUK!$F:$F,MATCH(C667,PRODUK!$A:$A,0))),0)</f>
        <v>0</v>
      </c>
      <c r="G667" s="114">
        <f t="shared" si="1"/>
        <v>0</v>
      </c>
      <c r="H667" s="114">
        <f t="array" ref="H667">IFERROR(IF(B667="",0,INDEX(HPP_ENGINE!$J:$J,MATCH(B667,HPP_ENGINE!$A:$A,0))),0)</f>
        <v>0</v>
      </c>
      <c r="I667" s="114">
        <f t="shared" si="2"/>
        <v>0</v>
      </c>
      <c r="J667" s="114">
        <f t="shared" si="3"/>
        <v>0</v>
      </c>
      <c r="K667" s="133">
        <f t="shared" si="4"/>
        <v>0</v>
      </c>
    </row>
    <row r="668" ht="18.0" customHeight="1">
      <c r="A668" s="134"/>
      <c r="B668" s="77"/>
      <c r="C668" s="77"/>
      <c r="D668" s="135" t="str">
        <f t="array" ref="D668">IFERROR(IF(C668="","",INDEX(PRODUK!$B:$B,MATCH(C668,PRODUK!$A:$A,0))),"")</f>
        <v/>
      </c>
      <c r="E668" s="117"/>
      <c r="F668" s="119">
        <f t="array" ref="F668">IFERROR(IF(C668="",0,INDEX(PRODUK!$F:$F,MATCH(C668,PRODUK!$A:$A,0))),0)</f>
        <v>0</v>
      </c>
      <c r="G668" s="118">
        <f t="shared" si="1"/>
        <v>0</v>
      </c>
      <c r="H668" s="118">
        <f t="array" ref="H668">IFERROR(IF(B668="",0,INDEX(HPP_ENGINE!$J:$J,MATCH(B668,HPP_ENGINE!$A:$A,0))),0)</f>
        <v>0</v>
      </c>
      <c r="I668" s="118">
        <f t="shared" si="2"/>
        <v>0</v>
      </c>
      <c r="J668" s="118">
        <f t="shared" si="3"/>
        <v>0</v>
      </c>
      <c r="K668" s="136">
        <f t="shared" si="4"/>
        <v>0</v>
      </c>
    </row>
    <row r="669" ht="18.0" customHeight="1">
      <c r="A669" s="132"/>
      <c r="B669" s="72"/>
      <c r="C669" s="72"/>
      <c r="D669" s="137" t="str">
        <f t="array" ref="D669">IFERROR(IF(C669="","",INDEX(PRODUK!$B:$B,MATCH(C669,PRODUK!$A:$A,0))),"")</f>
        <v/>
      </c>
      <c r="E669" s="113"/>
      <c r="F669" s="115">
        <f t="array" ref="F669">IFERROR(IF(C669="",0,INDEX(PRODUK!$F:$F,MATCH(C669,PRODUK!$A:$A,0))),0)</f>
        <v>0</v>
      </c>
      <c r="G669" s="114">
        <f t="shared" si="1"/>
        <v>0</v>
      </c>
      <c r="H669" s="114">
        <f t="array" ref="H669">IFERROR(IF(B669="",0,INDEX(HPP_ENGINE!$J:$J,MATCH(B669,HPP_ENGINE!$A:$A,0))),0)</f>
        <v>0</v>
      </c>
      <c r="I669" s="114">
        <f t="shared" si="2"/>
        <v>0</v>
      </c>
      <c r="J669" s="114">
        <f t="shared" si="3"/>
        <v>0</v>
      </c>
      <c r="K669" s="133">
        <f t="shared" si="4"/>
        <v>0</v>
      </c>
    </row>
    <row r="670" ht="18.0" customHeight="1">
      <c r="A670" s="134"/>
      <c r="B670" s="77"/>
      <c r="C670" s="77"/>
      <c r="D670" s="135" t="str">
        <f t="array" ref="D670">IFERROR(IF(C670="","",INDEX(PRODUK!$B:$B,MATCH(C670,PRODUK!$A:$A,0))),"")</f>
        <v/>
      </c>
      <c r="E670" s="117"/>
      <c r="F670" s="119">
        <f t="array" ref="F670">IFERROR(IF(C670="",0,INDEX(PRODUK!$F:$F,MATCH(C670,PRODUK!$A:$A,0))),0)</f>
        <v>0</v>
      </c>
      <c r="G670" s="118">
        <f t="shared" si="1"/>
        <v>0</v>
      </c>
      <c r="H670" s="118">
        <f t="array" ref="H670">IFERROR(IF(B670="",0,INDEX(HPP_ENGINE!$J:$J,MATCH(B670,HPP_ENGINE!$A:$A,0))),0)</f>
        <v>0</v>
      </c>
      <c r="I670" s="118">
        <f t="shared" si="2"/>
        <v>0</v>
      </c>
      <c r="J670" s="118">
        <f t="shared" si="3"/>
        <v>0</v>
      </c>
      <c r="K670" s="136">
        <f t="shared" si="4"/>
        <v>0</v>
      </c>
    </row>
    <row r="671" ht="18.0" customHeight="1">
      <c r="A671" s="132"/>
      <c r="B671" s="72"/>
      <c r="C671" s="72"/>
      <c r="D671" s="137" t="str">
        <f t="array" ref="D671">IFERROR(IF(C671="","",INDEX(PRODUK!$B:$B,MATCH(C671,PRODUK!$A:$A,0))),"")</f>
        <v/>
      </c>
      <c r="E671" s="113"/>
      <c r="F671" s="115">
        <f t="array" ref="F671">IFERROR(IF(C671="",0,INDEX(PRODUK!$F:$F,MATCH(C671,PRODUK!$A:$A,0))),0)</f>
        <v>0</v>
      </c>
      <c r="G671" s="114">
        <f t="shared" si="1"/>
        <v>0</v>
      </c>
      <c r="H671" s="114">
        <f t="array" ref="H671">IFERROR(IF(B671="",0,INDEX(HPP_ENGINE!$J:$J,MATCH(B671,HPP_ENGINE!$A:$A,0))),0)</f>
        <v>0</v>
      </c>
      <c r="I671" s="114">
        <f t="shared" si="2"/>
        <v>0</v>
      </c>
      <c r="J671" s="114">
        <f t="shared" si="3"/>
        <v>0</v>
      </c>
      <c r="K671" s="133">
        <f t="shared" si="4"/>
        <v>0</v>
      </c>
    </row>
    <row r="672" ht="18.0" customHeight="1">
      <c r="A672" s="134"/>
      <c r="B672" s="77"/>
      <c r="C672" s="77"/>
      <c r="D672" s="135" t="str">
        <f t="array" ref="D672">IFERROR(IF(C672="","",INDEX(PRODUK!$B:$B,MATCH(C672,PRODUK!$A:$A,0))),"")</f>
        <v/>
      </c>
      <c r="E672" s="117"/>
      <c r="F672" s="119">
        <f t="array" ref="F672">IFERROR(IF(C672="",0,INDEX(PRODUK!$F:$F,MATCH(C672,PRODUK!$A:$A,0))),0)</f>
        <v>0</v>
      </c>
      <c r="G672" s="118">
        <f t="shared" si="1"/>
        <v>0</v>
      </c>
      <c r="H672" s="118">
        <f t="array" ref="H672">IFERROR(IF(B672="",0,INDEX(HPP_ENGINE!$J:$J,MATCH(B672,HPP_ENGINE!$A:$A,0))),0)</f>
        <v>0</v>
      </c>
      <c r="I672" s="118">
        <f t="shared" si="2"/>
        <v>0</v>
      </c>
      <c r="J672" s="118">
        <f t="shared" si="3"/>
        <v>0</v>
      </c>
      <c r="K672" s="136">
        <f t="shared" si="4"/>
        <v>0</v>
      </c>
    </row>
    <row r="673" ht="18.0" customHeight="1">
      <c r="A673" s="132"/>
      <c r="B673" s="72"/>
      <c r="C673" s="72"/>
      <c r="D673" s="137" t="str">
        <f t="array" ref="D673">IFERROR(IF(C673="","",INDEX(PRODUK!$B:$B,MATCH(C673,PRODUK!$A:$A,0))),"")</f>
        <v/>
      </c>
      <c r="E673" s="113"/>
      <c r="F673" s="115">
        <f t="array" ref="F673">IFERROR(IF(C673="",0,INDEX(PRODUK!$F:$F,MATCH(C673,PRODUK!$A:$A,0))),0)</f>
        <v>0</v>
      </c>
      <c r="G673" s="114">
        <f t="shared" si="1"/>
        <v>0</v>
      </c>
      <c r="H673" s="114">
        <f t="array" ref="H673">IFERROR(IF(B673="",0,INDEX(HPP_ENGINE!$J:$J,MATCH(B673,HPP_ENGINE!$A:$A,0))),0)</f>
        <v>0</v>
      </c>
      <c r="I673" s="114">
        <f t="shared" si="2"/>
        <v>0</v>
      </c>
      <c r="J673" s="114">
        <f t="shared" si="3"/>
        <v>0</v>
      </c>
      <c r="K673" s="133">
        <f t="shared" si="4"/>
        <v>0</v>
      </c>
    </row>
    <row r="674" ht="18.0" customHeight="1">
      <c r="A674" s="134"/>
      <c r="B674" s="77"/>
      <c r="C674" s="77"/>
      <c r="D674" s="135" t="str">
        <f t="array" ref="D674">IFERROR(IF(C674="","",INDEX(PRODUK!$B:$B,MATCH(C674,PRODUK!$A:$A,0))),"")</f>
        <v/>
      </c>
      <c r="E674" s="117"/>
      <c r="F674" s="119">
        <f t="array" ref="F674">IFERROR(IF(C674="",0,INDEX(PRODUK!$F:$F,MATCH(C674,PRODUK!$A:$A,0))),0)</f>
        <v>0</v>
      </c>
      <c r="G674" s="118">
        <f t="shared" si="1"/>
        <v>0</v>
      </c>
      <c r="H674" s="118">
        <f t="array" ref="H674">IFERROR(IF(B674="",0,INDEX(HPP_ENGINE!$J:$J,MATCH(B674,HPP_ENGINE!$A:$A,0))),0)</f>
        <v>0</v>
      </c>
      <c r="I674" s="118">
        <f t="shared" si="2"/>
        <v>0</v>
      </c>
      <c r="J674" s="118">
        <f t="shared" si="3"/>
        <v>0</v>
      </c>
      <c r="K674" s="136">
        <f t="shared" si="4"/>
        <v>0</v>
      </c>
    </row>
    <row r="675" ht="18.0" customHeight="1">
      <c r="A675" s="132"/>
      <c r="B675" s="72"/>
      <c r="C675" s="72"/>
      <c r="D675" s="137" t="str">
        <f t="array" ref="D675">IFERROR(IF(C675="","",INDEX(PRODUK!$B:$B,MATCH(C675,PRODUK!$A:$A,0))),"")</f>
        <v/>
      </c>
      <c r="E675" s="113"/>
      <c r="F675" s="115">
        <f t="array" ref="F675">IFERROR(IF(C675="",0,INDEX(PRODUK!$F:$F,MATCH(C675,PRODUK!$A:$A,0))),0)</f>
        <v>0</v>
      </c>
      <c r="G675" s="114">
        <f t="shared" si="1"/>
        <v>0</v>
      </c>
      <c r="H675" s="114">
        <f t="array" ref="H675">IFERROR(IF(B675="",0,INDEX(HPP_ENGINE!$J:$J,MATCH(B675,HPP_ENGINE!$A:$A,0))),0)</f>
        <v>0</v>
      </c>
      <c r="I675" s="114">
        <f t="shared" si="2"/>
        <v>0</v>
      </c>
      <c r="J675" s="114">
        <f t="shared" si="3"/>
        <v>0</v>
      </c>
      <c r="K675" s="133">
        <f t="shared" si="4"/>
        <v>0</v>
      </c>
    </row>
    <row r="676" ht="18.0" customHeight="1">
      <c r="A676" s="134"/>
      <c r="B676" s="77"/>
      <c r="C676" s="77"/>
      <c r="D676" s="135" t="str">
        <f t="array" ref="D676">IFERROR(IF(C676="","",INDEX(PRODUK!$B:$B,MATCH(C676,PRODUK!$A:$A,0))),"")</f>
        <v/>
      </c>
      <c r="E676" s="117"/>
      <c r="F676" s="119">
        <f t="array" ref="F676">IFERROR(IF(C676="",0,INDEX(PRODUK!$F:$F,MATCH(C676,PRODUK!$A:$A,0))),0)</f>
        <v>0</v>
      </c>
      <c r="G676" s="118">
        <f t="shared" si="1"/>
        <v>0</v>
      </c>
      <c r="H676" s="118">
        <f t="array" ref="H676">IFERROR(IF(B676="",0,INDEX(HPP_ENGINE!$J:$J,MATCH(B676,HPP_ENGINE!$A:$A,0))),0)</f>
        <v>0</v>
      </c>
      <c r="I676" s="118">
        <f t="shared" si="2"/>
        <v>0</v>
      </c>
      <c r="J676" s="118">
        <f t="shared" si="3"/>
        <v>0</v>
      </c>
      <c r="K676" s="136">
        <f t="shared" si="4"/>
        <v>0</v>
      </c>
    </row>
    <row r="677" ht="18.0" customHeight="1">
      <c r="A677" s="132"/>
      <c r="B677" s="72"/>
      <c r="C677" s="72"/>
      <c r="D677" s="137" t="str">
        <f t="array" ref="D677">IFERROR(IF(C677="","",INDEX(PRODUK!$B:$B,MATCH(C677,PRODUK!$A:$A,0))),"")</f>
        <v/>
      </c>
      <c r="E677" s="113"/>
      <c r="F677" s="115">
        <f t="array" ref="F677">IFERROR(IF(C677="",0,INDEX(PRODUK!$F:$F,MATCH(C677,PRODUK!$A:$A,0))),0)</f>
        <v>0</v>
      </c>
      <c r="G677" s="114">
        <f t="shared" si="1"/>
        <v>0</v>
      </c>
      <c r="H677" s="114">
        <f t="array" ref="H677">IFERROR(IF(B677="",0,INDEX(HPP_ENGINE!$J:$J,MATCH(B677,HPP_ENGINE!$A:$A,0))),0)</f>
        <v>0</v>
      </c>
      <c r="I677" s="114">
        <f t="shared" si="2"/>
        <v>0</v>
      </c>
      <c r="J677" s="114">
        <f t="shared" si="3"/>
        <v>0</v>
      </c>
      <c r="K677" s="133">
        <f t="shared" si="4"/>
        <v>0</v>
      </c>
    </row>
    <row r="678" ht="18.0" customHeight="1">
      <c r="A678" s="134"/>
      <c r="B678" s="77"/>
      <c r="C678" s="77"/>
      <c r="D678" s="135" t="str">
        <f t="array" ref="D678">IFERROR(IF(C678="","",INDEX(PRODUK!$B:$B,MATCH(C678,PRODUK!$A:$A,0))),"")</f>
        <v/>
      </c>
      <c r="E678" s="117"/>
      <c r="F678" s="119">
        <f t="array" ref="F678">IFERROR(IF(C678="",0,INDEX(PRODUK!$F:$F,MATCH(C678,PRODUK!$A:$A,0))),0)</f>
        <v>0</v>
      </c>
      <c r="G678" s="118">
        <f t="shared" si="1"/>
        <v>0</v>
      </c>
      <c r="H678" s="118">
        <f t="array" ref="H678">IFERROR(IF(B678="",0,INDEX(HPP_ENGINE!$J:$J,MATCH(B678,HPP_ENGINE!$A:$A,0))),0)</f>
        <v>0</v>
      </c>
      <c r="I678" s="118">
        <f t="shared" si="2"/>
        <v>0</v>
      </c>
      <c r="J678" s="118">
        <f t="shared" si="3"/>
        <v>0</v>
      </c>
      <c r="K678" s="136">
        <f t="shared" si="4"/>
        <v>0</v>
      </c>
    </row>
    <row r="679" ht="18.0" customHeight="1">
      <c r="A679" s="132"/>
      <c r="B679" s="72"/>
      <c r="C679" s="72"/>
      <c r="D679" s="137" t="str">
        <f t="array" ref="D679">IFERROR(IF(C679="","",INDEX(PRODUK!$B:$B,MATCH(C679,PRODUK!$A:$A,0))),"")</f>
        <v/>
      </c>
      <c r="E679" s="113"/>
      <c r="F679" s="115">
        <f t="array" ref="F679">IFERROR(IF(C679="",0,INDEX(PRODUK!$F:$F,MATCH(C679,PRODUK!$A:$A,0))),0)</f>
        <v>0</v>
      </c>
      <c r="G679" s="114">
        <f t="shared" si="1"/>
        <v>0</v>
      </c>
      <c r="H679" s="114">
        <f t="array" ref="H679">IFERROR(IF(B679="",0,INDEX(HPP_ENGINE!$J:$J,MATCH(B679,HPP_ENGINE!$A:$A,0))),0)</f>
        <v>0</v>
      </c>
      <c r="I679" s="114">
        <f t="shared" si="2"/>
        <v>0</v>
      </c>
      <c r="J679" s="114">
        <f t="shared" si="3"/>
        <v>0</v>
      </c>
      <c r="K679" s="133">
        <f t="shared" si="4"/>
        <v>0</v>
      </c>
    </row>
    <row r="680" ht="18.0" customHeight="1">
      <c r="A680" s="134"/>
      <c r="B680" s="77"/>
      <c r="C680" s="77"/>
      <c r="D680" s="135" t="str">
        <f t="array" ref="D680">IFERROR(IF(C680="","",INDEX(PRODUK!$B:$B,MATCH(C680,PRODUK!$A:$A,0))),"")</f>
        <v/>
      </c>
      <c r="E680" s="117"/>
      <c r="F680" s="119">
        <f t="array" ref="F680">IFERROR(IF(C680="",0,INDEX(PRODUK!$F:$F,MATCH(C680,PRODUK!$A:$A,0))),0)</f>
        <v>0</v>
      </c>
      <c r="G680" s="118">
        <f t="shared" si="1"/>
        <v>0</v>
      </c>
      <c r="H680" s="118">
        <f t="array" ref="H680">IFERROR(IF(B680="",0,INDEX(HPP_ENGINE!$J:$J,MATCH(B680,HPP_ENGINE!$A:$A,0))),0)</f>
        <v>0</v>
      </c>
      <c r="I680" s="118">
        <f t="shared" si="2"/>
        <v>0</v>
      </c>
      <c r="J680" s="118">
        <f t="shared" si="3"/>
        <v>0</v>
      </c>
      <c r="K680" s="136">
        <f t="shared" si="4"/>
        <v>0</v>
      </c>
    </row>
    <row r="681" ht="18.0" customHeight="1">
      <c r="A681" s="132"/>
      <c r="B681" s="72"/>
      <c r="C681" s="72"/>
      <c r="D681" s="137" t="str">
        <f t="array" ref="D681">IFERROR(IF(C681="","",INDEX(PRODUK!$B:$B,MATCH(C681,PRODUK!$A:$A,0))),"")</f>
        <v/>
      </c>
      <c r="E681" s="113"/>
      <c r="F681" s="115">
        <f t="array" ref="F681">IFERROR(IF(C681="",0,INDEX(PRODUK!$F:$F,MATCH(C681,PRODUK!$A:$A,0))),0)</f>
        <v>0</v>
      </c>
      <c r="G681" s="114">
        <f t="shared" si="1"/>
        <v>0</v>
      </c>
      <c r="H681" s="114">
        <f t="array" ref="H681">IFERROR(IF(B681="",0,INDEX(HPP_ENGINE!$J:$J,MATCH(B681,HPP_ENGINE!$A:$A,0))),0)</f>
        <v>0</v>
      </c>
      <c r="I681" s="114">
        <f t="shared" si="2"/>
        <v>0</v>
      </c>
      <c r="J681" s="114">
        <f t="shared" si="3"/>
        <v>0</v>
      </c>
      <c r="K681" s="133">
        <f t="shared" si="4"/>
        <v>0</v>
      </c>
    </row>
    <row r="682" ht="18.0" customHeight="1">
      <c r="A682" s="134"/>
      <c r="B682" s="77"/>
      <c r="C682" s="77"/>
      <c r="D682" s="135" t="str">
        <f t="array" ref="D682">IFERROR(IF(C682="","",INDEX(PRODUK!$B:$B,MATCH(C682,PRODUK!$A:$A,0))),"")</f>
        <v/>
      </c>
      <c r="E682" s="117"/>
      <c r="F682" s="119">
        <f t="array" ref="F682">IFERROR(IF(C682="",0,INDEX(PRODUK!$F:$F,MATCH(C682,PRODUK!$A:$A,0))),0)</f>
        <v>0</v>
      </c>
      <c r="G682" s="118">
        <f t="shared" si="1"/>
        <v>0</v>
      </c>
      <c r="H682" s="118">
        <f t="array" ref="H682">IFERROR(IF(B682="",0,INDEX(HPP_ENGINE!$J:$J,MATCH(B682,HPP_ENGINE!$A:$A,0))),0)</f>
        <v>0</v>
      </c>
      <c r="I682" s="118">
        <f t="shared" si="2"/>
        <v>0</v>
      </c>
      <c r="J682" s="118">
        <f t="shared" si="3"/>
        <v>0</v>
      </c>
      <c r="K682" s="136">
        <f t="shared" si="4"/>
        <v>0</v>
      </c>
    </row>
    <row r="683" ht="18.0" customHeight="1">
      <c r="A683" s="132"/>
      <c r="B683" s="72"/>
      <c r="C683" s="72"/>
      <c r="D683" s="137" t="str">
        <f t="array" ref="D683">IFERROR(IF(C683="","",INDEX(PRODUK!$B:$B,MATCH(C683,PRODUK!$A:$A,0))),"")</f>
        <v/>
      </c>
      <c r="E683" s="113"/>
      <c r="F683" s="115">
        <f t="array" ref="F683">IFERROR(IF(C683="",0,INDEX(PRODUK!$F:$F,MATCH(C683,PRODUK!$A:$A,0))),0)</f>
        <v>0</v>
      </c>
      <c r="G683" s="114">
        <f t="shared" si="1"/>
        <v>0</v>
      </c>
      <c r="H683" s="114">
        <f t="array" ref="H683">IFERROR(IF(B683="",0,INDEX(HPP_ENGINE!$J:$J,MATCH(B683,HPP_ENGINE!$A:$A,0))),0)</f>
        <v>0</v>
      </c>
      <c r="I683" s="114">
        <f t="shared" si="2"/>
        <v>0</v>
      </c>
      <c r="J683" s="114">
        <f t="shared" si="3"/>
        <v>0</v>
      </c>
      <c r="K683" s="133">
        <f t="shared" si="4"/>
        <v>0</v>
      </c>
    </row>
    <row r="684" ht="18.0" customHeight="1">
      <c r="A684" s="134"/>
      <c r="B684" s="77"/>
      <c r="C684" s="77"/>
      <c r="D684" s="135" t="str">
        <f t="array" ref="D684">IFERROR(IF(C684="","",INDEX(PRODUK!$B:$B,MATCH(C684,PRODUK!$A:$A,0))),"")</f>
        <v/>
      </c>
      <c r="E684" s="117"/>
      <c r="F684" s="119">
        <f t="array" ref="F684">IFERROR(IF(C684="",0,INDEX(PRODUK!$F:$F,MATCH(C684,PRODUK!$A:$A,0))),0)</f>
        <v>0</v>
      </c>
      <c r="G684" s="118">
        <f t="shared" si="1"/>
        <v>0</v>
      </c>
      <c r="H684" s="118">
        <f t="array" ref="H684">IFERROR(IF(B684="",0,INDEX(HPP_ENGINE!$J:$J,MATCH(B684,HPP_ENGINE!$A:$A,0))),0)</f>
        <v>0</v>
      </c>
      <c r="I684" s="118">
        <f t="shared" si="2"/>
        <v>0</v>
      </c>
      <c r="J684" s="118">
        <f t="shared" si="3"/>
        <v>0</v>
      </c>
      <c r="K684" s="136">
        <f t="shared" si="4"/>
        <v>0</v>
      </c>
    </row>
    <row r="685" ht="18.0" customHeight="1">
      <c r="A685" s="132"/>
      <c r="B685" s="72"/>
      <c r="C685" s="72"/>
      <c r="D685" s="137" t="str">
        <f t="array" ref="D685">IFERROR(IF(C685="","",INDEX(PRODUK!$B:$B,MATCH(C685,PRODUK!$A:$A,0))),"")</f>
        <v/>
      </c>
      <c r="E685" s="113"/>
      <c r="F685" s="115">
        <f t="array" ref="F685">IFERROR(IF(C685="",0,INDEX(PRODUK!$F:$F,MATCH(C685,PRODUK!$A:$A,0))),0)</f>
        <v>0</v>
      </c>
      <c r="G685" s="114">
        <f t="shared" si="1"/>
        <v>0</v>
      </c>
      <c r="H685" s="114">
        <f t="array" ref="H685">IFERROR(IF(B685="",0,INDEX(HPP_ENGINE!$J:$J,MATCH(B685,HPP_ENGINE!$A:$A,0))),0)</f>
        <v>0</v>
      </c>
      <c r="I685" s="114">
        <f t="shared" si="2"/>
        <v>0</v>
      </c>
      <c r="J685" s="114">
        <f t="shared" si="3"/>
        <v>0</v>
      </c>
      <c r="K685" s="133">
        <f t="shared" si="4"/>
        <v>0</v>
      </c>
    </row>
    <row r="686" ht="18.0" customHeight="1">
      <c r="A686" s="134"/>
      <c r="B686" s="77"/>
      <c r="C686" s="77"/>
      <c r="D686" s="135" t="str">
        <f t="array" ref="D686">IFERROR(IF(C686="","",INDEX(PRODUK!$B:$B,MATCH(C686,PRODUK!$A:$A,0))),"")</f>
        <v/>
      </c>
      <c r="E686" s="117"/>
      <c r="F686" s="119">
        <f t="array" ref="F686">IFERROR(IF(C686="",0,INDEX(PRODUK!$F:$F,MATCH(C686,PRODUK!$A:$A,0))),0)</f>
        <v>0</v>
      </c>
      <c r="G686" s="118">
        <f t="shared" si="1"/>
        <v>0</v>
      </c>
      <c r="H686" s="118">
        <f t="array" ref="H686">IFERROR(IF(B686="",0,INDEX(HPP_ENGINE!$J:$J,MATCH(B686,HPP_ENGINE!$A:$A,0))),0)</f>
        <v>0</v>
      </c>
      <c r="I686" s="118">
        <f t="shared" si="2"/>
        <v>0</v>
      </c>
      <c r="J686" s="118">
        <f t="shared" si="3"/>
        <v>0</v>
      </c>
      <c r="K686" s="136">
        <f t="shared" si="4"/>
        <v>0</v>
      </c>
    </row>
    <row r="687" ht="18.0" customHeight="1">
      <c r="A687" s="132"/>
      <c r="B687" s="72"/>
      <c r="C687" s="72"/>
      <c r="D687" s="137" t="str">
        <f t="array" ref="D687">IFERROR(IF(C687="","",INDEX(PRODUK!$B:$B,MATCH(C687,PRODUK!$A:$A,0))),"")</f>
        <v/>
      </c>
      <c r="E687" s="113"/>
      <c r="F687" s="115">
        <f t="array" ref="F687">IFERROR(IF(C687="",0,INDEX(PRODUK!$F:$F,MATCH(C687,PRODUK!$A:$A,0))),0)</f>
        <v>0</v>
      </c>
      <c r="G687" s="114">
        <f t="shared" si="1"/>
        <v>0</v>
      </c>
      <c r="H687" s="114">
        <f t="array" ref="H687">IFERROR(IF(B687="",0,INDEX(HPP_ENGINE!$J:$J,MATCH(B687,HPP_ENGINE!$A:$A,0))),0)</f>
        <v>0</v>
      </c>
      <c r="I687" s="114">
        <f t="shared" si="2"/>
        <v>0</v>
      </c>
      <c r="J687" s="114">
        <f t="shared" si="3"/>
        <v>0</v>
      </c>
      <c r="K687" s="133">
        <f t="shared" si="4"/>
        <v>0</v>
      </c>
    </row>
    <row r="688" ht="18.0" customHeight="1">
      <c r="A688" s="134"/>
      <c r="B688" s="77"/>
      <c r="C688" s="77"/>
      <c r="D688" s="135" t="str">
        <f t="array" ref="D688">IFERROR(IF(C688="","",INDEX(PRODUK!$B:$B,MATCH(C688,PRODUK!$A:$A,0))),"")</f>
        <v/>
      </c>
      <c r="E688" s="117"/>
      <c r="F688" s="119">
        <f t="array" ref="F688">IFERROR(IF(C688="",0,INDEX(PRODUK!$F:$F,MATCH(C688,PRODUK!$A:$A,0))),0)</f>
        <v>0</v>
      </c>
      <c r="G688" s="118">
        <f t="shared" si="1"/>
        <v>0</v>
      </c>
      <c r="H688" s="118">
        <f t="array" ref="H688">IFERROR(IF(B688="",0,INDEX(HPP_ENGINE!$J:$J,MATCH(B688,HPP_ENGINE!$A:$A,0))),0)</f>
        <v>0</v>
      </c>
      <c r="I688" s="118">
        <f t="shared" si="2"/>
        <v>0</v>
      </c>
      <c r="J688" s="118">
        <f t="shared" si="3"/>
        <v>0</v>
      </c>
      <c r="K688" s="136">
        <f t="shared" si="4"/>
        <v>0</v>
      </c>
    </row>
    <row r="689" ht="18.0" customHeight="1">
      <c r="A689" s="132"/>
      <c r="B689" s="72"/>
      <c r="C689" s="72"/>
      <c r="D689" s="137" t="str">
        <f t="array" ref="D689">IFERROR(IF(C689="","",INDEX(PRODUK!$B:$B,MATCH(C689,PRODUK!$A:$A,0))),"")</f>
        <v/>
      </c>
      <c r="E689" s="113"/>
      <c r="F689" s="115">
        <f t="array" ref="F689">IFERROR(IF(C689="",0,INDEX(PRODUK!$F:$F,MATCH(C689,PRODUK!$A:$A,0))),0)</f>
        <v>0</v>
      </c>
      <c r="G689" s="114">
        <f t="shared" si="1"/>
        <v>0</v>
      </c>
      <c r="H689" s="114">
        <f t="array" ref="H689">IFERROR(IF(B689="",0,INDEX(HPP_ENGINE!$J:$J,MATCH(B689,HPP_ENGINE!$A:$A,0))),0)</f>
        <v>0</v>
      </c>
      <c r="I689" s="114">
        <f t="shared" si="2"/>
        <v>0</v>
      </c>
      <c r="J689" s="114">
        <f t="shared" si="3"/>
        <v>0</v>
      </c>
      <c r="K689" s="133">
        <f t="shared" si="4"/>
        <v>0</v>
      </c>
    </row>
    <row r="690" ht="18.0" customHeight="1">
      <c r="A690" s="134"/>
      <c r="B690" s="77"/>
      <c r="C690" s="77"/>
      <c r="D690" s="135" t="str">
        <f t="array" ref="D690">IFERROR(IF(C690="","",INDEX(PRODUK!$B:$B,MATCH(C690,PRODUK!$A:$A,0))),"")</f>
        <v/>
      </c>
      <c r="E690" s="117"/>
      <c r="F690" s="119">
        <f t="array" ref="F690">IFERROR(IF(C690="",0,INDEX(PRODUK!$F:$F,MATCH(C690,PRODUK!$A:$A,0))),0)</f>
        <v>0</v>
      </c>
      <c r="G690" s="118">
        <f t="shared" si="1"/>
        <v>0</v>
      </c>
      <c r="H690" s="118">
        <f t="array" ref="H690">IFERROR(IF(B690="",0,INDEX(HPP_ENGINE!$J:$J,MATCH(B690,HPP_ENGINE!$A:$A,0))),0)</f>
        <v>0</v>
      </c>
      <c r="I690" s="118">
        <f t="shared" si="2"/>
        <v>0</v>
      </c>
      <c r="J690" s="118">
        <f t="shared" si="3"/>
        <v>0</v>
      </c>
      <c r="K690" s="136">
        <f t="shared" si="4"/>
        <v>0</v>
      </c>
    </row>
    <row r="691" ht="18.0" customHeight="1">
      <c r="A691" s="132"/>
      <c r="B691" s="72"/>
      <c r="C691" s="72"/>
      <c r="D691" s="137" t="str">
        <f t="array" ref="D691">IFERROR(IF(C691="","",INDEX(PRODUK!$B:$B,MATCH(C691,PRODUK!$A:$A,0))),"")</f>
        <v/>
      </c>
      <c r="E691" s="113"/>
      <c r="F691" s="115">
        <f t="array" ref="F691">IFERROR(IF(C691="",0,INDEX(PRODUK!$F:$F,MATCH(C691,PRODUK!$A:$A,0))),0)</f>
        <v>0</v>
      </c>
      <c r="G691" s="114">
        <f t="shared" si="1"/>
        <v>0</v>
      </c>
      <c r="H691" s="114">
        <f t="array" ref="H691">IFERROR(IF(B691="",0,INDEX(HPP_ENGINE!$J:$J,MATCH(B691,HPP_ENGINE!$A:$A,0))),0)</f>
        <v>0</v>
      </c>
      <c r="I691" s="114">
        <f t="shared" si="2"/>
        <v>0</v>
      </c>
      <c r="J691" s="114">
        <f t="shared" si="3"/>
        <v>0</v>
      </c>
      <c r="K691" s="133">
        <f t="shared" si="4"/>
        <v>0</v>
      </c>
    </row>
    <row r="692" ht="18.0" customHeight="1">
      <c r="A692" s="134"/>
      <c r="B692" s="77"/>
      <c r="C692" s="77"/>
      <c r="D692" s="135" t="str">
        <f t="array" ref="D692">IFERROR(IF(C692="","",INDEX(PRODUK!$B:$B,MATCH(C692,PRODUK!$A:$A,0))),"")</f>
        <v/>
      </c>
      <c r="E692" s="117"/>
      <c r="F692" s="119">
        <f t="array" ref="F692">IFERROR(IF(C692="",0,INDEX(PRODUK!$F:$F,MATCH(C692,PRODUK!$A:$A,0))),0)</f>
        <v>0</v>
      </c>
      <c r="G692" s="118">
        <f t="shared" si="1"/>
        <v>0</v>
      </c>
      <c r="H692" s="118">
        <f t="array" ref="H692">IFERROR(IF(B692="",0,INDEX(HPP_ENGINE!$J:$J,MATCH(B692,HPP_ENGINE!$A:$A,0))),0)</f>
        <v>0</v>
      </c>
      <c r="I692" s="118">
        <f t="shared" si="2"/>
        <v>0</v>
      </c>
      <c r="J692" s="118">
        <f t="shared" si="3"/>
        <v>0</v>
      </c>
      <c r="K692" s="136">
        <f t="shared" si="4"/>
        <v>0</v>
      </c>
    </row>
    <row r="693" ht="18.0" customHeight="1">
      <c r="A693" s="132"/>
      <c r="B693" s="72"/>
      <c r="C693" s="72"/>
      <c r="D693" s="137" t="str">
        <f t="array" ref="D693">IFERROR(IF(C693="","",INDEX(PRODUK!$B:$B,MATCH(C693,PRODUK!$A:$A,0))),"")</f>
        <v/>
      </c>
      <c r="E693" s="113"/>
      <c r="F693" s="115">
        <f t="array" ref="F693">IFERROR(IF(C693="",0,INDEX(PRODUK!$F:$F,MATCH(C693,PRODUK!$A:$A,0))),0)</f>
        <v>0</v>
      </c>
      <c r="G693" s="114">
        <f t="shared" si="1"/>
        <v>0</v>
      </c>
      <c r="H693" s="114">
        <f t="array" ref="H693">IFERROR(IF(B693="",0,INDEX(HPP_ENGINE!$J:$J,MATCH(B693,HPP_ENGINE!$A:$A,0))),0)</f>
        <v>0</v>
      </c>
      <c r="I693" s="114">
        <f t="shared" si="2"/>
        <v>0</v>
      </c>
      <c r="J693" s="114">
        <f t="shared" si="3"/>
        <v>0</v>
      </c>
      <c r="K693" s="133">
        <f t="shared" si="4"/>
        <v>0</v>
      </c>
    </row>
    <row r="694" ht="18.0" customHeight="1">
      <c r="A694" s="134"/>
      <c r="B694" s="77"/>
      <c r="C694" s="77"/>
      <c r="D694" s="135" t="str">
        <f t="array" ref="D694">IFERROR(IF(C694="","",INDEX(PRODUK!$B:$B,MATCH(C694,PRODUK!$A:$A,0))),"")</f>
        <v/>
      </c>
      <c r="E694" s="117"/>
      <c r="F694" s="119">
        <f t="array" ref="F694">IFERROR(IF(C694="",0,INDEX(PRODUK!$F:$F,MATCH(C694,PRODUK!$A:$A,0))),0)</f>
        <v>0</v>
      </c>
      <c r="G694" s="118">
        <f t="shared" si="1"/>
        <v>0</v>
      </c>
      <c r="H694" s="118">
        <f t="array" ref="H694">IFERROR(IF(B694="",0,INDEX(HPP_ENGINE!$J:$J,MATCH(B694,HPP_ENGINE!$A:$A,0))),0)</f>
        <v>0</v>
      </c>
      <c r="I694" s="118">
        <f t="shared" si="2"/>
        <v>0</v>
      </c>
      <c r="J694" s="118">
        <f t="shared" si="3"/>
        <v>0</v>
      </c>
      <c r="K694" s="136">
        <f t="shared" si="4"/>
        <v>0</v>
      </c>
    </row>
    <row r="695" ht="18.0" customHeight="1">
      <c r="A695" s="132"/>
      <c r="B695" s="72"/>
      <c r="C695" s="72"/>
      <c r="D695" s="137" t="str">
        <f t="array" ref="D695">IFERROR(IF(C695="","",INDEX(PRODUK!$B:$B,MATCH(C695,PRODUK!$A:$A,0))),"")</f>
        <v/>
      </c>
      <c r="E695" s="113"/>
      <c r="F695" s="115">
        <f t="array" ref="F695">IFERROR(IF(C695="",0,INDEX(PRODUK!$F:$F,MATCH(C695,PRODUK!$A:$A,0))),0)</f>
        <v>0</v>
      </c>
      <c r="G695" s="114">
        <f t="shared" si="1"/>
        <v>0</v>
      </c>
      <c r="H695" s="114">
        <f t="array" ref="H695">IFERROR(IF(B695="",0,INDEX(HPP_ENGINE!$J:$J,MATCH(B695,HPP_ENGINE!$A:$A,0))),0)</f>
        <v>0</v>
      </c>
      <c r="I695" s="114">
        <f t="shared" si="2"/>
        <v>0</v>
      </c>
      <c r="J695" s="114">
        <f t="shared" si="3"/>
        <v>0</v>
      </c>
      <c r="K695" s="133">
        <f t="shared" si="4"/>
        <v>0</v>
      </c>
    </row>
    <row r="696" ht="18.0" customHeight="1">
      <c r="A696" s="134"/>
      <c r="B696" s="77"/>
      <c r="C696" s="77"/>
      <c r="D696" s="135" t="str">
        <f t="array" ref="D696">IFERROR(IF(C696="","",INDEX(PRODUK!$B:$B,MATCH(C696,PRODUK!$A:$A,0))),"")</f>
        <v/>
      </c>
      <c r="E696" s="117"/>
      <c r="F696" s="119">
        <f t="array" ref="F696">IFERROR(IF(C696="",0,INDEX(PRODUK!$F:$F,MATCH(C696,PRODUK!$A:$A,0))),0)</f>
        <v>0</v>
      </c>
      <c r="G696" s="118">
        <f t="shared" si="1"/>
        <v>0</v>
      </c>
      <c r="H696" s="118">
        <f t="array" ref="H696">IFERROR(IF(B696="",0,INDEX(HPP_ENGINE!$J:$J,MATCH(B696,HPP_ENGINE!$A:$A,0))),0)</f>
        <v>0</v>
      </c>
      <c r="I696" s="118">
        <f t="shared" si="2"/>
        <v>0</v>
      </c>
      <c r="J696" s="118">
        <f t="shared" si="3"/>
        <v>0</v>
      </c>
      <c r="K696" s="136">
        <f t="shared" si="4"/>
        <v>0</v>
      </c>
    </row>
    <row r="697" ht="18.0" customHeight="1">
      <c r="A697" s="132"/>
      <c r="B697" s="72"/>
      <c r="C697" s="72"/>
      <c r="D697" s="137" t="str">
        <f t="array" ref="D697">IFERROR(IF(C697="","",INDEX(PRODUK!$B:$B,MATCH(C697,PRODUK!$A:$A,0))),"")</f>
        <v/>
      </c>
      <c r="E697" s="113"/>
      <c r="F697" s="115">
        <f t="array" ref="F697">IFERROR(IF(C697="",0,INDEX(PRODUK!$F:$F,MATCH(C697,PRODUK!$A:$A,0))),0)</f>
        <v>0</v>
      </c>
      <c r="G697" s="114">
        <f t="shared" si="1"/>
        <v>0</v>
      </c>
      <c r="H697" s="114">
        <f t="array" ref="H697">IFERROR(IF(B697="",0,INDEX(HPP_ENGINE!$J:$J,MATCH(B697,HPP_ENGINE!$A:$A,0))),0)</f>
        <v>0</v>
      </c>
      <c r="I697" s="114">
        <f t="shared" si="2"/>
        <v>0</v>
      </c>
      <c r="J697" s="114">
        <f t="shared" si="3"/>
        <v>0</v>
      </c>
      <c r="K697" s="133">
        <f t="shared" si="4"/>
        <v>0</v>
      </c>
    </row>
    <row r="698" ht="18.0" customHeight="1">
      <c r="A698" s="134"/>
      <c r="B698" s="77"/>
      <c r="C698" s="77"/>
      <c r="D698" s="135" t="str">
        <f t="array" ref="D698">IFERROR(IF(C698="","",INDEX(PRODUK!$B:$B,MATCH(C698,PRODUK!$A:$A,0))),"")</f>
        <v/>
      </c>
      <c r="E698" s="117"/>
      <c r="F698" s="119">
        <f t="array" ref="F698">IFERROR(IF(C698="",0,INDEX(PRODUK!$F:$F,MATCH(C698,PRODUK!$A:$A,0))),0)</f>
        <v>0</v>
      </c>
      <c r="G698" s="118">
        <f t="shared" si="1"/>
        <v>0</v>
      </c>
      <c r="H698" s="118">
        <f t="array" ref="H698">IFERROR(IF(B698="",0,INDEX(HPP_ENGINE!$J:$J,MATCH(B698,HPP_ENGINE!$A:$A,0))),0)</f>
        <v>0</v>
      </c>
      <c r="I698" s="118">
        <f t="shared" si="2"/>
        <v>0</v>
      </c>
      <c r="J698" s="118">
        <f t="shared" si="3"/>
        <v>0</v>
      </c>
      <c r="K698" s="136">
        <f t="shared" si="4"/>
        <v>0</v>
      </c>
    </row>
    <row r="699" ht="18.0" customHeight="1">
      <c r="A699" s="132"/>
      <c r="B699" s="72"/>
      <c r="C699" s="72"/>
      <c r="D699" s="137" t="str">
        <f t="array" ref="D699">IFERROR(IF(C699="","",INDEX(PRODUK!$B:$B,MATCH(C699,PRODUK!$A:$A,0))),"")</f>
        <v/>
      </c>
      <c r="E699" s="113"/>
      <c r="F699" s="115">
        <f t="array" ref="F699">IFERROR(IF(C699="",0,INDEX(PRODUK!$F:$F,MATCH(C699,PRODUK!$A:$A,0))),0)</f>
        <v>0</v>
      </c>
      <c r="G699" s="114">
        <f t="shared" si="1"/>
        <v>0</v>
      </c>
      <c r="H699" s="114">
        <f t="array" ref="H699">IFERROR(IF(B699="",0,INDEX(HPP_ENGINE!$J:$J,MATCH(B699,HPP_ENGINE!$A:$A,0))),0)</f>
        <v>0</v>
      </c>
      <c r="I699" s="114">
        <f t="shared" si="2"/>
        <v>0</v>
      </c>
      <c r="J699" s="114">
        <f t="shared" si="3"/>
        <v>0</v>
      </c>
      <c r="K699" s="133">
        <f t="shared" si="4"/>
        <v>0</v>
      </c>
    </row>
    <row r="700" ht="18.0" customHeight="1">
      <c r="A700" s="134"/>
      <c r="B700" s="77"/>
      <c r="C700" s="77"/>
      <c r="D700" s="135" t="str">
        <f t="array" ref="D700">IFERROR(IF(C700="","",INDEX(PRODUK!$B:$B,MATCH(C700,PRODUK!$A:$A,0))),"")</f>
        <v/>
      </c>
      <c r="E700" s="117"/>
      <c r="F700" s="119">
        <f t="array" ref="F700">IFERROR(IF(C700="",0,INDEX(PRODUK!$F:$F,MATCH(C700,PRODUK!$A:$A,0))),0)</f>
        <v>0</v>
      </c>
      <c r="G700" s="118">
        <f t="shared" si="1"/>
        <v>0</v>
      </c>
      <c r="H700" s="118">
        <f t="array" ref="H700">IFERROR(IF(B700="",0,INDEX(HPP_ENGINE!$J:$J,MATCH(B700,HPP_ENGINE!$A:$A,0))),0)</f>
        <v>0</v>
      </c>
      <c r="I700" s="118">
        <f t="shared" si="2"/>
        <v>0</v>
      </c>
      <c r="J700" s="118">
        <f t="shared" si="3"/>
        <v>0</v>
      </c>
      <c r="K700" s="136">
        <f t="shared" si="4"/>
        <v>0</v>
      </c>
    </row>
    <row r="701" ht="18.0" customHeight="1">
      <c r="A701" s="132"/>
      <c r="B701" s="72"/>
      <c r="C701" s="72"/>
      <c r="D701" s="137" t="str">
        <f t="array" ref="D701">IFERROR(IF(C701="","",INDEX(PRODUK!$B:$B,MATCH(C701,PRODUK!$A:$A,0))),"")</f>
        <v/>
      </c>
      <c r="E701" s="113"/>
      <c r="F701" s="115">
        <f t="array" ref="F701">IFERROR(IF(C701="",0,INDEX(PRODUK!$F:$F,MATCH(C701,PRODUK!$A:$A,0))),0)</f>
        <v>0</v>
      </c>
      <c r="G701" s="114">
        <f t="shared" si="1"/>
        <v>0</v>
      </c>
      <c r="H701" s="114">
        <f t="array" ref="H701">IFERROR(IF(B701="",0,INDEX(HPP_ENGINE!$J:$J,MATCH(B701,HPP_ENGINE!$A:$A,0))),0)</f>
        <v>0</v>
      </c>
      <c r="I701" s="114">
        <f t="shared" si="2"/>
        <v>0</v>
      </c>
      <c r="J701" s="114">
        <f t="shared" si="3"/>
        <v>0</v>
      </c>
      <c r="K701" s="133">
        <f t="shared" si="4"/>
        <v>0</v>
      </c>
    </row>
    <row r="702" ht="18.0" customHeight="1">
      <c r="A702" s="134"/>
      <c r="B702" s="77"/>
      <c r="C702" s="77"/>
      <c r="D702" s="135" t="str">
        <f t="array" ref="D702">IFERROR(IF(C702="","",INDEX(PRODUK!$B:$B,MATCH(C702,PRODUK!$A:$A,0))),"")</f>
        <v/>
      </c>
      <c r="E702" s="117"/>
      <c r="F702" s="119">
        <f t="array" ref="F702">IFERROR(IF(C702="",0,INDEX(PRODUK!$F:$F,MATCH(C702,PRODUK!$A:$A,0))),0)</f>
        <v>0</v>
      </c>
      <c r="G702" s="118">
        <f t="shared" si="1"/>
        <v>0</v>
      </c>
      <c r="H702" s="118">
        <f t="array" ref="H702">IFERROR(IF(B702="",0,INDEX(HPP_ENGINE!$J:$J,MATCH(B702,HPP_ENGINE!$A:$A,0))),0)</f>
        <v>0</v>
      </c>
      <c r="I702" s="118">
        <f t="shared" si="2"/>
        <v>0</v>
      </c>
      <c r="J702" s="118">
        <f t="shared" si="3"/>
        <v>0</v>
      </c>
      <c r="K702" s="136">
        <f t="shared" si="4"/>
        <v>0</v>
      </c>
    </row>
    <row r="703" ht="18.0" customHeight="1">
      <c r="A703" s="132"/>
      <c r="B703" s="72"/>
      <c r="C703" s="72"/>
      <c r="D703" s="137" t="str">
        <f t="array" ref="D703">IFERROR(IF(C703="","",INDEX(PRODUK!$B:$B,MATCH(C703,PRODUK!$A:$A,0))),"")</f>
        <v/>
      </c>
      <c r="E703" s="113"/>
      <c r="F703" s="115">
        <f t="array" ref="F703">IFERROR(IF(C703="",0,INDEX(PRODUK!$F:$F,MATCH(C703,PRODUK!$A:$A,0))),0)</f>
        <v>0</v>
      </c>
      <c r="G703" s="114">
        <f t="shared" si="1"/>
        <v>0</v>
      </c>
      <c r="H703" s="114">
        <f t="array" ref="H703">IFERROR(IF(B703="",0,INDEX(HPP_ENGINE!$J:$J,MATCH(B703,HPP_ENGINE!$A:$A,0))),0)</f>
        <v>0</v>
      </c>
      <c r="I703" s="114">
        <f t="shared" si="2"/>
        <v>0</v>
      </c>
      <c r="J703" s="114">
        <f t="shared" si="3"/>
        <v>0</v>
      </c>
      <c r="K703" s="133">
        <f t="shared" si="4"/>
        <v>0</v>
      </c>
    </row>
    <row r="704" ht="18.0" customHeight="1">
      <c r="A704" s="134"/>
      <c r="B704" s="77"/>
      <c r="C704" s="77"/>
      <c r="D704" s="135" t="str">
        <f t="array" ref="D704">IFERROR(IF(C704="","",INDEX(PRODUK!$B:$B,MATCH(C704,PRODUK!$A:$A,0))),"")</f>
        <v/>
      </c>
      <c r="E704" s="117"/>
      <c r="F704" s="119">
        <f t="array" ref="F704">IFERROR(IF(C704="",0,INDEX(PRODUK!$F:$F,MATCH(C704,PRODUK!$A:$A,0))),0)</f>
        <v>0</v>
      </c>
      <c r="G704" s="118">
        <f t="shared" si="1"/>
        <v>0</v>
      </c>
      <c r="H704" s="118">
        <f t="array" ref="H704">IFERROR(IF(B704="",0,INDEX(HPP_ENGINE!$J:$J,MATCH(B704,HPP_ENGINE!$A:$A,0))),0)</f>
        <v>0</v>
      </c>
      <c r="I704" s="118">
        <f t="shared" si="2"/>
        <v>0</v>
      </c>
      <c r="J704" s="118">
        <f t="shared" si="3"/>
        <v>0</v>
      </c>
      <c r="K704" s="136">
        <f t="shared" si="4"/>
        <v>0</v>
      </c>
    </row>
    <row r="705" ht="18.0" customHeight="1">
      <c r="A705" s="132"/>
      <c r="B705" s="72"/>
      <c r="C705" s="72"/>
      <c r="D705" s="137" t="str">
        <f t="array" ref="D705">IFERROR(IF(C705="","",INDEX(PRODUK!$B:$B,MATCH(C705,PRODUK!$A:$A,0))),"")</f>
        <v/>
      </c>
      <c r="E705" s="113"/>
      <c r="F705" s="115">
        <f t="array" ref="F705">IFERROR(IF(C705="",0,INDEX(PRODUK!$F:$F,MATCH(C705,PRODUK!$A:$A,0))),0)</f>
        <v>0</v>
      </c>
      <c r="G705" s="114">
        <f t="shared" si="1"/>
        <v>0</v>
      </c>
      <c r="H705" s="114">
        <f t="array" ref="H705">IFERROR(IF(B705="",0,INDEX(HPP_ENGINE!$J:$J,MATCH(B705,HPP_ENGINE!$A:$A,0))),0)</f>
        <v>0</v>
      </c>
      <c r="I705" s="114">
        <f t="shared" si="2"/>
        <v>0</v>
      </c>
      <c r="J705" s="114">
        <f t="shared" si="3"/>
        <v>0</v>
      </c>
      <c r="K705" s="133">
        <f t="shared" si="4"/>
        <v>0</v>
      </c>
    </row>
    <row r="706" ht="18.0" customHeight="1">
      <c r="A706" s="134"/>
      <c r="B706" s="77"/>
      <c r="C706" s="77"/>
      <c r="D706" s="135" t="str">
        <f t="array" ref="D706">IFERROR(IF(C706="","",INDEX(PRODUK!$B:$B,MATCH(C706,PRODUK!$A:$A,0))),"")</f>
        <v/>
      </c>
      <c r="E706" s="117"/>
      <c r="F706" s="119">
        <f t="array" ref="F706">IFERROR(IF(C706="",0,INDEX(PRODUK!$F:$F,MATCH(C706,PRODUK!$A:$A,0))),0)</f>
        <v>0</v>
      </c>
      <c r="G706" s="118">
        <f t="shared" si="1"/>
        <v>0</v>
      </c>
      <c r="H706" s="118">
        <f t="array" ref="H706">IFERROR(IF(B706="",0,INDEX(HPP_ENGINE!$J:$J,MATCH(B706,HPP_ENGINE!$A:$A,0))),0)</f>
        <v>0</v>
      </c>
      <c r="I706" s="118">
        <f t="shared" si="2"/>
        <v>0</v>
      </c>
      <c r="J706" s="118">
        <f t="shared" si="3"/>
        <v>0</v>
      </c>
      <c r="K706" s="136">
        <f t="shared" si="4"/>
        <v>0</v>
      </c>
    </row>
    <row r="707" ht="18.0" customHeight="1">
      <c r="A707" s="132"/>
      <c r="B707" s="72"/>
      <c r="C707" s="72"/>
      <c r="D707" s="137" t="str">
        <f t="array" ref="D707">IFERROR(IF(C707="","",INDEX(PRODUK!$B:$B,MATCH(C707,PRODUK!$A:$A,0))),"")</f>
        <v/>
      </c>
      <c r="E707" s="113"/>
      <c r="F707" s="115">
        <f t="array" ref="F707">IFERROR(IF(C707="",0,INDEX(PRODUK!$F:$F,MATCH(C707,PRODUK!$A:$A,0))),0)</f>
        <v>0</v>
      </c>
      <c r="G707" s="114">
        <f t="shared" si="1"/>
        <v>0</v>
      </c>
      <c r="H707" s="114">
        <f t="array" ref="H707">IFERROR(IF(B707="",0,INDEX(HPP_ENGINE!$J:$J,MATCH(B707,HPP_ENGINE!$A:$A,0))),0)</f>
        <v>0</v>
      </c>
      <c r="I707" s="114">
        <f t="shared" si="2"/>
        <v>0</v>
      </c>
      <c r="J707" s="114">
        <f t="shared" si="3"/>
        <v>0</v>
      </c>
      <c r="K707" s="133">
        <f t="shared" si="4"/>
        <v>0</v>
      </c>
    </row>
    <row r="708" ht="18.0" customHeight="1">
      <c r="A708" s="134"/>
      <c r="B708" s="77"/>
      <c r="C708" s="77"/>
      <c r="D708" s="135" t="str">
        <f t="array" ref="D708">IFERROR(IF(C708="","",INDEX(PRODUK!$B:$B,MATCH(C708,PRODUK!$A:$A,0))),"")</f>
        <v/>
      </c>
      <c r="E708" s="117"/>
      <c r="F708" s="119">
        <f t="array" ref="F708">IFERROR(IF(C708="",0,INDEX(PRODUK!$F:$F,MATCH(C708,PRODUK!$A:$A,0))),0)</f>
        <v>0</v>
      </c>
      <c r="G708" s="118">
        <f t="shared" si="1"/>
        <v>0</v>
      </c>
      <c r="H708" s="118">
        <f t="array" ref="H708">IFERROR(IF(B708="",0,INDEX(HPP_ENGINE!$J:$J,MATCH(B708,HPP_ENGINE!$A:$A,0))),0)</f>
        <v>0</v>
      </c>
      <c r="I708" s="118">
        <f t="shared" si="2"/>
        <v>0</v>
      </c>
      <c r="J708" s="118">
        <f t="shared" si="3"/>
        <v>0</v>
      </c>
      <c r="K708" s="136">
        <f t="shared" si="4"/>
        <v>0</v>
      </c>
    </row>
    <row r="709" ht="18.0" customHeight="1">
      <c r="A709" s="132"/>
      <c r="B709" s="72"/>
      <c r="C709" s="72"/>
      <c r="D709" s="137" t="str">
        <f t="array" ref="D709">IFERROR(IF(C709="","",INDEX(PRODUK!$B:$B,MATCH(C709,PRODUK!$A:$A,0))),"")</f>
        <v/>
      </c>
      <c r="E709" s="113"/>
      <c r="F709" s="115">
        <f t="array" ref="F709">IFERROR(IF(C709="",0,INDEX(PRODUK!$F:$F,MATCH(C709,PRODUK!$A:$A,0))),0)</f>
        <v>0</v>
      </c>
      <c r="G709" s="114">
        <f t="shared" si="1"/>
        <v>0</v>
      </c>
      <c r="H709" s="114">
        <f t="array" ref="H709">IFERROR(IF(B709="",0,INDEX(HPP_ENGINE!$J:$J,MATCH(B709,HPP_ENGINE!$A:$A,0))),0)</f>
        <v>0</v>
      </c>
      <c r="I709" s="114">
        <f t="shared" si="2"/>
        <v>0</v>
      </c>
      <c r="J709" s="114">
        <f t="shared" si="3"/>
        <v>0</v>
      </c>
      <c r="K709" s="133">
        <f t="shared" si="4"/>
        <v>0</v>
      </c>
    </row>
    <row r="710" ht="18.0" customHeight="1">
      <c r="A710" s="134"/>
      <c r="B710" s="77"/>
      <c r="C710" s="77"/>
      <c r="D710" s="135" t="str">
        <f t="array" ref="D710">IFERROR(IF(C710="","",INDEX(PRODUK!$B:$B,MATCH(C710,PRODUK!$A:$A,0))),"")</f>
        <v/>
      </c>
      <c r="E710" s="117"/>
      <c r="F710" s="119">
        <f t="array" ref="F710">IFERROR(IF(C710="",0,INDEX(PRODUK!$F:$F,MATCH(C710,PRODUK!$A:$A,0))),0)</f>
        <v>0</v>
      </c>
      <c r="G710" s="118">
        <f t="shared" si="1"/>
        <v>0</v>
      </c>
      <c r="H710" s="118">
        <f t="array" ref="H710">IFERROR(IF(B710="",0,INDEX(HPP_ENGINE!$J:$J,MATCH(B710,HPP_ENGINE!$A:$A,0))),0)</f>
        <v>0</v>
      </c>
      <c r="I710" s="118">
        <f t="shared" si="2"/>
        <v>0</v>
      </c>
      <c r="J710" s="118">
        <f t="shared" si="3"/>
        <v>0</v>
      </c>
      <c r="K710" s="136">
        <f t="shared" si="4"/>
        <v>0</v>
      </c>
    </row>
    <row r="711" ht="18.0" customHeight="1">
      <c r="A711" s="132"/>
      <c r="B711" s="72"/>
      <c r="C711" s="72"/>
      <c r="D711" s="137" t="str">
        <f t="array" ref="D711">IFERROR(IF(C711="","",INDEX(PRODUK!$B:$B,MATCH(C711,PRODUK!$A:$A,0))),"")</f>
        <v/>
      </c>
      <c r="E711" s="113"/>
      <c r="F711" s="115">
        <f t="array" ref="F711">IFERROR(IF(C711="",0,INDEX(PRODUK!$F:$F,MATCH(C711,PRODUK!$A:$A,0))),0)</f>
        <v>0</v>
      </c>
      <c r="G711" s="114">
        <f t="shared" si="1"/>
        <v>0</v>
      </c>
      <c r="H711" s="114">
        <f t="array" ref="H711">IFERROR(IF(B711="",0,INDEX(HPP_ENGINE!$J:$J,MATCH(B711,HPP_ENGINE!$A:$A,0))),0)</f>
        <v>0</v>
      </c>
      <c r="I711" s="114">
        <f t="shared" si="2"/>
        <v>0</v>
      </c>
      <c r="J711" s="114">
        <f t="shared" si="3"/>
        <v>0</v>
      </c>
      <c r="K711" s="133">
        <f t="shared" si="4"/>
        <v>0</v>
      </c>
    </row>
    <row r="712" ht="18.0" customHeight="1">
      <c r="A712" s="134"/>
      <c r="B712" s="77"/>
      <c r="C712" s="77"/>
      <c r="D712" s="135" t="str">
        <f t="array" ref="D712">IFERROR(IF(C712="","",INDEX(PRODUK!$B:$B,MATCH(C712,PRODUK!$A:$A,0))),"")</f>
        <v/>
      </c>
      <c r="E712" s="117"/>
      <c r="F712" s="119">
        <f t="array" ref="F712">IFERROR(IF(C712="",0,INDEX(PRODUK!$F:$F,MATCH(C712,PRODUK!$A:$A,0))),0)</f>
        <v>0</v>
      </c>
      <c r="G712" s="118">
        <f t="shared" si="1"/>
        <v>0</v>
      </c>
      <c r="H712" s="118">
        <f t="array" ref="H712">IFERROR(IF(B712="",0,INDEX(HPP_ENGINE!$J:$J,MATCH(B712,HPP_ENGINE!$A:$A,0))),0)</f>
        <v>0</v>
      </c>
      <c r="I712" s="118">
        <f t="shared" si="2"/>
        <v>0</v>
      </c>
      <c r="J712" s="118">
        <f t="shared" si="3"/>
        <v>0</v>
      </c>
      <c r="K712" s="136">
        <f t="shared" si="4"/>
        <v>0</v>
      </c>
    </row>
    <row r="713" ht="18.0" customHeight="1">
      <c r="A713" s="132"/>
      <c r="B713" s="72"/>
      <c r="C713" s="72"/>
      <c r="D713" s="137" t="str">
        <f t="array" ref="D713">IFERROR(IF(C713="","",INDEX(PRODUK!$B:$B,MATCH(C713,PRODUK!$A:$A,0))),"")</f>
        <v/>
      </c>
      <c r="E713" s="113"/>
      <c r="F713" s="115">
        <f t="array" ref="F713">IFERROR(IF(C713="",0,INDEX(PRODUK!$F:$F,MATCH(C713,PRODUK!$A:$A,0))),0)</f>
        <v>0</v>
      </c>
      <c r="G713" s="114">
        <f t="shared" si="1"/>
        <v>0</v>
      </c>
      <c r="H713" s="114">
        <f t="array" ref="H713">IFERROR(IF(B713="",0,INDEX(HPP_ENGINE!$J:$J,MATCH(B713,HPP_ENGINE!$A:$A,0))),0)</f>
        <v>0</v>
      </c>
      <c r="I713" s="114">
        <f t="shared" si="2"/>
        <v>0</v>
      </c>
      <c r="J713" s="114">
        <f t="shared" si="3"/>
        <v>0</v>
      </c>
      <c r="K713" s="133">
        <f t="shared" si="4"/>
        <v>0</v>
      </c>
    </row>
    <row r="714" ht="18.0" customHeight="1">
      <c r="A714" s="134"/>
      <c r="B714" s="77"/>
      <c r="C714" s="77"/>
      <c r="D714" s="135" t="str">
        <f t="array" ref="D714">IFERROR(IF(C714="","",INDEX(PRODUK!$B:$B,MATCH(C714,PRODUK!$A:$A,0))),"")</f>
        <v/>
      </c>
      <c r="E714" s="117"/>
      <c r="F714" s="119">
        <f t="array" ref="F714">IFERROR(IF(C714="",0,INDEX(PRODUK!$F:$F,MATCH(C714,PRODUK!$A:$A,0))),0)</f>
        <v>0</v>
      </c>
      <c r="G714" s="118">
        <f t="shared" si="1"/>
        <v>0</v>
      </c>
      <c r="H714" s="118">
        <f t="array" ref="H714">IFERROR(IF(B714="",0,INDEX(HPP_ENGINE!$J:$J,MATCH(B714,HPP_ENGINE!$A:$A,0))),0)</f>
        <v>0</v>
      </c>
      <c r="I714" s="118">
        <f t="shared" si="2"/>
        <v>0</v>
      </c>
      <c r="J714" s="118">
        <f t="shared" si="3"/>
        <v>0</v>
      </c>
      <c r="K714" s="136">
        <f t="shared" si="4"/>
        <v>0</v>
      </c>
    </row>
    <row r="715" ht="18.0" customHeight="1">
      <c r="A715" s="132"/>
      <c r="B715" s="72"/>
      <c r="C715" s="72"/>
      <c r="D715" s="137" t="str">
        <f t="array" ref="D715">IFERROR(IF(C715="","",INDEX(PRODUK!$B:$B,MATCH(C715,PRODUK!$A:$A,0))),"")</f>
        <v/>
      </c>
      <c r="E715" s="113"/>
      <c r="F715" s="115">
        <f t="array" ref="F715">IFERROR(IF(C715="",0,INDEX(PRODUK!$F:$F,MATCH(C715,PRODUK!$A:$A,0))),0)</f>
        <v>0</v>
      </c>
      <c r="G715" s="114">
        <f t="shared" si="1"/>
        <v>0</v>
      </c>
      <c r="H715" s="114">
        <f t="array" ref="H715">IFERROR(IF(B715="",0,INDEX(HPP_ENGINE!$J:$J,MATCH(B715,HPP_ENGINE!$A:$A,0))),0)</f>
        <v>0</v>
      </c>
      <c r="I715" s="114">
        <f t="shared" si="2"/>
        <v>0</v>
      </c>
      <c r="J715" s="114">
        <f t="shared" si="3"/>
        <v>0</v>
      </c>
      <c r="K715" s="133">
        <f t="shared" si="4"/>
        <v>0</v>
      </c>
    </row>
    <row r="716" ht="18.0" customHeight="1">
      <c r="A716" s="134"/>
      <c r="B716" s="77"/>
      <c r="C716" s="77"/>
      <c r="D716" s="135" t="str">
        <f t="array" ref="D716">IFERROR(IF(C716="","",INDEX(PRODUK!$B:$B,MATCH(C716,PRODUK!$A:$A,0))),"")</f>
        <v/>
      </c>
      <c r="E716" s="117"/>
      <c r="F716" s="119">
        <f t="array" ref="F716">IFERROR(IF(C716="",0,INDEX(PRODUK!$F:$F,MATCH(C716,PRODUK!$A:$A,0))),0)</f>
        <v>0</v>
      </c>
      <c r="G716" s="118">
        <f t="shared" si="1"/>
        <v>0</v>
      </c>
      <c r="H716" s="118">
        <f t="array" ref="H716">IFERROR(IF(B716="",0,INDEX(HPP_ENGINE!$J:$J,MATCH(B716,HPP_ENGINE!$A:$A,0))),0)</f>
        <v>0</v>
      </c>
      <c r="I716" s="118">
        <f t="shared" si="2"/>
        <v>0</v>
      </c>
      <c r="J716" s="118">
        <f t="shared" si="3"/>
        <v>0</v>
      </c>
      <c r="K716" s="136">
        <f t="shared" si="4"/>
        <v>0</v>
      </c>
    </row>
    <row r="717" ht="18.0" customHeight="1">
      <c r="A717" s="132"/>
      <c r="B717" s="72"/>
      <c r="C717" s="72"/>
      <c r="D717" s="137" t="str">
        <f t="array" ref="D717">IFERROR(IF(C717="","",INDEX(PRODUK!$B:$B,MATCH(C717,PRODUK!$A:$A,0))),"")</f>
        <v/>
      </c>
      <c r="E717" s="113"/>
      <c r="F717" s="115">
        <f t="array" ref="F717">IFERROR(IF(C717="",0,INDEX(PRODUK!$F:$F,MATCH(C717,PRODUK!$A:$A,0))),0)</f>
        <v>0</v>
      </c>
      <c r="G717" s="114">
        <f t="shared" si="1"/>
        <v>0</v>
      </c>
      <c r="H717" s="114">
        <f t="array" ref="H717">IFERROR(IF(B717="",0,INDEX(HPP_ENGINE!$J:$J,MATCH(B717,HPP_ENGINE!$A:$A,0))),0)</f>
        <v>0</v>
      </c>
      <c r="I717" s="114">
        <f t="shared" si="2"/>
        <v>0</v>
      </c>
      <c r="J717" s="114">
        <f t="shared" si="3"/>
        <v>0</v>
      </c>
      <c r="K717" s="133">
        <f t="shared" si="4"/>
        <v>0</v>
      </c>
    </row>
    <row r="718" ht="18.0" customHeight="1">
      <c r="A718" s="134"/>
      <c r="B718" s="77"/>
      <c r="C718" s="77"/>
      <c r="D718" s="135" t="str">
        <f t="array" ref="D718">IFERROR(IF(C718="","",INDEX(PRODUK!$B:$B,MATCH(C718,PRODUK!$A:$A,0))),"")</f>
        <v/>
      </c>
      <c r="E718" s="117"/>
      <c r="F718" s="119">
        <f t="array" ref="F718">IFERROR(IF(C718="",0,INDEX(PRODUK!$F:$F,MATCH(C718,PRODUK!$A:$A,0))),0)</f>
        <v>0</v>
      </c>
      <c r="G718" s="118">
        <f t="shared" si="1"/>
        <v>0</v>
      </c>
      <c r="H718" s="118">
        <f t="array" ref="H718">IFERROR(IF(B718="",0,INDEX(HPP_ENGINE!$J:$J,MATCH(B718,HPP_ENGINE!$A:$A,0))),0)</f>
        <v>0</v>
      </c>
      <c r="I718" s="118">
        <f t="shared" si="2"/>
        <v>0</v>
      </c>
      <c r="J718" s="118">
        <f t="shared" si="3"/>
        <v>0</v>
      </c>
      <c r="K718" s="136">
        <f t="shared" si="4"/>
        <v>0</v>
      </c>
    </row>
    <row r="719" ht="18.0" customHeight="1">
      <c r="A719" s="132"/>
      <c r="B719" s="72"/>
      <c r="C719" s="72"/>
      <c r="D719" s="137" t="str">
        <f t="array" ref="D719">IFERROR(IF(C719="","",INDEX(PRODUK!$B:$B,MATCH(C719,PRODUK!$A:$A,0))),"")</f>
        <v/>
      </c>
      <c r="E719" s="113"/>
      <c r="F719" s="115">
        <f t="array" ref="F719">IFERROR(IF(C719="",0,INDEX(PRODUK!$F:$F,MATCH(C719,PRODUK!$A:$A,0))),0)</f>
        <v>0</v>
      </c>
      <c r="G719" s="114">
        <f t="shared" si="1"/>
        <v>0</v>
      </c>
      <c r="H719" s="114">
        <f t="array" ref="H719">IFERROR(IF(B719="",0,INDEX(HPP_ENGINE!$J:$J,MATCH(B719,HPP_ENGINE!$A:$A,0))),0)</f>
        <v>0</v>
      </c>
      <c r="I719" s="114">
        <f t="shared" si="2"/>
        <v>0</v>
      </c>
      <c r="J719" s="114">
        <f t="shared" si="3"/>
        <v>0</v>
      </c>
      <c r="K719" s="133">
        <f t="shared" si="4"/>
        <v>0</v>
      </c>
    </row>
    <row r="720" ht="18.0" customHeight="1">
      <c r="A720" s="134"/>
      <c r="B720" s="77"/>
      <c r="C720" s="77"/>
      <c r="D720" s="135" t="str">
        <f t="array" ref="D720">IFERROR(IF(C720="","",INDEX(PRODUK!$B:$B,MATCH(C720,PRODUK!$A:$A,0))),"")</f>
        <v/>
      </c>
      <c r="E720" s="117"/>
      <c r="F720" s="119">
        <f t="array" ref="F720">IFERROR(IF(C720="",0,INDEX(PRODUK!$F:$F,MATCH(C720,PRODUK!$A:$A,0))),0)</f>
        <v>0</v>
      </c>
      <c r="G720" s="118">
        <f t="shared" si="1"/>
        <v>0</v>
      </c>
      <c r="H720" s="118">
        <f t="array" ref="H720">IFERROR(IF(B720="",0,INDEX(HPP_ENGINE!$J:$J,MATCH(B720,HPP_ENGINE!$A:$A,0))),0)</f>
        <v>0</v>
      </c>
      <c r="I720" s="118">
        <f t="shared" si="2"/>
        <v>0</v>
      </c>
      <c r="J720" s="118">
        <f t="shared" si="3"/>
        <v>0</v>
      </c>
      <c r="K720" s="136">
        <f t="shared" si="4"/>
        <v>0</v>
      </c>
    </row>
    <row r="721" ht="18.0" customHeight="1">
      <c r="A721" s="132"/>
      <c r="B721" s="72"/>
      <c r="C721" s="72"/>
      <c r="D721" s="137" t="str">
        <f t="array" ref="D721">IFERROR(IF(C721="","",INDEX(PRODUK!$B:$B,MATCH(C721,PRODUK!$A:$A,0))),"")</f>
        <v/>
      </c>
      <c r="E721" s="113"/>
      <c r="F721" s="115">
        <f t="array" ref="F721">IFERROR(IF(C721="",0,INDEX(PRODUK!$F:$F,MATCH(C721,PRODUK!$A:$A,0))),0)</f>
        <v>0</v>
      </c>
      <c r="G721" s="114">
        <f t="shared" si="1"/>
        <v>0</v>
      </c>
      <c r="H721" s="114">
        <f t="array" ref="H721">IFERROR(IF(B721="",0,INDEX(HPP_ENGINE!$J:$J,MATCH(B721,HPP_ENGINE!$A:$A,0))),0)</f>
        <v>0</v>
      </c>
      <c r="I721" s="114">
        <f t="shared" si="2"/>
        <v>0</v>
      </c>
      <c r="J721" s="114">
        <f t="shared" si="3"/>
        <v>0</v>
      </c>
      <c r="K721" s="133">
        <f t="shared" si="4"/>
        <v>0</v>
      </c>
    </row>
    <row r="722" ht="18.0" customHeight="1">
      <c r="A722" s="134"/>
      <c r="B722" s="77"/>
      <c r="C722" s="77"/>
      <c r="D722" s="135" t="str">
        <f t="array" ref="D722">IFERROR(IF(C722="","",INDEX(PRODUK!$B:$B,MATCH(C722,PRODUK!$A:$A,0))),"")</f>
        <v/>
      </c>
      <c r="E722" s="117"/>
      <c r="F722" s="119">
        <f t="array" ref="F722">IFERROR(IF(C722="",0,INDEX(PRODUK!$F:$F,MATCH(C722,PRODUK!$A:$A,0))),0)</f>
        <v>0</v>
      </c>
      <c r="G722" s="118">
        <f t="shared" si="1"/>
        <v>0</v>
      </c>
      <c r="H722" s="118">
        <f t="array" ref="H722">IFERROR(IF(B722="",0,INDEX(HPP_ENGINE!$J:$J,MATCH(B722,HPP_ENGINE!$A:$A,0))),0)</f>
        <v>0</v>
      </c>
      <c r="I722" s="118">
        <f t="shared" si="2"/>
        <v>0</v>
      </c>
      <c r="J722" s="118">
        <f t="shared" si="3"/>
        <v>0</v>
      </c>
      <c r="K722" s="136">
        <f t="shared" si="4"/>
        <v>0</v>
      </c>
    </row>
    <row r="723" ht="18.0" customHeight="1">
      <c r="A723" s="132"/>
      <c r="B723" s="72"/>
      <c r="C723" s="72"/>
      <c r="D723" s="137" t="str">
        <f t="array" ref="D723">IFERROR(IF(C723="","",INDEX(PRODUK!$B:$B,MATCH(C723,PRODUK!$A:$A,0))),"")</f>
        <v/>
      </c>
      <c r="E723" s="113"/>
      <c r="F723" s="115">
        <f t="array" ref="F723">IFERROR(IF(C723="",0,INDEX(PRODUK!$F:$F,MATCH(C723,PRODUK!$A:$A,0))),0)</f>
        <v>0</v>
      </c>
      <c r="G723" s="114">
        <f t="shared" si="1"/>
        <v>0</v>
      </c>
      <c r="H723" s="114">
        <f t="array" ref="H723">IFERROR(IF(B723="",0,INDEX(HPP_ENGINE!$J:$J,MATCH(B723,HPP_ENGINE!$A:$A,0))),0)</f>
        <v>0</v>
      </c>
      <c r="I723" s="114">
        <f t="shared" si="2"/>
        <v>0</v>
      </c>
      <c r="J723" s="114">
        <f t="shared" si="3"/>
        <v>0</v>
      </c>
      <c r="K723" s="133">
        <f t="shared" si="4"/>
        <v>0</v>
      </c>
    </row>
    <row r="724" ht="18.0" customHeight="1">
      <c r="A724" s="134"/>
      <c r="B724" s="77"/>
      <c r="C724" s="77"/>
      <c r="D724" s="135" t="str">
        <f t="array" ref="D724">IFERROR(IF(C724="","",INDEX(PRODUK!$B:$B,MATCH(C724,PRODUK!$A:$A,0))),"")</f>
        <v/>
      </c>
      <c r="E724" s="117"/>
      <c r="F724" s="119">
        <f t="array" ref="F724">IFERROR(IF(C724="",0,INDEX(PRODUK!$F:$F,MATCH(C724,PRODUK!$A:$A,0))),0)</f>
        <v>0</v>
      </c>
      <c r="G724" s="118">
        <f t="shared" si="1"/>
        <v>0</v>
      </c>
      <c r="H724" s="118">
        <f t="array" ref="H724">IFERROR(IF(B724="",0,INDEX(HPP_ENGINE!$J:$J,MATCH(B724,HPP_ENGINE!$A:$A,0))),0)</f>
        <v>0</v>
      </c>
      <c r="I724" s="118">
        <f t="shared" si="2"/>
        <v>0</v>
      </c>
      <c r="J724" s="118">
        <f t="shared" si="3"/>
        <v>0</v>
      </c>
      <c r="K724" s="136">
        <f t="shared" si="4"/>
        <v>0</v>
      </c>
    </row>
    <row r="725" ht="18.0" customHeight="1">
      <c r="A725" s="132"/>
      <c r="B725" s="72"/>
      <c r="C725" s="72"/>
      <c r="D725" s="137" t="str">
        <f t="array" ref="D725">IFERROR(IF(C725="","",INDEX(PRODUK!$B:$B,MATCH(C725,PRODUK!$A:$A,0))),"")</f>
        <v/>
      </c>
      <c r="E725" s="113"/>
      <c r="F725" s="115">
        <f t="array" ref="F725">IFERROR(IF(C725="",0,INDEX(PRODUK!$F:$F,MATCH(C725,PRODUK!$A:$A,0))),0)</f>
        <v>0</v>
      </c>
      <c r="G725" s="114">
        <f t="shared" si="1"/>
        <v>0</v>
      </c>
      <c r="H725" s="114">
        <f t="array" ref="H725">IFERROR(IF(B725="",0,INDEX(HPP_ENGINE!$J:$J,MATCH(B725,HPP_ENGINE!$A:$A,0))),0)</f>
        <v>0</v>
      </c>
      <c r="I725" s="114">
        <f t="shared" si="2"/>
        <v>0</v>
      </c>
      <c r="J725" s="114">
        <f t="shared" si="3"/>
        <v>0</v>
      </c>
      <c r="K725" s="133">
        <f t="shared" si="4"/>
        <v>0</v>
      </c>
    </row>
    <row r="726" ht="18.0" customHeight="1">
      <c r="A726" s="134"/>
      <c r="B726" s="77"/>
      <c r="C726" s="77"/>
      <c r="D726" s="135" t="str">
        <f t="array" ref="D726">IFERROR(IF(C726="","",INDEX(PRODUK!$B:$B,MATCH(C726,PRODUK!$A:$A,0))),"")</f>
        <v/>
      </c>
      <c r="E726" s="117"/>
      <c r="F726" s="119">
        <f t="array" ref="F726">IFERROR(IF(C726="",0,INDEX(PRODUK!$F:$F,MATCH(C726,PRODUK!$A:$A,0))),0)</f>
        <v>0</v>
      </c>
      <c r="G726" s="118">
        <f t="shared" si="1"/>
        <v>0</v>
      </c>
      <c r="H726" s="118">
        <f t="array" ref="H726">IFERROR(IF(B726="",0,INDEX(HPP_ENGINE!$J:$J,MATCH(B726,HPP_ENGINE!$A:$A,0))),0)</f>
        <v>0</v>
      </c>
      <c r="I726" s="118">
        <f t="shared" si="2"/>
        <v>0</v>
      </c>
      <c r="J726" s="118">
        <f t="shared" si="3"/>
        <v>0</v>
      </c>
      <c r="K726" s="136">
        <f t="shared" si="4"/>
        <v>0</v>
      </c>
    </row>
    <row r="727" ht="18.0" customHeight="1">
      <c r="A727" s="132"/>
      <c r="B727" s="72"/>
      <c r="C727" s="72"/>
      <c r="D727" s="137" t="str">
        <f t="array" ref="D727">IFERROR(IF(C727="","",INDEX(PRODUK!$B:$B,MATCH(C727,PRODUK!$A:$A,0))),"")</f>
        <v/>
      </c>
      <c r="E727" s="113"/>
      <c r="F727" s="115">
        <f t="array" ref="F727">IFERROR(IF(C727="",0,INDEX(PRODUK!$F:$F,MATCH(C727,PRODUK!$A:$A,0))),0)</f>
        <v>0</v>
      </c>
      <c r="G727" s="114">
        <f t="shared" si="1"/>
        <v>0</v>
      </c>
      <c r="H727" s="114">
        <f t="array" ref="H727">IFERROR(IF(B727="",0,INDEX(HPP_ENGINE!$J:$J,MATCH(B727,HPP_ENGINE!$A:$A,0))),0)</f>
        <v>0</v>
      </c>
      <c r="I727" s="114">
        <f t="shared" si="2"/>
        <v>0</v>
      </c>
      <c r="J727" s="114">
        <f t="shared" si="3"/>
        <v>0</v>
      </c>
      <c r="K727" s="133">
        <f t="shared" si="4"/>
        <v>0</v>
      </c>
    </row>
    <row r="728" ht="18.0" customHeight="1">
      <c r="A728" s="134"/>
      <c r="B728" s="77"/>
      <c r="C728" s="77"/>
      <c r="D728" s="135" t="str">
        <f t="array" ref="D728">IFERROR(IF(C728="","",INDEX(PRODUK!$B:$B,MATCH(C728,PRODUK!$A:$A,0))),"")</f>
        <v/>
      </c>
      <c r="E728" s="117"/>
      <c r="F728" s="119">
        <f t="array" ref="F728">IFERROR(IF(C728="",0,INDEX(PRODUK!$F:$F,MATCH(C728,PRODUK!$A:$A,0))),0)</f>
        <v>0</v>
      </c>
      <c r="G728" s="118">
        <f t="shared" si="1"/>
        <v>0</v>
      </c>
      <c r="H728" s="118">
        <f t="array" ref="H728">IFERROR(IF(B728="",0,INDEX(HPP_ENGINE!$J:$J,MATCH(B728,HPP_ENGINE!$A:$A,0))),0)</f>
        <v>0</v>
      </c>
      <c r="I728" s="118">
        <f t="shared" si="2"/>
        <v>0</v>
      </c>
      <c r="J728" s="118">
        <f t="shared" si="3"/>
        <v>0</v>
      </c>
      <c r="K728" s="136">
        <f t="shared" si="4"/>
        <v>0</v>
      </c>
    </row>
    <row r="729" ht="18.0" customHeight="1">
      <c r="A729" s="132"/>
      <c r="B729" s="72"/>
      <c r="C729" s="72"/>
      <c r="D729" s="137" t="str">
        <f t="array" ref="D729">IFERROR(IF(C729="","",INDEX(PRODUK!$B:$B,MATCH(C729,PRODUK!$A:$A,0))),"")</f>
        <v/>
      </c>
      <c r="E729" s="113"/>
      <c r="F729" s="115">
        <f t="array" ref="F729">IFERROR(IF(C729="",0,INDEX(PRODUK!$F:$F,MATCH(C729,PRODUK!$A:$A,0))),0)</f>
        <v>0</v>
      </c>
      <c r="G729" s="114">
        <f t="shared" si="1"/>
        <v>0</v>
      </c>
      <c r="H729" s="114">
        <f t="array" ref="H729">IFERROR(IF(B729="",0,INDEX(HPP_ENGINE!$J:$J,MATCH(B729,HPP_ENGINE!$A:$A,0))),0)</f>
        <v>0</v>
      </c>
      <c r="I729" s="114">
        <f t="shared" si="2"/>
        <v>0</v>
      </c>
      <c r="J729" s="114">
        <f t="shared" si="3"/>
        <v>0</v>
      </c>
      <c r="K729" s="133">
        <f t="shared" si="4"/>
        <v>0</v>
      </c>
    </row>
    <row r="730" ht="18.0" customHeight="1">
      <c r="A730" s="134"/>
      <c r="B730" s="77"/>
      <c r="C730" s="77"/>
      <c r="D730" s="135" t="str">
        <f t="array" ref="D730">IFERROR(IF(C730="","",INDEX(PRODUK!$B:$B,MATCH(C730,PRODUK!$A:$A,0))),"")</f>
        <v/>
      </c>
      <c r="E730" s="117"/>
      <c r="F730" s="119">
        <f t="array" ref="F730">IFERROR(IF(C730="",0,INDEX(PRODUK!$F:$F,MATCH(C730,PRODUK!$A:$A,0))),0)</f>
        <v>0</v>
      </c>
      <c r="G730" s="118">
        <f t="shared" si="1"/>
        <v>0</v>
      </c>
      <c r="H730" s="118">
        <f t="array" ref="H730">IFERROR(IF(B730="",0,INDEX(HPP_ENGINE!$J:$J,MATCH(B730,HPP_ENGINE!$A:$A,0))),0)</f>
        <v>0</v>
      </c>
      <c r="I730" s="118">
        <f t="shared" si="2"/>
        <v>0</v>
      </c>
      <c r="J730" s="118">
        <f t="shared" si="3"/>
        <v>0</v>
      </c>
      <c r="K730" s="136">
        <f t="shared" si="4"/>
        <v>0</v>
      </c>
    </row>
    <row r="731" ht="18.0" customHeight="1">
      <c r="A731" s="132"/>
      <c r="B731" s="72"/>
      <c r="C731" s="72"/>
      <c r="D731" s="137" t="str">
        <f t="array" ref="D731">IFERROR(IF(C731="","",INDEX(PRODUK!$B:$B,MATCH(C731,PRODUK!$A:$A,0))),"")</f>
        <v/>
      </c>
      <c r="E731" s="113"/>
      <c r="F731" s="115">
        <f t="array" ref="F731">IFERROR(IF(C731="",0,INDEX(PRODUK!$F:$F,MATCH(C731,PRODUK!$A:$A,0))),0)</f>
        <v>0</v>
      </c>
      <c r="G731" s="114">
        <f t="shared" si="1"/>
        <v>0</v>
      </c>
      <c r="H731" s="114">
        <f t="array" ref="H731">IFERROR(IF(B731="",0,INDEX(HPP_ENGINE!$J:$J,MATCH(B731,HPP_ENGINE!$A:$A,0))),0)</f>
        <v>0</v>
      </c>
      <c r="I731" s="114">
        <f t="shared" si="2"/>
        <v>0</v>
      </c>
      <c r="J731" s="114">
        <f t="shared" si="3"/>
        <v>0</v>
      </c>
      <c r="K731" s="133">
        <f t="shared" si="4"/>
        <v>0</v>
      </c>
    </row>
    <row r="732" ht="18.0" customHeight="1">
      <c r="A732" s="134"/>
      <c r="B732" s="77"/>
      <c r="C732" s="77"/>
      <c r="D732" s="135" t="str">
        <f t="array" ref="D732">IFERROR(IF(C732="","",INDEX(PRODUK!$B:$B,MATCH(C732,PRODUK!$A:$A,0))),"")</f>
        <v/>
      </c>
      <c r="E732" s="117"/>
      <c r="F732" s="119">
        <f t="array" ref="F732">IFERROR(IF(C732="",0,INDEX(PRODUK!$F:$F,MATCH(C732,PRODUK!$A:$A,0))),0)</f>
        <v>0</v>
      </c>
      <c r="G732" s="118">
        <f t="shared" si="1"/>
        <v>0</v>
      </c>
      <c r="H732" s="118">
        <f t="array" ref="H732">IFERROR(IF(B732="",0,INDEX(HPP_ENGINE!$J:$J,MATCH(B732,HPP_ENGINE!$A:$A,0))),0)</f>
        <v>0</v>
      </c>
      <c r="I732" s="118">
        <f t="shared" si="2"/>
        <v>0</v>
      </c>
      <c r="J732" s="118">
        <f t="shared" si="3"/>
        <v>0</v>
      </c>
      <c r="K732" s="136">
        <f t="shared" si="4"/>
        <v>0</v>
      </c>
    </row>
    <row r="733" ht="18.0" customHeight="1">
      <c r="A733" s="132"/>
      <c r="B733" s="72"/>
      <c r="C733" s="72"/>
      <c r="D733" s="137" t="str">
        <f t="array" ref="D733">IFERROR(IF(C733="","",INDEX(PRODUK!$B:$B,MATCH(C733,PRODUK!$A:$A,0))),"")</f>
        <v/>
      </c>
      <c r="E733" s="113"/>
      <c r="F733" s="115">
        <f t="array" ref="F733">IFERROR(IF(C733="",0,INDEX(PRODUK!$F:$F,MATCH(C733,PRODUK!$A:$A,0))),0)</f>
        <v>0</v>
      </c>
      <c r="G733" s="114">
        <f t="shared" si="1"/>
        <v>0</v>
      </c>
      <c r="H733" s="114">
        <f t="array" ref="H733">IFERROR(IF(B733="",0,INDEX(HPP_ENGINE!$J:$J,MATCH(B733,HPP_ENGINE!$A:$A,0))),0)</f>
        <v>0</v>
      </c>
      <c r="I733" s="114">
        <f t="shared" si="2"/>
        <v>0</v>
      </c>
      <c r="J733" s="114">
        <f t="shared" si="3"/>
        <v>0</v>
      </c>
      <c r="K733" s="133">
        <f t="shared" si="4"/>
        <v>0</v>
      </c>
    </row>
    <row r="734" ht="18.0" customHeight="1">
      <c r="A734" s="134"/>
      <c r="B734" s="77"/>
      <c r="C734" s="77"/>
      <c r="D734" s="135" t="str">
        <f t="array" ref="D734">IFERROR(IF(C734="","",INDEX(PRODUK!$B:$B,MATCH(C734,PRODUK!$A:$A,0))),"")</f>
        <v/>
      </c>
      <c r="E734" s="117"/>
      <c r="F734" s="119">
        <f t="array" ref="F734">IFERROR(IF(C734="",0,INDEX(PRODUK!$F:$F,MATCH(C734,PRODUK!$A:$A,0))),0)</f>
        <v>0</v>
      </c>
      <c r="G734" s="118">
        <f t="shared" si="1"/>
        <v>0</v>
      </c>
      <c r="H734" s="118">
        <f t="array" ref="H734">IFERROR(IF(B734="",0,INDEX(HPP_ENGINE!$J:$J,MATCH(B734,HPP_ENGINE!$A:$A,0))),0)</f>
        <v>0</v>
      </c>
      <c r="I734" s="118">
        <f t="shared" si="2"/>
        <v>0</v>
      </c>
      <c r="J734" s="118">
        <f t="shared" si="3"/>
        <v>0</v>
      </c>
      <c r="K734" s="136">
        <f t="shared" si="4"/>
        <v>0</v>
      </c>
    </row>
    <row r="735" ht="18.0" customHeight="1">
      <c r="A735" s="132"/>
      <c r="B735" s="72"/>
      <c r="C735" s="72"/>
      <c r="D735" s="137" t="str">
        <f t="array" ref="D735">IFERROR(IF(C735="","",INDEX(PRODUK!$B:$B,MATCH(C735,PRODUK!$A:$A,0))),"")</f>
        <v/>
      </c>
      <c r="E735" s="113"/>
      <c r="F735" s="115">
        <f t="array" ref="F735">IFERROR(IF(C735="",0,INDEX(PRODUK!$F:$F,MATCH(C735,PRODUK!$A:$A,0))),0)</f>
        <v>0</v>
      </c>
      <c r="G735" s="114">
        <f t="shared" si="1"/>
        <v>0</v>
      </c>
      <c r="H735" s="114">
        <f t="array" ref="H735">IFERROR(IF(B735="",0,INDEX(HPP_ENGINE!$J:$J,MATCH(B735,HPP_ENGINE!$A:$A,0))),0)</f>
        <v>0</v>
      </c>
      <c r="I735" s="114">
        <f t="shared" si="2"/>
        <v>0</v>
      </c>
      <c r="J735" s="114">
        <f t="shared" si="3"/>
        <v>0</v>
      </c>
      <c r="K735" s="133">
        <f t="shared" si="4"/>
        <v>0</v>
      </c>
    </row>
    <row r="736" ht="18.0" customHeight="1">
      <c r="A736" s="134"/>
      <c r="B736" s="77"/>
      <c r="C736" s="77"/>
      <c r="D736" s="135" t="str">
        <f t="array" ref="D736">IFERROR(IF(C736="","",INDEX(PRODUK!$B:$B,MATCH(C736,PRODUK!$A:$A,0))),"")</f>
        <v/>
      </c>
      <c r="E736" s="117"/>
      <c r="F736" s="119">
        <f t="array" ref="F736">IFERROR(IF(C736="",0,INDEX(PRODUK!$F:$F,MATCH(C736,PRODUK!$A:$A,0))),0)</f>
        <v>0</v>
      </c>
      <c r="G736" s="118">
        <f t="shared" si="1"/>
        <v>0</v>
      </c>
      <c r="H736" s="118">
        <f t="array" ref="H736">IFERROR(IF(B736="",0,INDEX(HPP_ENGINE!$J:$J,MATCH(B736,HPP_ENGINE!$A:$A,0))),0)</f>
        <v>0</v>
      </c>
      <c r="I736" s="118">
        <f t="shared" si="2"/>
        <v>0</v>
      </c>
      <c r="J736" s="118">
        <f t="shared" si="3"/>
        <v>0</v>
      </c>
      <c r="K736" s="136">
        <f t="shared" si="4"/>
        <v>0</v>
      </c>
    </row>
    <row r="737" ht="18.0" customHeight="1">
      <c r="A737" s="132"/>
      <c r="B737" s="72"/>
      <c r="C737" s="72"/>
      <c r="D737" s="137" t="str">
        <f t="array" ref="D737">IFERROR(IF(C737="","",INDEX(PRODUK!$B:$B,MATCH(C737,PRODUK!$A:$A,0))),"")</f>
        <v/>
      </c>
      <c r="E737" s="113"/>
      <c r="F737" s="115">
        <f t="array" ref="F737">IFERROR(IF(C737="",0,INDEX(PRODUK!$F:$F,MATCH(C737,PRODUK!$A:$A,0))),0)</f>
        <v>0</v>
      </c>
      <c r="G737" s="114">
        <f t="shared" si="1"/>
        <v>0</v>
      </c>
      <c r="H737" s="114">
        <f t="array" ref="H737">IFERROR(IF(B737="",0,INDEX(HPP_ENGINE!$J:$J,MATCH(B737,HPP_ENGINE!$A:$A,0))),0)</f>
        <v>0</v>
      </c>
      <c r="I737" s="114">
        <f t="shared" si="2"/>
        <v>0</v>
      </c>
      <c r="J737" s="114">
        <f t="shared" si="3"/>
        <v>0</v>
      </c>
      <c r="K737" s="133">
        <f t="shared" si="4"/>
        <v>0</v>
      </c>
    </row>
    <row r="738" ht="18.0" customHeight="1">
      <c r="A738" s="134"/>
      <c r="B738" s="77"/>
      <c r="C738" s="77"/>
      <c r="D738" s="135" t="str">
        <f t="array" ref="D738">IFERROR(IF(C738="","",INDEX(PRODUK!$B:$B,MATCH(C738,PRODUK!$A:$A,0))),"")</f>
        <v/>
      </c>
      <c r="E738" s="117"/>
      <c r="F738" s="119">
        <f t="array" ref="F738">IFERROR(IF(C738="",0,INDEX(PRODUK!$F:$F,MATCH(C738,PRODUK!$A:$A,0))),0)</f>
        <v>0</v>
      </c>
      <c r="G738" s="118">
        <f t="shared" si="1"/>
        <v>0</v>
      </c>
      <c r="H738" s="118">
        <f t="array" ref="H738">IFERROR(IF(B738="",0,INDEX(HPP_ENGINE!$J:$J,MATCH(B738,HPP_ENGINE!$A:$A,0))),0)</f>
        <v>0</v>
      </c>
      <c r="I738" s="118">
        <f t="shared" si="2"/>
        <v>0</v>
      </c>
      <c r="J738" s="118">
        <f t="shared" si="3"/>
        <v>0</v>
      </c>
      <c r="K738" s="136">
        <f t="shared" si="4"/>
        <v>0</v>
      </c>
    </row>
    <row r="739" ht="18.0" customHeight="1">
      <c r="A739" s="132"/>
      <c r="B739" s="72"/>
      <c r="C739" s="72"/>
      <c r="D739" s="137" t="str">
        <f t="array" ref="D739">IFERROR(IF(C739="","",INDEX(PRODUK!$B:$B,MATCH(C739,PRODUK!$A:$A,0))),"")</f>
        <v/>
      </c>
      <c r="E739" s="113"/>
      <c r="F739" s="115">
        <f t="array" ref="F739">IFERROR(IF(C739="",0,INDEX(PRODUK!$F:$F,MATCH(C739,PRODUK!$A:$A,0))),0)</f>
        <v>0</v>
      </c>
      <c r="G739" s="114">
        <f t="shared" si="1"/>
        <v>0</v>
      </c>
      <c r="H739" s="114">
        <f t="array" ref="H739">IFERROR(IF(B739="",0,INDEX(HPP_ENGINE!$J:$J,MATCH(B739,HPP_ENGINE!$A:$A,0))),0)</f>
        <v>0</v>
      </c>
      <c r="I739" s="114">
        <f t="shared" si="2"/>
        <v>0</v>
      </c>
      <c r="J739" s="114">
        <f t="shared" si="3"/>
        <v>0</v>
      </c>
      <c r="K739" s="133">
        <f t="shared" si="4"/>
        <v>0</v>
      </c>
    </row>
    <row r="740" ht="18.0" customHeight="1">
      <c r="A740" s="134"/>
      <c r="B740" s="77"/>
      <c r="C740" s="77"/>
      <c r="D740" s="135" t="str">
        <f t="array" ref="D740">IFERROR(IF(C740="","",INDEX(PRODUK!$B:$B,MATCH(C740,PRODUK!$A:$A,0))),"")</f>
        <v/>
      </c>
      <c r="E740" s="117"/>
      <c r="F740" s="119">
        <f t="array" ref="F740">IFERROR(IF(C740="",0,INDEX(PRODUK!$F:$F,MATCH(C740,PRODUK!$A:$A,0))),0)</f>
        <v>0</v>
      </c>
      <c r="G740" s="118">
        <f t="shared" si="1"/>
        <v>0</v>
      </c>
      <c r="H740" s="118">
        <f t="array" ref="H740">IFERROR(IF(B740="",0,INDEX(HPP_ENGINE!$J:$J,MATCH(B740,HPP_ENGINE!$A:$A,0))),0)</f>
        <v>0</v>
      </c>
      <c r="I740" s="118">
        <f t="shared" si="2"/>
        <v>0</v>
      </c>
      <c r="J740" s="118">
        <f t="shared" si="3"/>
        <v>0</v>
      </c>
      <c r="K740" s="136">
        <f t="shared" si="4"/>
        <v>0</v>
      </c>
    </row>
    <row r="741" ht="18.0" customHeight="1">
      <c r="A741" s="132"/>
      <c r="B741" s="72"/>
      <c r="C741" s="72"/>
      <c r="D741" s="137" t="str">
        <f t="array" ref="D741">IFERROR(IF(C741="","",INDEX(PRODUK!$B:$B,MATCH(C741,PRODUK!$A:$A,0))),"")</f>
        <v/>
      </c>
      <c r="E741" s="113"/>
      <c r="F741" s="115">
        <f t="array" ref="F741">IFERROR(IF(C741="",0,INDEX(PRODUK!$F:$F,MATCH(C741,PRODUK!$A:$A,0))),0)</f>
        <v>0</v>
      </c>
      <c r="G741" s="114">
        <f t="shared" si="1"/>
        <v>0</v>
      </c>
      <c r="H741" s="114">
        <f t="array" ref="H741">IFERROR(IF(B741="",0,INDEX(HPP_ENGINE!$J:$J,MATCH(B741,HPP_ENGINE!$A:$A,0))),0)</f>
        <v>0</v>
      </c>
      <c r="I741" s="114">
        <f t="shared" si="2"/>
        <v>0</v>
      </c>
      <c r="J741" s="114">
        <f t="shared" si="3"/>
        <v>0</v>
      </c>
      <c r="K741" s="133">
        <f t="shared" si="4"/>
        <v>0</v>
      </c>
    </row>
    <row r="742" ht="18.0" customHeight="1">
      <c r="A742" s="134"/>
      <c r="B742" s="77"/>
      <c r="C742" s="77"/>
      <c r="D742" s="135" t="str">
        <f t="array" ref="D742">IFERROR(IF(C742="","",INDEX(PRODUK!$B:$B,MATCH(C742,PRODUK!$A:$A,0))),"")</f>
        <v/>
      </c>
      <c r="E742" s="117"/>
      <c r="F742" s="119">
        <f t="array" ref="F742">IFERROR(IF(C742="",0,INDEX(PRODUK!$F:$F,MATCH(C742,PRODUK!$A:$A,0))),0)</f>
        <v>0</v>
      </c>
      <c r="G742" s="118">
        <f t="shared" si="1"/>
        <v>0</v>
      </c>
      <c r="H742" s="118">
        <f t="array" ref="H742">IFERROR(IF(B742="",0,INDEX(HPP_ENGINE!$J:$J,MATCH(B742,HPP_ENGINE!$A:$A,0))),0)</f>
        <v>0</v>
      </c>
      <c r="I742" s="118">
        <f t="shared" si="2"/>
        <v>0</v>
      </c>
      <c r="J742" s="118">
        <f t="shared" si="3"/>
        <v>0</v>
      </c>
      <c r="K742" s="136">
        <f t="shared" si="4"/>
        <v>0</v>
      </c>
    </row>
    <row r="743" ht="18.0" customHeight="1">
      <c r="A743" s="132"/>
      <c r="B743" s="72"/>
      <c r="C743" s="72"/>
      <c r="D743" s="137" t="str">
        <f t="array" ref="D743">IFERROR(IF(C743="","",INDEX(PRODUK!$B:$B,MATCH(C743,PRODUK!$A:$A,0))),"")</f>
        <v/>
      </c>
      <c r="E743" s="113"/>
      <c r="F743" s="115">
        <f t="array" ref="F743">IFERROR(IF(C743="",0,INDEX(PRODUK!$F:$F,MATCH(C743,PRODUK!$A:$A,0))),0)</f>
        <v>0</v>
      </c>
      <c r="G743" s="114">
        <f t="shared" si="1"/>
        <v>0</v>
      </c>
      <c r="H743" s="114">
        <f t="array" ref="H743">IFERROR(IF(B743="",0,INDEX(HPP_ENGINE!$J:$J,MATCH(B743,HPP_ENGINE!$A:$A,0))),0)</f>
        <v>0</v>
      </c>
      <c r="I743" s="114">
        <f t="shared" si="2"/>
        <v>0</v>
      </c>
      <c r="J743" s="114">
        <f t="shared" si="3"/>
        <v>0</v>
      </c>
      <c r="K743" s="133">
        <f t="shared" si="4"/>
        <v>0</v>
      </c>
    </row>
    <row r="744" ht="18.0" customHeight="1">
      <c r="A744" s="134"/>
      <c r="B744" s="77"/>
      <c r="C744" s="77"/>
      <c r="D744" s="135" t="str">
        <f t="array" ref="D744">IFERROR(IF(C744="","",INDEX(PRODUK!$B:$B,MATCH(C744,PRODUK!$A:$A,0))),"")</f>
        <v/>
      </c>
      <c r="E744" s="117"/>
      <c r="F744" s="119">
        <f t="array" ref="F744">IFERROR(IF(C744="",0,INDEX(PRODUK!$F:$F,MATCH(C744,PRODUK!$A:$A,0))),0)</f>
        <v>0</v>
      </c>
      <c r="G744" s="118">
        <f t="shared" si="1"/>
        <v>0</v>
      </c>
      <c r="H744" s="118">
        <f t="array" ref="H744">IFERROR(IF(B744="",0,INDEX(HPP_ENGINE!$J:$J,MATCH(B744,HPP_ENGINE!$A:$A,0))),0)</f>
        <v>0</v>
      </c>
      <c r="I744" s="118">
        <f t="shared" si="2"/>
        <v>0</v>
      </c>
      <c r="J744" s="118">
        <f t="shared" si="3"/>
        <v>0</v>
      </c>
      <c r="K744" s="136">
        <f t="shared" si="4"/>
        <v>0</v>
      </c>
    </row>
    <row r="745" ht="18.0" customHeight="1">
      <c r="A745" s="132"/>
      <c r="B745" s="72"/>
      <c r="C745" s="72"/>
      <c r="D745" s="137" t="str">
        <f t="array" ref="D745">IFERROR(IF(C745="","",INDEX(PRODUK!$B:$B,MATCH(C745,PRODUK!$A:$A,0))),"")</f>
        <v/>
      </c>
      <c r="E745" s="113"/>
      <c r="F745" s="115">
        <f t="array" ref="F745">IFERROR(IF(C745="",0,INDEX(PRODUK!$F:$F,MATCH(C745,PRODUK!$A:$A,0))),0)</f>
        <v>0</v>
      </c>
      <c r="G745" s="114">
        <f t="shared" si="1"/>
        <v>0</v>
      </c>
      <c r="H745" s="114">
        <f t="array" ref="H745">IFERROR(IF(B745="",0,INDEX(HPP_ENGINE!$J:$J,MATCH(B745,HPP_ENGINE!$A:$A,0))),0)</f>
        <v>0</v>
      </c>
      <c r="I745" s="114">
        <f t="shared" si="2"/>
        <v>0</v>
      </c>
      <c r="J745" s="114">
        <f t="shared" si="3"/>
        <v>0</v>
      </c>
      <c r="K745" s="133">
        <f t="shared" si="4"/>
        <v>0</v>
      </c>
    </row>
    <row r="746" ht="18.0" customHeight="1">
      <c r="A746" s="134"/>
      <c r="B746" s="77"/>
      <c r="C746" s="77"/>
      <c r="D746" s="135" t="str">
        <f t="array" ref="D746">IFERROR(IF(C746="","",INDEX(PRODUK!$B:$B,MATCH(C746,PRODUK!$A:$A,0))),"")</f>
        <v/>
      </c>
      <c r="E746" s="117"/>
      <c r="F746" s="119">
        <f t="array" ref="F746">IFERROR(IF(C746="",0,INDEX(PRODUK!$F:$F,MATCH(C746,PRODUK!$A:$A,0))),0)</f>
        <v>0</v>
      </c>
      <c r="G746" s="118">
        <f t="shared" si="1"/>
        <v>0</v>
      </c>
      <c r="H746" s="118">
        <f t="array" ref="H746">IFERROR(IF(B746="",0,INDEX(HPP_ENGINE!$J:$J,MATCH(B746,HPP_ENGINE!$A:$A,0))),0)</f>
        <v>0</v>
      </c>
      <c r="I746" s="118">
        <f t="shared" si="2"/>
        <v>0</v>
      </c>
      <c r="J746" s="118">
        <f t="shared" si="3"/>
        <v>0</v>
      </c>
      <c r="K746" s="136">
        <f t="shared" si="4"/>
        <v>0</v>
      </c>
    </row>
    <row r="747" ht="18.0" customHeight="1">
      <c r="A747" s="132"/>
      <c r="B747" s="72"/>
      <c r="C747" s="72"/>
      <c r="D747" s="137" t="str">
        <f t="array" ref="D747">IFERROR(IF(C747="","",INDEX(PRODUK!$B:$B,MATCH(C747,PRODUK!$A:$A,0))),"")</f>
        <v/>
      </c>
      <c r="E747" s="113"/>
      <c r="F747" s="115">
        <f t="array" ref="F747">IFERROR(IF(C747="",0,INDEX(PRODUK!$F:$F,MATCH(C747,PRODUK!$A:$A,0))),0)</f>
        <v>0</v>
      </c>
      <c r="G747" s="114">
        <f t="shared" si="1"/>
        <v>0</v>
      </c>
      <c r="H747" s="114">
        <f t="array" ref="H747">IFERROR(IF(B747="",0,INDEX(HPP_ENGINE!$J:$J,MATCH(B747,HPP_ENGINE!$A:$A,0))),0)</f>
        <v>0</v>
      </c>
      <c r="I747" s="114">
        <f t="shared" si="2"/>
        <v>0</v>
      </c>
      <c r="J747" s="114">
        <f t="shared" si="3"/>
        <v>0</v>
      </c>
      <c r="K747" s="133">
        <f t="shared" si="4"/>
        <v>0</v>
      </c>
    </row>
    <row r="748" ht="18.0" customHeight="1">
      <c r="A748" s="134"/>
      <c r="B748" s="77"/>
      <c r="C748" s="77"/>
      <c r="D748" s="135" t="str">
        <f t="array" ref="D748">IFERROR(IF(C748="","",INDEX(PRODUK!$B:$B,MATCH(C748,PRODUK!$A:$A,0))),"")</f>
        <v/>
      </c>
      <c r="E748" s="117"/>
      <c r="F748" s="119">
        <f t="array" ref="F748">IFERROR(IF(C748="",0,INDEX(PRODUK!$F:$F,MATCH(C748,PRODUK!$A:$A,0))),0)</f>
        <v>0</v>
      </c>
      <c r="G748" s="118">
        <f t="shared" si="1"/>
        <v>0</v>
      </c>
      <c r="H748" s="118">
        <f t="array" ref="H748">IFERROR(IF(B748="",0,INDEX(HPP_ENGINE!$J:$J,MATCH(B748,HPP_ENGINE!$A:$A,0))),0)</f>
        <v>0</v>
      </c>
      <c r="I748" s="118">
        <f t="shared" si="2"/>
        <v>0</v>
      </c>
      <c r="J748" s="118">
        <f t="shared" si="3"/>
        <v>0</v>
      </c>
      <c r="K748" s="136">
        <f t="shared" si="4"/>
        <v>0</v>
      </c>
    </row>
    <row r="749" ht="18.0" customHeight="1">
      <c r="A749" s="132"/>
      <c r="B749" s="72"/>
      <c r="C749" s="72"/>
      <c r="D749" s="137" t="str">
        <f t="array" ref="D749">IFERROR(IF(C749="","",INDEX(PRODUK!$B:$B,MATCH(C749,PRODUK!$A:$A,0))),"")</f>
        <v/>
      </c>
      <c r="E749" s="113"/>
      <c r="F749" s="115">
        <f t="array" ref="F749">IFERROR(IF(C749="",0,INDEX(PRODUK!$F:$F,MATCH(C749,PRODUK!$A:$A,0))),0)</f>
        <v>0</v>
      </c>
      <c r="G749" s="114">
        <f t="shared" si="1"/>
        <v>0</v>
      </c>
      <c r="H749" s="114">
        <f t="array" ref="H749">IFERROR(IF(B749="",0,INDEX(HPP_ENGINE!$J:$J,MATCH(B749,HPP_ENGINE!$A:$A,0))),0)</f>
        <v>0</v>
      </c>
      <c r="I749" s="114">
        <f t="shared" si="2"/>
        <v>0</v>
      </c>
      <c r="J749" s="114">
        <f t="shared" si="3"/>
        <v>0</v>
      </c>
      <c r="K749" s="133">
        <f t="shared" si="4"/>
        <v>0</v>
      </c>
    </row>
    <row r="750" ht="18.0" customHeight="1">
      <c r="A750" s="134"/>
      <c r="B750" s="77"/>
      <c r="C750" s="77"/>
      <c r="D750" s="135" t="str">
        <f t="array" ref="D750">IFERROR(IF(C750="","",INDEX(PRODUK!$B:$B,MATCH(C750,PRODUK!$A:$A,0))),"")</f>
        <v/>
      </c>
      <c r="E750" s="117"/>
      <c r="F750" s="119">
        <f t="array" ref="F750">IFERROR(IF(C750="",0,INDEX(PRODUK!$F:$F,MATCH(C750,PRODUK!$A:$A,0))),0)</f>
        <v>0</v>
      </c>
      <c r="G750" s="118">
        <f t="shared" si="1"/>
        <v>0</v>
      </c>
      <c r="H750" s="118">
        <f t="array" ref="H750">IFERROR(IF(B750="",0,INDEX(HPP_ENGINE!$J:$J,MATCH(B750,HPP_ENGINE!$A:$A,0))),0)</f>
        <v>0</v>
      </c>
      <c r="I750" s="118">
        <f t="shared" si="2"/>
        <v>0</v>
      </c>
      <c r="J750" s="118">
        <f t="shared" si="3"/>
        <v>0</v>
      </c>
      <c r="K750" s="136">
        <f t="shared" si="4"/>
        <v>0</v>
      </c>
    </row>
    <row r="751" ht="18.0" customHeight="1">
      <c r="A751" s="132"/>
      <c r="B751" s="72"/>
      <c r="C751" s="72"/>
      <c r="D751" s="137" t="str">
        <f t="array" ref="D751">IFERROR(IF(C751="","",INDEX(PRODUK!$B:$B,MATCH(C751,PRODUK!$A:$A,0))),"")</f>
        <v/>
      </c>
      <c r="E751" s="113"/>
      <c r="F751" s="115">
        <f t="array" ref="F751">IFERROR(IF(C751="",0,INDEX(PRODUK!$F:$F,MATCH(C751,PRODUK!$A:$A,0))),0)</f>
        <v>0</v>
      </c>
      <c r="G751" s="114">
        <f t="shared" si="1"/>
        <v>0</v>
      </c>
      <c r="H751" s="114">
        <f t="array" ref="H751">IFERROR(IF(B751="",0,INDEX(HPP_ENGINE!$J:$J,MATCH(B751,HPP_ENGINE!$A:$A,0))),0)</f>
        <v>0</v>
      </c>
      <c r="I751" s="114">
        <f t="shared" si="2"/>
        <v>0</v>
      </c>
      <c r="J751" s="114">
        <f t="shared" si="3"/>
        <v>0</v>
      </c>
      <c r="K751" s="133">
        <f t="shared" si="4"/>
        <v>0</v>
      </c>
    </row>
    <row r="752" ht="18.0" customHeight="1">
      <c r="A752" s="134"/>
      <c r="B752" s="77"/>
      <c r="C752" s="77"/>
      <c r="D752" s="135" t="str">
        <f t="array" ref="D752">IFERROR(IF(C752="","",INDEX(PRODUK!$B:$B,MATCH(C752,PRODUK!$A:$A,0))),"")</f>
        <v/>
      </c>
      <c r="E752" s="117"/>
      <c r="F752" s="119">
        <f t="array" ref="F752">IFERROR(IF(C752="",0,INDEX(PRODUK!$F:$F,MATCH(C752,PRODUK!$A:$A,0))),0)</f>
        <v>0</v>
      </c>
      <c r="G752" s="118">
        <f t="shared" si="1"/>
        <v>0</v>
      </c>
      <c r="H752" s="118">
        <f t="array" ref="H752">IFERROR(IF(B752="",0,INDEX(HPP_ENGINE!$J:$J,MATCH(B752,HPP_ENGINE!$A:$A,0))),0)</f>
        <v>0</v>
      </c>
      <c r="I752" s="118">
        <f t="shared" si="2"/>
        <v>0</v>
      </c>
      <c r="J752" s="118">
        <f t="shared" si="3"/>
        <v>0</v>
      </c>
      <c r="K752" s="136">
        <f t="shared" si="4"/>
        <v>0</v>
      </c>
    </row>
    <row r="753" ht="18.0" customHeight="1">
      <c r="A753" s="132"/>
      <c r="B753" s="72"/>
      <c r="C753" s="72"/>
      <c r="D753" s="137" t="str">
        <f t="array" ref="D753">IFERROR(IF(C753="","",INDEX(PRODUK!$B:$B,MATCH(C753,PRODUK!$A:$A,0))),"")</f>
        <v/>
      </c>
      <c r="E753" s="113"/>
      <c r="F753" s="115">
        <f t="array" ref="F753">IFERROR(IF(C753="",0,INDEX(PRODUK!$F:$F,MATCH(C753,PRODUK!$A:$A,0))),0)</f>
        <v>0</v>
      </c>
      <c r="G753" s="114">
        <f t="shared" si="1"/>
        <v>0</v>
      </c>
      <c r="H753" s="114">
        <f t="array" ref="H753">IFERROR(IF(B753="",0,INDEX(HPP_ENGINE!$J:$J,MATCH(B753,HPP_ENGINE!$A:$A,0))),0)</f>
        <v>0</v>
      </c>
      <c r="I753" s="114">
        <f t="shared" si="2"/>
        <v>0</v>
      </c>
      <c r="J753" s="114">
        <f t="shared" si="3"/>
        <v>0</v>
      </c>
      <c r="K753" s="133">
        <f t="shared" si="4"/>
        <v>0</v>
      </c>
    </row>
    <row r="754" ht="18.0" customHeight="1">
      <c r="A754" s="134"/>
      <c r="B754" s="77"/>
      <c r="C754" s="77"/>
      <c r="D754" s="135" t="str">
        <f t="array" ref="D754">IFERROR(IF(C754="","",INDEX(PRODUK!$B:$B,MATCH(C754,PRODUK!$A:$A,0))),"")</f>
        <v/>
      </c>
      <c r="E754" s="117"/>
      <c r="F754" s="119">
        <f t="array" ref="F754">IFERROR(IF(C754="",0,INDEX(PRODUK!$F:$F,MATCH(C754,PRODUK!$A:$A,0))),0)</f>
        <v>0</v>
      </c>
      <c r="G754" s="118">
        <f t="shared" si="1"/>
        <v>0</v>
      </c>
      <c r="H754" s="118">
        <f t="array" ref="H754">IFERROR(IF(B754="",0,INDEX(HPP_ENGINE!$J:$J,MATCH(B754,HPP_ENGINE!$A:$A,0))),0)</f>
        <v>0</v>
      </c>
      <c r="I754" s="118">
        <f t="shared" si="2"/>
        <v>0</v>
      </c>
      <c r="J754" s="118">
        <f t="shared" si="3"/>
        <v>0</v>
      </c>
      <c r="K754" s="136">
        <f t="shared" si="4"/>
        <v>0</v>
      </c>
    </row>
    <row r="755" ht="18.0" customHeight="1">
      <c r="A755" s="132"/>
      <c r="B755" s="72"/>
      <c r="C755" s="72"/>
      <c r="D755" s="137" t="str">
        <f t="array" ref="D755">IFERROR(IF(C755="","",INDEX(PRODUK!$B:$B,MATCH(C755,PRODUK!$A:$A,0))),"")</f>
        <v/>
      </c>
      <c r="E755" s="113"/>
      <c r="F755" s="115">
        <f t="array" ref="F755">IFERROR(IF(C755="",0,INDEX(PRODUK!$F:$F,MATCH(C755,PRODUK!$A:$A,0))),0)</f>
        <v>0</v>
      </c>
      <c r="G755" s="114">
        <f t="shared" si="1"/>
        <v>0</v>
      </c>
      <c r="H755" s="114">
        <f t="array" ref="H755">IFERROR(IF(B755="",0,INDEX(HPP_ENGINE!$J:$J,MATCH(B755,HPP_ENGINE!$A:$A,0))),0)</f>
        <v>0</v>
      </c>
      <c r="I755" s="114">
        <f t="shared" si="2"/>
        <v>0</v>
      </c>
      <c r="J755" s="114">
        <f t="shared" si="3"/>
        <v>0</v>
      </c>
      <c r="K755" s="133">
        <f t="shared" si="4"/>
        <v>0</v>
      </c>
    </row>
    <row r="756" ht="18.0" customHeight="1">
      <c r="A756" s="134"/>
      <c r="B756" s="77"/>
      <c r="C756" s="77"/>
      <c r="D756" s="135" t="str">
        <f t="array" ref="D756">IFERROR(IF(C756="","",INDEX(PRODUK!$B:$B,MATCH(C756,PRODUK!$A:$A,0))),"")</f>
        <v/>
      </c>
      <c r="E756" s="117"/>
      <c r="F756" s="119">
        <f t="array" ref="F756">IFERROR(IF(C756="",0,INDEX(PRODUK!$F:$F,MATCH(C756,PRODUK!$A:$A,0))),0)</f>
        <v>0</v>
      </c>
      <c r="G756" s="118">
        <f t="shared" si="1"/>
        <v>0</v>
      </c>
      <c r="H756" s="118">
        <f t="array" ref="H756">IFERROR(IF(B756="",0,INDEX(HPP_ENGINE!$J:$J,MATCH(B756,HPP_ENGINE!$A:$A,0))),0)</f>
        <v>0</v>
      </c>
      <c r="I756" s="118">
        <f t="shared" si="2"/>
        <v>0</v>
      </c>
      <c r="J756" s="118">
        <f t="shared" si="3"/>
        <v>0</v>
      </c>
      <c r="K756" s="136">
        <f t="shared" si="4"/>
        <v>0</v>
      </c>
    </row>
    <row r="757" ht="18.0" customHeight="1">
      <c r="A757" s="132"/>
      <c r="B757" s="72"/>
      <c r="C757" s="72"/>
      <c r="D757" s="137" t="str">
        <f t="array" ref="D757">IFERROR(IF(C757="","",INDEX(PRODUK!$B:$B,MATCH(C757,PRODUK!$A:$A,0))),"")</f>
        <v/>
      </c>
      <c r="E757" s="113"/>
      <c r="F757" s="115">
        <f t="array" ref="F757">IFERROR(IF(C757="",0,INDEX(PRODUK!$F:$F,MATCH(C757,PRODUK!$A:$A,0))),0)</f>
        <v>0</v>
      </c>
      <c r="G757" s="114">
        <f t="shared" si="1"/>
        <v>0</v>
      </c>
      <c r="H757" s="114">
        <f t="array" ref="H757">IFERROR(IF(B757="",0,INDEX(HPP_ENGINE!$J:$J,MATCH(B757,HPP_ENGINE!$A:$A,0))),0)</f>
        <v>0</v>
      </c>
      <c r="I757" s="114">
        <f t="shared" si="2"/>
        <v>0</v>
      </c>
      <c r="J757" s="114">
        <f t="shared" si="3"/>
        <v>0</v>
      </c>
      <c r="K757" s="133">
        <f t="shared" si="4"/>
        <v>0</v>
      </c>
    </row>
    <row r="758" ht="18.0" customHeight="1">
      <c r="A758" s="134"/>
      <c r="B758" s="77"/>
      <c r="C758" s="77"/>
      <c r="D758" s="135" t="str">
        <f t="array" ref="D758">IFERROR(IF(C758="","",INDEX(PRODUK!$B:$B,MATCH(C758,PRODUK!$A:$A,0))),"")</f>
        <v/>
      </c>
      <c r="E758" s="117"/>
      <c r="F758" s="119">
        <f t="array" ref="F758">IFERROR(IF(C758="",0,INDEX(PRODUK!$F:$F,MATCH(C758,PRODUK!$A:$A,0))),0)</f>
        <v>0</v>
      </c>
      <c r="G758" s="118">
        <f t="shared" si="1"/>
        <v>0</v>
      </c>
      <c r="H758" s="118">
        <f t="array" ref="H758">IFERROR(IF(B758="",0,INDEX(HPP_ENGINE!$J:$J,MATCH(B758,HPP_ENGINE!$A:$A,0))),0)</f>
        <v>0</v>
      </c>
      <c r="I758" s="118">
        <f t="shared" si="2"/>
        <v>0</v>
      </c>
      <c r="J758" s="118">
        <f t="shared" si="3"/>
        <v>0</v>
      </c>
      <c r="K758" s="136">
        <f t="shared" si="4"/>
        <v>0</v>
      </c>
    </row>
    <row r="759" ht="18.0" customHeight="1">
      <c r="A759" s="132"/>
      <c r="B759" s="72"/>
      <c r="C759" s="72"/>
      <c r="D759" s="137" t="str">
        <f t="array" ref="D759">IFERROR(IF(C759="","",INDEX(PRODUK!$B:$B,MATCH(C759,PRODUK!$A:$A,0))),"")</f>
        <v/>
      </c>
      <c r="E759" s="113"/>
      <c r="F759" s="115">
        <f t="array" ref="F759">IFERROR(IF(C759="",0,INDEX(PRODUK!$F:$F,MATCH(C759,PRODUK!$A:$A,0))),0)</f>
        <v>0</v>
      </c>
      <c r="G759" s="114">
        <f t="shared" si="1"/>
        <v>0</v>
      </c>
      <c r="H759" s="114">
        <f t="array" ref="H759">IFERROR(IF(B759="",0,INDEX(HPP_ENGINE!$J:$J,MATCH(B759,HPP_ENGINE!$A:$A,0))),0)</f>
        <v>0</v>
      </c>
      <c r="I759" s="114">
        <f t="shared" si="2"/>
        <v>0</v>
      </c>
      <c r="J759" s="114">
        <f t="shared" si="3"/>
        <v>0</v>
      </c>
      <c r="K759" s="133">
        <f t="shared" si="4"/>
        <v>0</v>
      </c>
    </row>
    <row r="760" ht="18.0" customHeight="1">
      <c r="A760" s="134"/>
      <c r="B760" s="77"/>
      <c r="C760" s="77"/>
      <c r="D760" s="135" t="str">
        <f t="array" ref="D760">IFERROR(IF(C760="","",INDEX(PRODUK!$B:$B,MATCH(C760,PRODUK!$A:$A,0))),"")</f>
        <v/>
      </c>
      <c r="E760" s="117"/>
      <c r="F760" s="119">
        <f t="array" ref="F760">IFERROR(IF(C760="",0,INDEX(PRODUK!$F:$F,MATCH(C760,PRODUK!$A:$A,0))),0)</f>
        <v>0</v>
      </c>
      <c r="G760" s="118">
        <f t="shared" si="1"/>
        <v>0</v>
      </c>
      <c r="H760" s="118">
        <f t="array" ref="H760">IFERROR(IF(B760="",0,INDEX(HPP_ENGINE!$J:$J,MATCH(B760,HPP_ENGINE!$A:$A,0))),0)</f>
        <v>0</v>
      </c>
      <c r="I760" s="118">
        <f t="shared" si="2"/>
        <v>0</v>
      </c>
      <c r="J760" s="118">
        <f t="shared" si="3"/>
        <v>0</v>
      </c>
      <c r="K760" s="136">
        <f t="shared" si="4"/>
        <v>0</v>
      </c>
    </row>
    <row r="761" ht="18.0" customHeight="1">
      <c r="A761" s="132"/>
      <c r="B761" s="72"/>
      <c r="C761" s="72"/>
      <c r="D761" s="137" t="str">
        <f t="array" ref="D761">IFERROR(IF(C761="","",INDEX(PRODUK!$B:$B,MATCH(C761,PRODUK!$A:$A,0))),"")</f>
        <v/>
      </c>
      <c r="E761" s="113"/>
      <c r="F761" s="115">
        <f t="array" ref="F761">IFERROR(IF(C761="",0,INDEX(PRODUK!$F:$F,MATCH(C761,PRODUK!$A:$A,0))),0)</f>
        <v>0</v>
      </c>
      <c r="G761" s="114">
        <f t="shared" si="1"/>
        <v>0</v>
      </c>
      <c r="H761" s="114">
        <f t="array" ref="H761">IFERROR(IF(B761="",0,INDEX(HPP_ENGINE!$J:$J,MATCH(B761,HPP_ENGINE!$A:$A,0))),0)</f>
        <v>0</v>
      </c>
      <c r="I761" s="114">
        <f t="shared" si="2"/>
        <v>0</v>
      </c>
      <c r="J761" s="114">
        <f t="shared" si="3"/>
        <v>0</v>
      </c>
      <c r="K761" s="133">
        <f t="shared" si="4"/>
        <v>0</v>
      </c>
    </row>
    <row r="762" ht="18.0" customHeight="1">
      <c r="A762" s="134"/>
      <c r="B762" s="77"/>
      <c r="C762" s="77"/>
      <c r="D762" s="135" t="str">
        <f t="array" ref="D762">IFERROR(IF(C762="","",INDEX(PRODUK!$B:$B,MATCH(C762,PRODUK!$A:$A,0))),"")</f>
        <v/>
      </c>
      <c r="E762" s="117"/>
      <c r="F762" s="119">
        <f t="array" ref="F762">IFERROR(IF(C762="",0,INDEX(PRODUK!$F:$F,MATCH(C762,PRODUK!$A:$A,0))),0)</f>
        <v>0</v>
      </c>
      <c r="G762" s="118">
        <f t="shared" si="1"/>
        <v>0</v>
      </c>
      <c r="H762" s="118">
        <f t="array" ref="H762">IFERROR(IF(B762="",0,INDEX(HPP_ENGINE!$J:$J,MATCH(B762,HPP_ENGINE!$A:$A,0))),0)</f>
        <v>0</v>
      </c>
      <c r="I762" s="118">
        <f t="shared" si="2"/>
        <v>0</v>
      </c>
      <c r="J762" s="118">
        <f t="shared" si="3"/>
        <v>0</v>
      </c>
      <c r="K762" s="136">
        <f t="shared" si="4"/>
        <v>0</v>
      </c>
    </row>
    <row r="763" ht="18.0" customHeight="1">
      <c r="A763" s="132"/>
      <c r="B763" s="72"/>
      <c r="C763" s="72"/>
      <c r="D763" s="137" t="str">
        <f t="array" ref="D763">IFERROR(IF(C763="","",INDEX(PRODUK!$B:$B,MATCH(C763,PRODUK!$A:$A,0))),"")</f>
        <v/>
      </c>
      <c r="E763" s="113"/>
      <c r="F763" s="115">
        <f t="array" ref="F763">IFERROR(IF(C763="",0,INDEX(PRODUK!$F:$F,MATCH(C763,PRODUK!$A:$A,0))),0)</f>
        <v>0</v>
      </c>
      <c r="G763" s="114">
        <f t="shared" si="1"/>
        <v>0</v>
      </c>
      <c r="H763" s="114">
        <f t="array" ref="H763">IFERROR(IF(B763="",0,INDEX(HPP_ENGINE!$J:$J,MATCH(B763,HPP_ENGINE!$A:$A,0))),0)</f>
        <v>0</v>
      </c>
      <c r="I763" s="114">
        <f t="shared" si="2"/>
        <v>0</v>
      </c>
      <c r="J763" s="114">
        <f t="shared" si="3"/>
        <v>0</v>
      </c>
      <c r="K763" s="133">
        <f t="shared" si="4"/>
        <v>0</v>
      </c>
    </row>
    <row r="764" ht="18.0" customHeight="1">
      <c r="A764" s="134"/>
      <c r="B764" s="77"/>
      <c r="C764" s="77"/>
      <c r="D764" s="135" t="str">
        <f t="array" ref="D764">IFERROR(IF(C764="","",INDEX(PRODUK!$B:$B,MATCH(C764,PRODUK!$A:$A,0))),"")</f>
        <v/>
      </c>
      <c r="E764" s="117"/>
      <c r="F764" s="119">
        <f t="array" ref="F764">IFERROR(IF(C764="",0,INDEX(PRODUK!$F:$F,MATCH(C764,PRODUK!$A:$A,0))),0)</f>
        <v>0</v>
      </c>
      <c r="G764" s="118">
        <f t="shared" si="1"/>
        <v>0</v>
      </c>
      <c r="H764" s="118">
        <f t="array" ref="H764">IFERROR(IF(B764="",0,INDEX(HPP_ENGINE!$J:$J,MATCH(B764,HPP_ENGINE!$A:$A,0))),0)</f>
        <v>0</v>
      </c>
      <c r="I764" s="118">
        <f t="shared" si="2"/>
        <v>0</v>
      </c>
      <c r="J764" s="118">
        <f t="shared" si="3"/>
        <v>0</v>
      </c>
      <c r="K764" s="136">
        <f t="shared" si="4"/>
        <v>0</v>
      </c>
    </row>
    <row r="765" ht="18.0" customHeight="1">
      <c r="A765" s="132"/>
      <c r="B765" s="72"/>
      <c r="C765" s="72"/>
      <c r="D765" s="137" t="str">
        <f t="array" ref="D765">IFERROR(IF(C765="","",INDEX(PRODUK!$B:$B,MATCH(C765,PRODUK!$A:$A,0))),"")</f>
        <v/>
      </c>
      <c r="E765" s="113"/>
      <c r="F765" s="115">
        <f t="array" ref="F765">IFERROR(IF(C765="",0,INDEX(PRODUK!$F:$F,MATCH(C765,PRODUK!$A:$A,0))),0)</f>
        <v>0</v>
      </c>
      <c r="G765" s="114">
        <f t="shared" si="1"/>
        <v>0</v>
      </c>
      <c r="H765" s="114">
        <f t="array" ref="H765">IFERROR(IF(B765="",0,INDEX(HPP_ENGINE!$J:$J,MATCH(B765,HPP_ENGINE!$A:$A,0))),0)</f>
        <v>0</v>
      </c>
      <c r="I765" s="114">
        <f t="shared" si="2"/>
        <v>0</v>
      </c>
      <c r="J765" s="114">
        <f t="shared" si="3"/>
        <v>0</v>
      </c>
      <c r="K765" s="133">
        <f t="shared" si="4"/>
        <v>0</v>
      </c>
    </row>
    <row r="766" ht="18.0" customHeight="1">
      <c r="A766" s="134"/>
      <c r="B766" s="77"/>
      <c r="C766" s="77"/>
      <c r="D766" s="135" t="str">
        <f t="array" ref="D766">IFERROR(IF(C766="","",INDEX(PRODUK!$B:$B,MATCH(C766,PRODUK!$A:$A,0))),"")</f>
        <v/>
      </c>
      <c r="E766" s="117"/>
      <c r="F766" s="119">
        <f t="array" ref="F766">IFERROR(IF(C766="",0,INDEX(PRODUK!$F:$F,MATCH(C766,PRODUK!$A:$A,0))),0)</f>
        <v>0</v>
      </c>
      <c r="G766" s="118">
        <f t="shared" si="1"/>
        <v>0</v>
      </c>
      <c r="H766" s="118">
        <f t="array" ref="H766">IFERROR(IF(B766="",0,INDEX(HPP_ENGINE!$J:$J,MATCH(B766,HPP_ENGINE!$A:$A,0))),0)</f>
        <v>0</v>
      </c>
      <c r="I766" s="118">
        <f t="shared" si="2"/>
        <v>0</v>
      </c>
      <c r="J766" s="118">
        <f t="shared" si="3"/>
        <v>0</v>
      </c>
      <c r="K766" s="136">
        <f t="shared" si="4"/>
        <v>0</v>
      </c>
    </row>
    <row r="767" ht="18.0" customHeight="1">
      <c r="A767" s="132"/>
      <c r="B767" s="72"/>
      <c r="C767" s="72"/>
      <c r="D767" s="137" t="str">
        <f t="array" ref="D767">IFERROR(IF(C767="","",INDEX(PRODUK!$B:$B,MATCH(C767,PRODUK!$A:$A,0))),"")</f>
        <v/>
      </c>
      <c r="E767" s="113"/>
      <c r="F767" s="115">
        <f t="array" ref="F767">IFERROR(IF(C767="",0,INDEX(PRODUK!$F:$F,MATCH(C767,PRODUK!$A:$A,0))),0)</f>
        <v>0</v>
      </c>
      <c r="G767" s="114">
        <f t="shared" si="1"/>
        <v>0</v>
      </c>
      <c r="H767" s="114">
        <f t="array" ref="H767">IFERROR(IF(B767="",0,INDEX(HPP_ENGINE!$J:$J,MATCH(B767,HPP_ENGINE!$A:$A,0))),0)</f>
        <v>0</v>
      </c>
      <c r="I767" s="114">
        <f t="shared" si="2"/>
        <v>0</v>
      </c>
      <c r="J767" s="114">
        <f t="shared" si="3"/>
        <v>0</v>
      </c>
      <c r="K767" s="133">
        <f t="shared" si="4"/>
        <v>0</v>
      </c>
    </row>
    <row r="768" ht="18.0" customHeight="1">
      <c r="A768" s="134"/>
      <c r="B768" s="77"/>
      <c r="C768" s="77"/>
      <c r="D768" s="135" t="str">
        <f t="array" ref="D768">IFERROR(IF(C768="","",INDEX(PRODUK!$B:$B,MATCH(C768,PRODUK!$A:$A,0))),"")</f>
        <v/>
      </c>
      <c r="E768" s="117"/>
      <c r="F768" s="119">
        <f t="array" ref="F768">IFERROR(IF(C768="",0,INDEX(PRODUK!$F:$F,MATCH(C768,PRODUK!$A:$A,0))),0)</f>
        <v>0</v>
      </c>
      <c r="G768" s="118">
        <f t="shared" si="1"/>
        <v>0</v>
      </c>
      <c r="H768" s="118">
        <f t="array" ref="H768">IFERROR(IF(B768="",0,INDEX(HPP_ENGINE!$J:$J,MATCH(B768,HPP_ENGINE!$A:$A,0))),0)</f>
        <v>0</v>
      </c>
      <c r="I768" s="118">
        <f t="shared" si="2"/>
        <v>0</v>
      </c>
      <c r="J768" s="118">
        <f t="shared" si="3"/>
        <v>0</v>
      </c>
      <c r="K768" s="136">
        <f t="shared" si="4"/>
        <v>0</v>
      </c>
    </row>
    <row r="769" ht="18.0" customHeight="1">
      <c r="A769" s="132"/>
      <c r="B769" s="72"/>
      <c r="C769" s="72"/>
      <c r="D769" s="137" t="str">
        <f t="array" ref="D769">IFERROR(IF(C769="","",INDEX(PRODUK!$B:$B,MATCH(C769,PRODUK!$A:$A,0))),"")</f>
        <v/>
      </c>
      <c r="E769" s="113"/>
      <c r="F769" s="115">
        <f t="array" ref="F769">IFERROR(IF(C769="",0,INDEX(PRODUK!$F:$F,MATCH(C769,PRODUK!$A:$A,0))),0)</f>
        <v>0</v>
      </c>
      <c r="G769" s="114">
        <f t="shared" si="1"/>
        <v>0</v>
      </c>
      <c r="H769" s="114">
        <f t="array" ref="H769">IFERROR(IF(B769="",0,INDEX(HPP_ENGINE!$J:$J,MATCH(B769,HPP_ENGINE!$A:$A,0))),0)</f>
        <v>0</v>
      </c>
      <c r="I769" s="114">
        <f t="shared" si="2"/>
        <v>0</v>
      </c>
      <c r="J769" s="114">
        <f t="shared" si="3"/>
        <v>0</v>
      </c>
      <c r="K769" s="133">
        <f t="shared" si="4"/>
        <v>0</v>
      </c>
    </row>
    <row r="770" ht="18.0" customHeight="1">
      <c r="A770" s="134"/>
      <c r="B770" s="77"/>
      <c r="C770" s="77"/>
      <c r="D770" s="135" t="str">
        <f t="array" ref="D770">IFERROR(IF(C770="","",INDEX(PRODUK!$B:$B,MATCH(C770,PRODUK!$A:$A,0))),"")</f>
        <v/>
      </c>
      <c r="E770" s="117"/>
      <c r="F770" s="119">
        <f t="array" ref="F770">IFERROR(IF(C770="",0,INDEX(PRODUK!$F:$F,MATCH(C770,PRODUK!$A:$A,0))),0)</f>
        <v>0</v>
      </c>
      <c r="G770" s="118">
        <f t="shared" si="1"/>
        <v>0</v>
      </c>
      <c r="H770" s="118">
        <f t="array" ref="H770">IFERROR(IF(B770="",0,INDEX(HPP_ENGINE!$J:$J,MATCH(B770,HPP_ENGINE!$A:$A,0))),0)</f>
        <v>0</v>
      </c>
      <c r="I770" s="118">
        <f t="shared" si="2"/>
        <v>0</v>
      </c>
      <c r="J770" s="118">
        <f t="shared" si="3"/>
        <v>0</v>
      </c>
      <c r="K770" s="136">
        <f t="shared" si="4"/>
        <v>0</v>
      </c>
    </row>
    <row r="771" ht="18.0" customHeight="1">
      <c r="A771" s="132"/>
      <c r="B771" s="72"/>
      <c r="C771" s="72"/>
      <c r="D771" s="137" t="str">
        <f t="array" ref="D771">IFERROR(IF(C771="","",INDEX(PRODUK!$B:$B,MATCH(C771,PRODUK!$A:$A,0))),"")</f>
        <v/>
      </c>
      <c r="E771" s="113"/>
      <c r="F771" s="115">
        <f t="array" ref="F771">IFERROR(IF(C771="",0,INDEX(PRODUK!$F:$F,MATCH(C771,PRODUK!$A:$A,0))),0)</f>
        <v>0</v>
      </c>
      <c r="G771" s="114">
        <f t="shared" si="1"/>
        <v>0</v>
      </c>
      <c r="H771" s="114">
        <f t="array" ref="H771">IFERROR(IF(B771="",0,INDEX(HPP_ENGINE!$J:$J,MATCH(B771,HPP_ENGINE!$A:$A,0))),0)</f>
        <v>0</v>
      </c>
      <c r="I771" s="114">
        <f t="shared" si="2"/>
        <v>0</v>
      </c>
      <c r="J771" s="114">
        <f t="shared" si="3"/>
        <v>0</v>
      </c>
      <c r="K771" s="133">
        <f t="shared" si="4"/>
        <v>0</v>
      </c>
    </row>
    <row r="772" ht="18.0" customHeight="1">
      <c r="A772" s="134"/>
      <c r="B772" s="77"/>
      <c r="C772" s="77"/>
      <c r="D772" s="135" t="str">
        <f t="array" ref="D772">IFERROR(IF(C772="","",INDEX(PRODUK!$B:$B,MATCH(C772,PRODUK!$A:$A,0))),"")</f>
        <v/>
      </c>
      <c r="E772" s="117"/>
      <c r="F772" s="119">
        <f t="array" ref="F772">IFERROR(IF(C772="",0,INDEX(PRODUK!$F:$F,MATCH(C772,PRODUK!$A:$A,0))),0)</f>
        <v>0</v>
      </c>
      <c r="G772" s="118">
        <f t="shared" si="1"/>
        <v>0</v>
      </c>
      <c r="H772" s="118">
        <f t="array" ref="H772">IFERROR(IF(B772="",0,INDEX(HPP_ENGINE!$J:$J,MATCH(B772,HPP_ENGINE!$A:$A,0))),0)</f>
        <v>0</v>
      </c>
      <c r="I772" s="118">
        <f t="shared" si="2"/>
        <v>0</v>
      </c>
      <c r="J772" s="118">
        <f t="shared" si="3"/>
        <v>0</v>
      </c>
      <c r="K772" s="136">
        <f t="shared" si="4"/>
        <v>0</v>
      </c>
    </row>
    <row r="773" ht="18.0" customHeight="1">
      <c r="A773" s="132"/>
      <c r="B773" s="72"/>
      <c r="C773" s="72"/>
      <c r="D773" s="137" t="str">
        <f t="array" ref="D773">IFERROR(IF(C773="","",INDEX(PRODUK!$B:$B,MATCH(C773,PRODUK!$A:$A,0))),"")</f>
        <v/>
      </c>
      <c r="E773" s="113"/>
      <c r="F773" s="115">
        <f t="array" ref="F773">IFERROR(IF(C773="",0,INDEX(PRODUK!$F:$F,MATCH(C773,PRODUK!$A:$A,0))),0)</f>
        <v>0</v>
      </c>
      <c r="G773" s="114">
        <f t="shared" si="1"/>
        <v>0</v>
      </c>
      <c r="H773" s="114">
        <f t="array" ref="H773">IFERROR(IF(B773="",0,INDEX(HPP_ENGINE!$J:$J,MATCH(B773,HPP_ENGINE!$A:$A,0))),0)</f>
        <v>0</v>
      </c>
      <c r="I773" s="114">
        <f t="shared" si="2"/>
        <v>0</v>
      </c>
      <c r="J773" s="114">
        <f t="shared" si="3"/>
        <v>0</v>
      </c>
      <c r="K773" s="133">
        <f t="shared" si="4"/>
        <v>0</v>
      </c>
    </row>
    <row r="774" ht="18.0" customHeight="1">
      <c r="A774" s="134"/>
      <c r="B774" s="77"/>
      <c r="C774" s="77"/>
      <c r="D774" s="135" t="str">
        <f t="array" ref="D774">IFERROR(IF(C774="","",INDEX(PRODUK!$B:$B,MATCH(C774,PRODUK!$A:$A,0))),"")</f>
        <v/>
      </c>
      <c r="E774" s="117"/>
      <c r="F774" s="119">
        <f t="array" ref="F774">IFERROR(IF(C774="",0,INDEX(PRODUK!$F:$F,MATCH(C774,PRODUK!$A:$A,0))),0)</f>
        <v>0</v>
      </c>
      <c r="G774" s="118">
        <f t="shared" si="1"/>
        <v>0</v>
      </c>
      <c r="H774" s="118">
        <f t="array" ref="H774">IFERROR(IF(B774="",0,INDEX(HPP_ENGINE!$J:$J,MATCH(B774,HPP_ENGINE!$A:$A,0))),0)</f>
        <v>0</v>
      </c>
      <c r="I774" s="118">
        <f t="shared" si="2"/>
        <v>0</v>
      </c>
      <c r="J774" s="118">
        <f t="shared" si="3"/>
        <v>0</v>
      </c>
      <c r="K774" s="136">
        <f t="shared" si="4"/>
        <v>0</v>
      </c>
    </row>
    <row r="775" ht="18.0" customHeight="1">
      <c r="A775" s="132"/>
      <c r="B775" s="72"/>
      <c r="C775" s="72"/>
      <c r="D775" s="137" t="str">
        <f t="array" ref="D775">IFERROR(IF(C775="","",INDEX(PRODUK!$B:$B,MATCH(C775,PRODUK!$A:$A,0))),"")</f>
        <v/>
      </c>
      <c r="E775" s="113"/>
      <c r="F775" s="115">
        <f t="array" ref="F775">IFERROR(IF(C775="",0,INDEX(PRODUK!$F:$F,MATCH(C775,PRODUK!$A:$A,0))),0)</f>
        <v>0</v>
      </c>
      <c r="G775" s="114">
        <f t="shared" si="1"/>
        <v>0</v>
      </c>
      <c r="H775" s="114">
        <f t="array" ref="H775">IFERROR(IF(B775="",0,INDEX(HPP_ENGINE!$J:$J,MATCH(B775,HPP_ENGINE!$A:$A,0))),0)</f>
        <v>0</v>
      </c>
      <c r="I775" s="114">
        <f t="shared" si="2"/>
        <v>0</v>
      </c>
      <c r="J775" s="114">
        <f t="shared" si="3"/>
        <v>0</v>
      </c>
      <c r="K775" s="133">
        <f t="shared" si="4"/>
        <v>0</v>
      </c>
    </row>
    <row r="776" ht="18.0" customHeight="1">
      <c r="A776" s="134"/>
      <c r="B776" s="77"/>
      <c r="C776" s="77"/>
      <c r="D776" s="135" t="str">
        <f t="array" ref="D776">IFERROR(IF(C776="","",INDEX(PRODUK!$B:$B,MATCH(C776,PRODUK!$A:$A,0))),"")</f>
        <v/>
      </c>
      <c r="E776" s="117"/>
      <c r="F776" s="119">
        <f t="array" ref="F776">IFERROR(IF(C776="",0,INDEX(PRODUK!$F:$F,MATCH(C776,PRODUK!$A:$A,0))),0)</f>
        <v>0</v>
      </c>
      <c r="G776" s="118">
        <f t="shared" si="1"/>
        <v>0</v>
      </c>
      <c r="H776" s="118">
        <f t="array" ref="H776">IFERROR(IF(B776="",0,INDEX(HPP_ENGINE!$J:$J,MATCH(B776,HPP_ENGINE!$A:$A,0))),0)</f>
        <v>0</v>
      </c>
      <c r="I776" s="118">
        <f t="shared" si="2"/>
        <v>0</v>
      </c>
      <c r="J776" s="118">
        <f t="shared" si="3"/>
        <v>0</v>
      </c>
      <c r="K776" s="136">
        <f t="shared" si="4"/>
        <v>0</v>
      </c>
    </row>
    <row r="777" ht="18.0" customHeight="1">
      <c r="A777" s="132"/>
      <c r="B777" s="72"/>
      <c r="C777" s="72"/>
      <c r="D777" s="137" t="str">
        <f t="array" ref="D777">IFERROR(IF(C777="","",INDEX(PRODUK!$B:$B,MATCH(C777,PRODUK!$A:$A,0))),"")</f>
        <v/>
      </c>
      <c r="E777" s="113"/>
      <c r="F777" s="115">
        <f t="array" ref="F777">IFERROR(IF(C777="",0,INDEX(PRODUK!$F:$F,MATCH(C777,PRODUK!$A:$A,0))),0)</f>
        <v>0</v>
      </c>
      <c r="G777" s="114">
        <f t="shared" si="1"/>
        <v>0</v>
      </c>
      <c r="H777" s="114">
        <f t="array" ref="H777">IFERROR(IF(B777="",0,INDEX(HPP_ENGINE!$J:$J,MATCH(B777,HPP_ENGINE!$A:$A,0))),0)</f>
        <v>0</v>
      </c>
      <c r="I777" s="114">
        <f t="shared" si="2"/>
        <v>0</v>
      </c>
      <c r="J777" s="114">
        <f t="shared" si="3"/>
        <v>0</v>
      </c>
      <c r="K777" s="133">
        <f t="shared" si="4"/>
        <v>0</v>
      </c>
    </row>
    <row r="778" ht="18.0" customHeight="1">
      <c r="A778" s="134"/>
      <c r="B778" s="77"/>
      <c r="C778" s="77"/>
      <c r="D778" s="135" t="str">
        <f t="array" ref="D778">IFERROR(IF(C778="","",INDEX(PRODUK!$B:$B,MATCH(C778,PRODUK!$A:$A,0))),"")</f>
        <v/>
      </c>
      <c r="E778" s="117"/>
      <c r="F778" s="119">
        <f t="array" ref="F778">IFERROR(IF(C778="",0,INDEX(PRODUK!$F:$F,MATCH(C778,PRODUK!$A:$A,0))),0)</f>
        <v>0</v>
      </c>
      <c r="G778" s="118">
        <f t="shared" si="1"/>
        <v>0</v>
      </c>
      <c r="H778" s="118">
        <f t="array" ref="H778">IFERROR(IF(B778="",0,INDEX(HPP_ENGINE!$J:$J,MATCH(B778,HPP_ENGINE!$A:$A,0))),0)</f>
        <v>0</v>
      </c>
      <c r="I778" s="118">
        <f t="shared" si="2"/>
        <v>0</v>
      </c>
      <c r="J778" s="118">
        <f t="shared" si="3"/>
        <v>0</v>
      </c>
      <c r="K778" s="136">
        <f t="shared" si="4"/>
        <v>0</v>
      </c>
    </row>
    <row r="779" ht="18.0" customHeight="1">
      <c r="A779" s="132"/>
      <c r="B779" s="72"/>
      <c r="C779" s="72"/>
      <c r="D779" s="137" t="str">
        <f t="array" ref="D779">IFERROR(IF(C779="","",INDEX(PRODUK!$B:$B,MATCH(C779,PRODUK!$A:$A,0))),"")</f>
        <v/>
      </c>
      <c r="E779" s="113"/>
      <c r="F779" s="115">
        <f t="array" ref="F779">IFERROR(IF(C779="",0,INDEX(PRODUK!$F:$F,MATCH(C779,PRODUK!$A:$A,0))),0)</f>
        <v>0</v>
      </c>
      <c r="G779" s="114">
        <f t="shared" si="1"/>
        <v>0</v>
      </c>
      <c r="H779" s="114">
        <f t="array" ref="H779">IFERROR(IF(B779="",0,INDEX(HPP_ENGINE!$J:$J,MATCH(B779,HPP_ENGINE!$A:$A,0))),0)</f>
        <v>0</v>
      </c>
      <c r="I779" s="114">
        <f t="shared" si="2"/>
        <v>0</v>
      </c>
      <c r="J779" s="114">
        <f t="shared" si="3"/>
        <v>0</v>
      </c>
      <c r="K779" s="133">
        <f t="shared" si="4"/>
        <v>0</v>
      </c>
    </row>
    <row r="780" ht="18.0" customHeight="1">
      <c r="A780" s="134"/>
      <c r="B780" s="77"/>
      <c r="C780" s="77"/>
      <c r="D780" s="135" t="str">
        <f t="array" ref="D780">IFERROR(IF(C780="","",INDEX(PRODUK!$B:$B,MATCH(C780,PRODUK!$A:$A,0))),"")</f>
        <v/>
      </c>
      <c r="E780" s="117"/>
      <c r="F780" s="119">
        <f t="array" ref="F780">IFERROR(IF(C780="",0,INDEX(PRODUK!$F:$F,MATCH(C780,PRODUK!$A:$A,0))),0)</f>
        <v>0</v>
      </c>
      <c r="G780" s="118">
        <f t="shared" si="1"/>
        <v>0</v>
      </c>
      <c r="H780" s="118">
        <f t="array" ref="H780">IFERROR(IF(B780="",0,INDEX(HPP_ENGINE!$J:$J,MATCH(B780,HPP_ENGINE!$A:$A,0))),0)</f>
        <v>0</v>
      </c>
      <c r="I780" s="118">
        <f t="shared" si="2"/>
        <v>0</v>
      </c>
      <c r="J780" s="118">
        <f t="shared" si="3"/>
        <v>0</v>
      </c>
      <c r="K780" s="136">
        <f t="shared" si="4"/>
        <v>0</v>
      </c>
    </row>
    <row r="781" ht="18.0" customHeight="1">
      <c r="A781" s="132"/>
      <c r="B781" s="72"/>
      <c r="C781" s="72"/>
      <c r="D781" s="137" t="str">
        <f t="array" ref="D781">IFERROR(IF(C781="","",INDEX(PRODUK!$B:$B,MATCH(C781,PRODUK!$A:$A,0))),"")</f>
        <v/>
      </c>
      <c r="E781" s="113"/>
      <c r="F781" s="115">
        <f t="array" ref="F781">IFERROR(IF(C781="",0,INDEX(PRODUK!$F:$F,MATCH(C781,PRODUK!$A:$A,0))),0)</f>
        <v>0</v>
      </c>
      <c r="G781" s="114">
        <f t="shared" si="1"/>
        <v>0</v>
      </c>
      <c r="H781" s="114">
        <f t="array" ref="H781">IFERROR(IF(B781="",0,INDEX(HPP_ENGINE!$J:$J,MATCH(B781,HPP_ENGINE!$A:$A,0))),0)</f>
        <v>0</v>
      </c>
      <c r="I781" s="114">
        <f t="shared" si="2"/>
        <v>0</v>
      </c>
      <c r="J781" s="114">
        <f t="shared" si="3"/>
        <v>0</v>
      </c>
      <c r="K781" s="133">
        <f t="shared" si="4"/>
        <v>0</v>
      </c>
    </row>
    <row r="782" ht="18.0" customHeight="1">
      <c r="A782" s="134"/>
      <c r="B782" s="77"/>
      <c r="C782" s="77"/>
      <c r="D782" s="135" t="str">
        <f t="array" ref="D782">IFERROR(IF(C782="","",INDEX(PRODUK!$B:$B,MATCH(C782,PRODUK!$A:$A,0))),"")</f>
        <v/>
      </c>
      <c r="E782" s="117"/>
      <c r="F782" s="119">
        <f t="array" ref="F782">IFERROR(IF(C782="",0,INDEX(PRODUK!$F:$F,MATCH(C782,PRODUK!$A:$A,0))),0)</f>
        <v>0</v>
      </c>
      <c r="G782" s="118">
        <f t="shared" si="1"/>
        <v>0</v>
      </c>
      <c r="H782" s="118">
        <f t="array" ref="H782">IFERROR(IF(B782="",0,INDEX(HPP_ENGINE!$J:$J,MATCH(B782,HPP_ENGINE!$A:$A,0))),0)</f>
        <v>0</v>
      </c>
      <c r="I782" s="118">
        <f t="shared" si="2"/>
        <v>0</v>
      </c>
      <c r="J782" s="118">
        <f t="shared" si="3"/>
        <v>0</v>
      </c>
      <c r="K782" s="136">
        <f t="shared" si="4"/>
        <v>0</v>
      </c>
    </row>
    <row r="783" ht="18.0" customHeight="1">
      <c r="A783" s="132"/>
      <c r="B783" s="72"/>
      <c r="C783" s="72"/>
      <c r="D783" s="137" t="str">
        <f t="array" ref="D783">IFERROR(IF(C783="","",INDEX(PRODUK!$B:$B,MATCH(C783,PRODUK!$A:$A,0))),"")</f>
        <v/>
      </c>
      <c r="E783" s="113"/>
      <c r="F783" s="115">
        <f t="array" ref="F783">IFERROR(IF(C783="",0,INDEX(PRODUK!$F:$F,MATCH(C783,PRODUK!$A:$A,0))),0)</f>
        <v>0</v>
      </c>
      <c r="G783" s="114">
        <f t="shared" si="1"/>
        <v>0</v>
      </c>
      <c r="H783" s="114">
        <f t="array" ref="H783">IFERROR(IF(B783="",0,INDEX(HPP_ENGINE!$J:$J,MATCH(B783,HPP_ENGINE!$A:$A,0))),0)</f>
        <v>0</v>
      </c>
      <c r="I783" s="114">
        <f t="shared" si="2"/>
        <v>0</v>
      </c>
      <c r="J783" s="114">
        <f t="shared" si="3"/>
        <v>0</v>
      </c>
      <c r="K783" s="133">
        <f t="shared" si="4"/>
        <v>0</v>
      </c>
    </row>
    <row r="784" ht="18.0" customHeight="1">
      <c r="A784" s="134"/>
      <c r="B784" s="77"/>
      <c r="C784" s="77"/>
      <c r="D784" s="135" t="str">
        <f t="array" ref="D784">IFERROR(IF(C784="","",INDEX(PRODUK!$B:$B,MATCH(C784,PRODUK!$A:$A,0))),"")</f>
        <v/>
      </c>
      <c r="E784" s="117"/>
      <c r="F784" s="119">
        <f t="array" ref="F784">IFERROR(IF(C784="",0,INDEX(PRODUK!$F:$F,MATCH(C784,PRODUK!$A:$A,0))),0)</f>
        <v>0</v>
      </c>
      <c r="G784" s="118">
        <f t="shared" si="1"/>
        <v>0</v>
      </c>
      <c r="H784" s="118">
        <f t="array" ref="H784">IFERROR(IF(B784="",0,INDEX(HPP_ENGINE!$J:$J,MATCH(B784,HPP_ENGINE!$A:$A,0))),0)</f>
        <v>0</v>
      </c>
      <c r="I784" s="118">
        <f t="shared" si="2"/>
        <v>0</v>
      </c>
      <c r="J784" s="118">
        <f t="shared" si="3"/>
        <v>0</v>
      </c>
      <c r="K784" s="136">
        <f t="shared" si="4"/>
        <v>0</v>
      </c>
    </row>
    <row r="785" ht="18.0" customHeight="1">
      <c r="A785" s="132"/>
      <c r="B785" s="72"/>
      <c r="C785" s="72"/>
      <c r="D785" s="137" t="str">
        <f t="array" ref="D785">IFERROR(IF(C785="","",INDEX(PRODUK!$B:$B,MATCH(C785,PRODUK!$A:$A,0))),"")</f>
        <v/>
      </c>
      <c r="E785" s="113"/>
      <c r="F785" s="115">
        <f t="array" ref="F785">IFERROR(IF(C785="",0,INDEX(PRODUK!$F:$F,MATCH(C785,PRODUK!$A:$A,0))),0)</f>
        <v>0</v>
      </c>
      <c r="G785" s="114">
        <f t="shared" si="1"/>
        <v>0</v>
      </c>
      <c r="H785" s="114">
        <f t="array" ref="H785">IFERROR(IF(B785="",0,INDEX(HPP_ENGINE!$J:$J,MATCH(B785,HPP_ENGINE!$A:$A,0))),0)</f>
        <v>0</v>
      </c>
      <c r="I785" s="114">
        <f t="shared" si="2"/>
        <v>0</v>
      </c>
      <c r="J785" s="114">
        <f t="shared" si="3"/>
        <v>0</v>
      </c>
      <c r="K785" s="133">
        <f t="shared" si="4"/>
        <v>0</v>
      </c>
    </row>
    <row r="786" ht="18.0" customHeight="1">
      <c r="A786" s="134"/>
      <c r="B786" s="77"/>
      <c r="C786" s="77"/>
      <c r="D786" s="135" t="str">
        <f t="array" ref="D786">IFERROR(IF(C786="","",INDEX(PRODUK!$B:$B,MATCH(C786,PRODUK!$A:$A,0))),"")</f>
        <v/>
      </c>
      <c r="E786" s="117"/>
      <c r="F786" s="119">
        <f t="array" ref="F786">IFERROR(IF(C786="",0,INDEX(PRODUK!$F:$F,MATCH(C786,PRODUK!$A:$A,0))),0)</f>
        <v>0</v>
      </c>
      <c r="G786" s="118">
        <f t="shared" si="1"/>
        <v>0</v>
      </c>
      <c r="H786" s="118">
        <f t="array" ref="H786">IFERROR(IF(B786="",0,INDEX(HPP_ENGINE!$J:$J,MATCH(B786,HPP_ENGINE!$A:$A,0))),0)</f>
        <v>0</v>
      </c>
      <c r="I786" s="118">
        <f t="shared" si="2"/>
        <v>0</v>
      </c>
      <c r="J786" s="118">
        <f t="shared" si="3"/>
        <v>0</v>
      </c>
      <c r="K786" s="136">
        <f t="shared" si="4"/>
        <v>0</v>
      </c>
    </row>
    <row r="787" ht="18.0" customHeight="1">
      <c r="A787" s="132"/>
      <c r="B787" s="72"/>
      <c r="C787" s="72"/>
      <c r="D787" s="137" t="str">
        <f t="array" ref="D787">IFERROR(IF(C787="","",INDEX(PRODUK!$B:$B,MATCH(C787,PRODUK!$A:$A,0))),"")</f>
        <v/>
      </c>
      <c r="E787" s="113"/>
      <c r="F787" s="115">
        <f t="array" ref="F787">IFERROR(IF(C787="",0,INDEX(PRODUK!$F:$F,MATCH(C787,PRODUK!$A:$A,0))),0)</f>
        <v>0</v>
      </c>
      <c r="G787" s="114">
        <f t="shared" si="1"/>
        <v>0</v>
      </c>
      <c r="H787" s="114">
        <f t="array" ref="H787">IFERROR(IF(B787="",0,INDEX(HPP_ENGINE!$J:$J,MATCH(B787,HPP_ENGINE!$A:$A,0))),0)</f>
        <v>0</v>
      </c>
      <c r="I787" s="114">
        <f t="shared" si="2"/>
        <v>0</v>
      </c>
      <c r="J787" s="114">
        <f t="shared" si="3"/>
        <v>0</v>
      </c>
      <c r="K787" s="133">
        <f t="shared" si="4"/>
        <v>0</v>
      </c>
    </row>
    <row r="788" ht="18.0" customHeight="1">
      <c r="A788" s="134"/>
      <c r="B788" s="77"/>
      <c r="C788" s="77"/>
      <c r="D788" s="135" t="str">
        <f t="array" ref="D788">IFERROR(IF(C788="","",INDEX(PRODUK!$B:$B,MATCH(C788,PRODUK!$A:$A,0))),"")</f>
        <v/>
      </c>
      <c r="E788" s="117"/>
      <c r="F788" s="119">
        <f t="array" ref="F788">IFERROR(IF(C788="",0,INDEX(PRODUK!$F:$F,MATCH(C788,PRODUK!$A:$A,0))),0)</f>
        <v>0</v>
      </c>
      <c r="G788" s="118">
        <f t="shared" si="1"/>
        <v>0</v>
      </c>
      <c r="H788" s="118">
        <f t="array" ref="H788">IFERROR(IF(B788="",0,INDEX(HPP_ENGINE!$J:$J,MATCH(B788,HPP_ENGINE!$A:$A,0))),0)</f>
        <v>0</v>
      </c>
      <c r="I788" s="118">
        <f t="shared" si="2"/>
        <v>0</v>
      </c>
      <c r="J788" s="118">
        <f t="shared" si="3"/>
        <v>0</v>
      </c>
      <c r="K788" s="136">
        <f t="shared" si="4"/>
        <v>0</v>
      </c>
    </row>
    <row r="789" ht="18.0" customHeight="1">
      <c r="A789" s="132"/>
      <c r="B789" s="72"/>
      <c r="C789" s="72"/>
      <c r="D789" s="137" t="str">
        <f t="array" ref="D789">IFERROR(IF(C789="","",INDEX(PRODUK!$B:$B,MATCH(C789,PRODUK!$A:$A,0))),"")</f>
        <v/>
      </c>
      <c r="E789" s="113"/>
      <c r="F789" s="115">
        <f t="array" ref="F789">IFERROR(IF(C789="",0,INDEX(PRODUK!$F:$F,MATCH(C789,PRODUK!$A:$A,0))),0)</f>
        <v>0</v>
      </c>
      <c r="G789" s="114">
        <f t="shared" si="1"/>
        <v>0</v>
      </c>
      <c r="H789" s="114">
        <f t="array" ref="H789">IFERROR(IF(B789="",0,INDEX(HPP_ENGINE!$J:$J,MATCH(B789,HPP_ENGINE!$A:$A,0))),0)</f>
        <v>0</v>
      </c>
      <c r="I789" s="114">
        <f t="shared" si="2"/>
        <v>0</v>
      </c>
      <c r="J789" s="114">
        <f t="shared" si="3"/>
        <v>0</v>
      </c>
      <c r="K789" s="133">
        <f t="shared" si="4"/>
        <v>0</v>
      </c>
    </row>
    <row r="790" ht="18.0" customHeight="1">
      <c r="A790" s="134"/>
      <c r="B790" s="77"/>
      <c r="C790" s="77"/>
      <c r="D790" s="135" t="str">
        <f t="array" ref="D790">IFERROR(IF(C790="","",INDEX(PRODUK!$B:$B,MATCH(C790,PRODUK!$A:$A,0))),"")</f>
        <v/>
      </c>
      <c r="E790" s="117"/>
      <c r="F790" s="119">
        <f t="array" ref="F790">IFERROR(IF(C790="",0,INDEX(PRODUK!$F:$F,MATCH(C790,PRODUK!$A:$A,0))),0)</f>
        <v>0</v>
      </c>
      <c r="G790" s="118">
        <f t="shared" si="1"/>
        <v>0</v>
      </c>
      <c r="H790" s="118">
        <f t="array" ref="H790">IFERROR(IF(B790="",0,INDEX(HPP_ENGINE!$J:$J,MATCH(B790,HPP_ENGINE!$A:$A,0))),0)</f>
        <v>0</v>
      </c>
      <c r="I790" s="118">
        <f t="shared" si="2"/>
        <v>0</v>
      </c>
      <c r="J790" s="118">
        <f t="shared" si="3"/>
        <v>0</v>
      </c>
      <c r="K790" s="136">
        <f t="shared" si="4"/>
        <v>0</v>
      </c>
    </row>
    <row r="791" ht="18.0" customHeight="1">
      <c r="A791" s="132"/>
      <c r="B791" s="72"/>
      <c r="C791" s="72"/>
      <c r="D791" s="137" t="str">
        <f t="array" ref="D791">IFERROR(IF(C791="","",INDEX(PRODUK!$B:$B,MATCH(C791,PRODUK!$A:$A,0))),"")</f>
        <v/>
      </c>
      <c r="E791" s="113"/>
      <c r="F791" s="115">
        <f t="array" ref="F791">IFERROR(IF(C791="",0,INDEX(PRODUK!$F:$F,MATCH(C791,PRODUK!$A:$A,0))),0)</f>
        <v>0</v>
      </c>
      <c r="G791" s="114">
        <f t="shared" si="1"/>
        <v>0</v>
      </c>
      <c r="H791" s="114">
        <f t="array" ref="H791">IFERROR(IF(B791="",0,INDEX(HPP_ENGINE!$J:$J,MATCH(B791,HPP_ENGINE!$A:$A,0))),0)</f>
        <v>0</v>
      </c>
      <c r="I791" s="114">
        <f t="shared" si="2"/>
        <v>0</v>
      </c>
      <c r="J791" s="114">
        <f t="shared" si="3"/>
        <v>0</v>
      </c>
      <c r="K791" s="133">
        <f t="shared" si="4"/>
        <v>0</v>
      </c>
    </row>
    <row r="792" ht="18.0" customHeight="1">
      <c r="A792" s="134"/>
      <c r="B792" s="77"/>
      <c r="C792" s="77"/>
      <c r="D792" s="135" t="str">
        <f t="array" ref="D792">IFERROR(IF(C792="","",INDEX(PRODUK!$B:$B,MATCH(C792,PRODUK!$A:$A,0))),"")</f>
        <v/>
      </c>
      <c r="E792" s="117"/>
      <c r="F792" s="119">
        <f t="array" ref="F792">IFERROR(IF(C792="",0,INDEX(PRODUK!$F:$F,MATCH(C792,PRODUK!$A:$A,0))),0)</f>
        <v>0</v>
      </c>
      <c r="G792" s="118">
        <f t="shared" si="1"/>
        <v>0</v>
      </c>
      <c r="H792" s="118">
        <f t="array" ref="H792">IFERROR(IF(B792="",0,INDEX(HPP_ENGINE!$J:$J,MATCH(B792,HPP_ENGINE!$A:$A,0))),0)</f>
        <v>0</v>
      </c>
      <c r="I792" s="118">
        <f t="shared" si="2"/>
        <v>0</v>
      </c>
      <c r="J792" s="118">
        <f t="shared" si="3"/>
        <v>0</v>
      </c>
      <c r="K792" s="136">
        <f t="shared" si="4"/>
        <v>0</v>
      </c>
    </row>
    <row r="793" ht="18.0" customHeight="1">
      <c r="A793" s="132"/>
      <c r="B793" s="72"/>
      <c r="C793" s="72"/>
      <c r="D793" s="137" t="str">
        <f t="array" ref="D793">IFERROR(IF(C793="","",INDEX(PRODUK!$B:$B,MATCH(C793,PRODUK!$A:$A,0))),"")</f>
        <v/>
      </c>
      <c r="E793" s="113"/>
      <c r="F793" s="115">
        <f t="array" ref="F793">IFERROR(IF(C793="",0,INDEX(PRODUK!$F:$F,MATCH(C793,PRODUK!$A:$A,0))),0)</f>
        <v>0</v>
      </c>
      <c r="G793" s="114">
        <f t="shared" si="1"/>
        <v>0</v>
      </c>
      <c r="H793" s="114">
        <f t="array" ref="H793">IFERROR(IF(B793="",0,INDEX(HPP_ENGINE!$J:$J,MATCH(B793,HPP_ENGINE!$A:$A,0))),0)</f>
        <v>0</v>
      </c>
      <c r="I793" s="114">
        <f t="shared" si="2"/>
        <v>0</v>
      </c>
      <c r="J793" s="114">
        <f t="shared" si="3"/>
        <v>0</v>
      </c>
      <c r="K793" s="133">
        <f t="shared" si="4"/>
        <v>0</v>
      </c>
    </row>
    <row r="794" ht="18.0" customHeight="1">
      <c r="A794" s="134"/>
      <c r="B794" s="77"/>
      <c r="C794" s="77"/>
      <c r="D794" s="135" t="str">
        <f t="array" ref="D794">IFERROR(IF(C794="","",INDEX(PRODUK!$B:$B,MATCH(C794,PRODUK!$A:$A,0))),"")</f>
        <v/>
      </c>
      <c r="E794" s="117"/>
      <c r="F794" s="119">
        <f t="array" ref="F794">IFERROR(IF(C794="",0,INDEX(PRODUK!$F:$F,MATCH(C794,PRODUK!$A:$A,0))),0)</f>
        <v>0</v>
      </c>
      <c r="G794" s="118">
        <f t="shared" si="1"/>
        <v>0</v>
      </c>
      <c r="H794" s="118">
        <f t="array" ref="H794">IFERROR(IF(B794="",0,INDEX(HPP_ENGINE!$J:$J,MATCH(B794,HPP_ENGINE!$A:$A,0))),0)</f>
        <v>0</v>
      </c>
      <c r="I794" s="118">
        <f t="shared" si="2"/>
        <v>0</v>
      </c>
      <c r="J794" s="118">
        <f t="shared" si="3"/>
        <v>0</v>
      </c>
      <c r="K794" s="136">
        <f t="shared" si="4"/>
        <v>0</v>
      </c>
    </row>
    <row r="795" ht="18.0" customHeight="1">
      <c r="A795" s="132"/>
      <c r="B795" s="72"/>
      <c r="C795" s="72"/>
      <c r="D795" s="137" t="str">
        <f t="array" ref="D795">IFERROR(IF(C795="","",INDEX(PRODUK!$B:$B,MATCH(C795,PRODUK!$A:$A,0))),"")</f>
        <v/>
      </c>
      <c r="E795" s="113"/>
      <c r="F795" s="115">
        <f t="array" ref="F795">IFERROR(IF(C795="",0,INDEX(PRODUK!$F:$F,MATCH(C795,PRODUK!$A:$A,0))),0)</f>
        <v>0</v>
      </c>
      <c r="G795" s="114">
        <f t="shared" si="1"/>
        <v>0</v>
      </c>
      <c r="H795" s="114">
        <f t="array" ref="H795">IFERROR(IF(B795="",0,INDEX(HPP_ENGINE!$J:$J,MATCH(B795,HPP_ENGINE!$A:$A,0))),0)</f>
        <v>0</v>
      </c>
      <c r="I795" s="114">
        <f t="shared" si="2"/>
        <v>0</v>
      </c>
      <c r="J795" s="114">
        <f t="shared" si="3"/>
        <v>0</v>
      </c>
      <c r="K795" s="133">
        <f t="shared" si="4"/>
        <v>0</v>
      </c>
    </row>
    <row r="796" ht="18.0" customHeight="1">
      <c r="A796" s="134"/>
      <c r="B796" s="77"/>
      <c r="C796" s="77"/>
      <c r="D796" s="135" t="str">
        <f t="array" ref="D796">IFERROR(IF(C796="","",INDEX(PRODUK!$B:$B,MATCH(C796,PRODUK!$A:$A,0))),"")</f>
        <v/>
      </c>
      <c r="E796" s="117"/>
      <c r="F796" s="119">
        <f t="array" ref="F796">IFERROR(IF(C796="",0,INDEX(PRODUK!$F:$F,MATCH(C796,PRODUK!$A:$A,0))),0)</f>
        <v>0</v>
      </c>
      <c r="G796" s="118">
        <f t="shared" si="1"/>
        <v>0</v>
      </c>
      <c r="H796" s="118">
        <f t="array" ref="H796">IFERROR(IF(B796="",0,INDEX(HPP_ENGINE!$J:$J,MATCH(B796,HPP_ENGINE!$A:$A,0))),0)</f>
        <v>0</v>
      </c>
      <c r="I796" s="118">
        <f t="shared" si="2"/>
        <v>0</v>
      </c>
      <c r="J796" s="118">
        <f t="shared" si="3"/>
        <v>0</v>
      </c>
      <c r="K796" s="136">
        <f t="shared" si="4"/>
        <v>0</v>
      </c>
    </row>
    <row r="797" ht="18.0" customHeight="1">
      <c r="A797" s="132"/>
      <c r="B797" s="72"/>
      <c r="C797" s="72"/>
      <c r="D797" s="137" t="str">
        <f t="array" ref="D797">IFERROR(IF(C797="","",INDEX(PRODUK!$B:$B,MATCH(C797,PRODUK!$A:$A,0))),"")</f>
        <v/>
      </c>
      <c r="E797" s="113"/>
      <c r="F797" s="115">
        <f t="array" ref="F797">IFERROR(IF(C797="",0,INDEX(PRODUK!$F:$F,MATCH(C797,PRODUK!$A:$A,0))),0)</f>
        <v>0</v>
      </c>
      <c r="G797" s="114">
        <f t="shared" si="1"/>
        <v>0</v>
      </c>
      <c r="H797" s="114">
        <f t="array" ref="H797">IFERROR(IF(B797="",0,INDEX(HPP_ENGINE!$J:$J,MATCH(B797,HPP_ENGINE!$A:$A,0))),0)</f>
        <v>0</v>
      </c>
      <c r="I797" s="114">
        <f t="shared" si="2"/>
        <v>0</v>
      </c>
      <c r="J797" s="114">
        <f t="shared" si="3"/>
        <v>0</v>
      </c>
      <c r="K797" s="133">
        <f t="shared" si="4"/>
        <v>0</v>
      </c>
    </row>
    <row r="798" ht="18.0" customHeight="1">
      <c r="A798" s="134"/>
      <c r="B798" s="77"/>
      <c r="C798" s="77"/>
      <c r="D798" s="135" t="str">
        <f t="array" ref="D798">IFERROR(IF(C798="","",INDEX(PRODUK!$B:$B,MATCH(C798,PRODUK!$A:$A,0))),"")</f>
        <v/>
      </c>
      <c r="E798" s="117"/>
      <c r="F798" s="119">
        <f t="array" ref="F798">IFERROR(IF(C798="",0,INDEX(PRODUK!$F:$F,MATCH(C798,PRODUK!$A:$A,0))),0)</f>
        <v>0</v>
      </c>
      <c r="G798" s="118">
        <f t="shared" si="1"/>
        <v>0</v>
      </c>
      <c r="H798" s="118">
        <f t="array" ref="H798">IFERROR(IF(B798="",0,INDEX(HPP_ENGINE!$J:$J,MATCH(B798,HPP_ENGINE!$A:$A,0))),0)</f>
        <v>0</v>
      </c>
      <c r="I798" s="118">
        <f t="shared" si="2"/>
        <v>0</v>
      </c>
      <c r="J798" s="118">
        <f t="shared" si="3"/>
        <v>0</v>
      </c>
      <c r="K798" s="136">
        <f t="shared" si="4"/>
        <v>0</v>
      </c>
    </row>
    <row r="799" ht="18.0" customHeight="1">
      <c r="A799" s="132"/>
      <c r="B799" s="72"/>
      <c r="C799" s="72"/>
      <c r="D799" s="137" t="str">
        <f t="array" ref="D799">IFERROR(IF(C799="","",INDEX(PRODUK!$B:$B,MATCH(C799,PRODUK!$A:$A,0))),"")</f>
        <v/>
      </c>
      <c r="E799" s="113"/>
      <c r="F799" s="115">
        <f t="array" ref="F799">IFERROR(IF(C799="",0,INDEX(PRODUK!$F:$F,MATCH(C799,PRODUK!$A:$A,0))),0)</f>
        <v>0</v>
      </c>
      <c r="G799" s="114">
        <f t="shared" si="1"/>
        <v>0</v>
      </c>
      <c r="H799" s="114">
        <f t="array" ref="H799">IFERROR(IF(B799="",0,INDEX(HPP_ENGINE!$J:$J,MATCH(B799,HPP_ENGINE!$A:$A,0))),0)</f>
        <v>0</v>
      </c>
      <c r="I799" s="114">
        <f t="shared" si="2"/>
        <v>0</v>
      </c>
      <c r="J799" s="114">
        <f t="shared" si="3"/>
        <v>0</v>
      </c>
      <c r="K799" s="133">
        <f t="shared" si="4"/>
        <v>0</v>
      </c>
    </row>
    <row r="800" ht="18.0" customHeight="1">
      <c r="A800" s="134"/>
      <c r="B800" s="77"/>
      <c r="C800" s="77"/>
      <c r="D800" s="135" t="str">
        <f t="array" ref="D800">IFERROR(IF(C800="","",INDEX(PRODUK!$B:$B,MATCH(C800,PRODUK!$A:$A,0))),"")</f>
        <v/>
      </c>
      <c r="E800" s="117"/>
      <c r="F800" s="119">
        <f t="array" ref="F800">IFERROR(IF(C800="",0,INDEX(PRODUK!$F:$F,MATCH(C800,PRODUK!$A:$A,0))),0)</f>
        <v>0</v>
      </c>
      <c r="G800" s="118">
        <f t="shared" si="1"/>
        <v>0</v>
      </c>
      <c r="H800" s="118">
        <f t="array" ref="H800">IFERROR(IF(B800="",0,INDEX(HPP_ENGINE!$J:$J,MATCH(B800,HPP_ENGINE!$A:$A,0))),0)</f>
        <v>0</v>
      </c>
      <c r="I800" s="118">
        <f t="shared" si="2"/>
        <v>0</v>
      </c>
      <c r="J800" s="118">
        <f t="shared" si="3"/>
        <v>0</v>
      </c>
      <c r="K800" s="136">
        <f t="shared" si="4"/>
        <v>0</v>
      </c>
    </row>
    <row r="801" ht="18.0" customHeight="1">
      <c r="A801" s="132"/>
      <c r="B801" s="72"/>
      <c r="C801" s="72"/>
      <c r="D801" s="137" t="str">
        <f t="array" ref="D801">IFERROR(IF(C801="","",INDEX(PRODUK!$B:$B,MATCH(C801,PRODUK!$A:$A,0))),"")</f>
        <v/>
      </c>
      <c r="E801" s="113"/>
      <c r="F801" s="115">
        <f t="array" ref="F801">IFERROR(IF(C801="",0,INDEX(PRODUK!$F:$F,MATCH(C801,PRODUK!$A:$A,0))),0)</f>
        <v>0</v>
      </c>
      <c r="G801" s="114">
        <f t="shared" si="1"/>
        <v>0</v>
      </c>
      <c r="H801" s="114">
        <f t="array" ref="H801">IFERROR(IF(B801="",0,INDEX(HPP_ENGINE!$J:$J,MATCH(B801,HPP_ENGINE!$A:$A,0))),0)</f>
        <v>0</v>
      </c>
      <c r="I801" s="114">
        <f t="shared" si="2"/>
        <v>0</v>
      </c>
      <c r="J801" s="114">
        <f t="shared" si="3"/>
        <v>0</v>
      </c>
      <c r="K801" s="133">
        <f t="shared" si="4"/>
        <v>0</v>
      </c>
    </row>
    <row r="802" ht="18.0" customHeight="1">
      <c r="A802" s="134"/>
      <c r="B802" s="77"/>
      <c r="C802" s="77"/>
      <c r="D802" s="135" t="str">
        <f t="array" ref="D802">IFERROR(IF(C802="","",INDEX(PRODUK!$B:$B,MATCH(C802,PRODUK!$A:$A,0))),"")</f>
        <v/>
      </c>
      <c r="E802" s="117"/>
      <c r="F802" s="119">
        <f t="array" ref="F802">IFERROR(IF(C802="",0,INDEX(PRODUK!$F:$F,MATCH(C802,PRODUK!$A:$A,0))),0)</f>
        <v>0</v>
      </c>
      <c r="G802" s="118">
        <f t="shared" si="1"/>
        <v>0</v>
      </c>
      <c r="H802" s="118">
        <f t="array" ref="H802">IFERROR(IF(B802="",0,INDEX(HPP_ENGINE!$J:$J,MATCH(B802,HPP_ENGINE!$A:$A,0))),0)</f>
        <v>0</v>
      </c>
      <c r="I802" s="118">
        <f t="shared" si="2"/>
        <v>0</v>
      </c>
      <c r="J802" s="118">
        <f t="shared" si="3"/>
        <v>0</v>
      </c>
      <c r="K802" s="136">
        <f t="shared" si="4"/>
        <v>0</v>
      </c>
    </row>
    <row r="803" ht="18.0" customHeight="1">
      <c r="A803" s="132"/>
      <c r="B803" s="72"/>
      <c r="C803" s="72"/>
      <c r="D803" s="137" t="str">
        <f t="array" ref="D803">IFERROR(IF(C803="","",INDEX(PRODUK!$B:$B,MATCH(C803,PRODUK!$A:$A,0))),"")</f>
        <v/>
      </c>
      <c r="E803" s="113"/>
      <c r="F803" s="115">
        <f t="array" ref="F803">IFERROR(IF(C803="",0,INDEX(PRODUK!$F:$F,MATCH(C803,PRODUK!$A:$A,0))),0)</f>
        <v>0</v>
      </c>
      <c r="G803" s="114">
        <f t="shared" si="1"/>
        <v>0</v>
      </c>
      <c r="H803" s="114">
        <f t="array" ref="H803">IFERROR(IF(B803="",0,INDEX(HPP_ENGINE!$J:$J,MATCH(B803,HPP_ENGINE!$A:$A,0))),0)</f>
        <v>0</v>
      </c>
      <c r="I803" s="114">
        <f t="shared" si="2"/>
        <v>0</v>
      </c>
      <c r="J803" s="114">
        <f t="shared" si="3"/>
        <v>0</v>
      </c>
      <c r="K803" s="133">
        <f t="shared" si="4"/>
        <v>0</v>
      </c>
    </row>
    <row r="804" ht="18.0" customHeight="1">
      <c r="A804" s="134"/>
      <c r="B804" s="77"/>
      <c r="C804" s="77"/>
      <c r="D804" s="135" t="str">
        <f t="array" ref="D804">IFERROR(IF(C804="","",INDEX(PRODUK!$B:$B,MATCH(C804,PRODUK!$A:$A,0))),"")</f>
        <v/>
      </c>
      <c r="E804" s="117"/>
      <c r="F804" s="119">
        <f t="array" ref="F804">IFERROR(IF(C804="",0,INDEX(PRODUK!$F:$F,MATCH(C804,PRODUK!$A:$A,0))),0)</f>
        <v>0</v>
      </c>
      <c r="G804" s="118">
        <f t="shared" si="1"/>
        <v>0</v>
      </c>
      <c r="H804" s="118">
        <f t="array" ref="H804">IFERROR(IF(B804="",0,INDEX(HPP_ENGINE!$J:$J,MATCH(B804,HPP_ENGINE!$A:$A,0))),0)</f>
        <v>0</v>
      </c>
      <c r="I804" s="118">
        <f t="shared" si="2"/>
        <v>0</v>
      </c>
      <c r="J804" s="118">
        <f t="shared" si="3"/>
        <v>0</v>
      </c>
      <c r="K804" s="136">
        <f t="shared" si="4"/>
        <v>0</v>
      </c>
    </row>
    <row r="805" ht="18.0" customHeight="1">
      <c r="A805" s="132"/>
      <c r="B805" s="72"/>
      <c r="C805" s="72"/>
      <c r="D805" s="137" t="str">
        <f t="array" ref="D805">IFERROR(IF(C805="","",INDEX(PRODUK!$B:$B,MATCH(C805,PRODUK!$A:$A,0))),"")</f>
        <v/>
      </c>
      <c r="E805" s="113"/>
      <c r="F805" s="115">
        <f t="array" ref="F805">IFERROR(IF(C805="",0,INDEX(PRODUK!$F:$F,MATCH(C805,PRODUK!$A:$A,0))),0)</f>
        <v>0</v>
      </c>
      <c r="G805" s="114">
        <f t="shared" si="1"/>
        <v>0</v>
      </c>
      <c r="H805" s="114">
        <f t="array" ref="H805">IFERROR(IF(B805="",0,INDEX(HPP_ENGINE!$J:$J,MATCH(B805,HPP_ENGINE!$A:$A,0))),0)</f>
        <v>0</v>
      </c>
      <c r="I805" s="114">
        <f t="shared" si="2"/>
        <v>0</v>
      </c>
      <c r="J805" s="114">
        <f t="shared" si="3"/>
        <v>0</v>
      </c>
      <c r="K805" s="133">
        <f t="shared" si="4"/>
        <v>0</v>
      </c>
    </row>
    <row r="806" ht="18.0" customHeight="1">
      <c r="A806" s="134"/>
      <c r="B806" s="77"/>
      <c r="C806" s="77"/>
      <c r="D806" s="135" t="str">
        <f t="array" ref="D806">IFERROR(IF(C806="","",INDEX(PRODUK!$B:$B,MATCH(C806,PRODUK!$A:$A,0))),"")</f>
        <v/>
      </c>
      <c r="E806" s="117"/>
      <c r="F806" s="119">
        <f t="array" ref="F806">IFERROR(IF(C806="",0,INDEX(PRODUK!$F:$F,MATCH(C806,PRODUK!$A:$A,0))),0)</f>
        <v>0</v>
      </c>
      <c r="G806" s="118">
        <f t="shared" si="1"/>
        <v>0</v>
      </c>
      <c r="H806" s="118">
        <f t="array" ref="H806">IFERROR(IF(B806="",0,INDEX(HPP_ENGINE!$J:$J,MATCH(B806,HPP_ENGINE!$A:$A,0))),0)</f>
        <v>0</v>
      </c>
      <c r="I806" s="118">
        <f t="shared" si="2"/>
        <v>0</v>
      </c>
      <c r="J806" s="118">
        <f t="shared" si="3"/>
        <v>0</v>
      </c>
      <c r="K806" s="136">
        <f t="shared" si="4"/>
        <v>0</v>
      </c>
    </row>
    <row r="807" ht="18.0" customHeight="1">
      <c r="A807" s="132"/>
      <c r="B807" s="72"/>
      <c r="C807" s="72"/>
      <c r="D807" s="137" t="str">
        <f t="array" ref="D807">IFERROR(IF(C807="","",INDEX(PRODUK!$B:$B,MATCH(C807,PRODUK!$A:$A,0))),"")</f>
        <v/>
      </c>
      <c r="E807" s="113"/>
      <c r="F807" s="115">
        <f t="array" ref="F807">IFERROR(IF(C807="",0,INDEX(PRODUK!$F:$F,MATCH(C807,PRODUK!$A:$A,0))),0)</f>
        <v>0</v>
      </c>
      <c r="G807" s="114">
        <f t="shared" si="1"/>
        <v>0</v>
      </c>
      <c r="H807" s="114">
        <f t="array" ref="H807">IFERROR(IF(B807="",0,INDEX(HPP_ENGINE!$J:$J,MATCH(B807,HPP_ENGINE!$A:$A,0))),0)</f>
        <v>0</v>
      </c>
      <c r="I807" s="114">
        <f t="shared" si="2"/>
        <v>0</v>
      </c>
      <c r="J807" s="114">
        <f t="shared" si="3"/>
        <v>0</v>
      </c>
      <c r="K807" s="133">
        <f t="shared" si="4"/>
        <v>0</v>
      </c>
    </row>
    <row r="808" ht="18.0" customHeight="1">
      <c r="A808" s="134"/>
      <c r="B808" s="77"/>
      <c r="C808" s="77"/>
      <c r="D808" s="135" t="str">
        <f t="array" ref="D808">IFERROR(IF(C808="","",INDEX(PRODUK!$B:$B,MATCH(C808,PRODUK!$A:$A,0))),"")</f>
        <v/>
      </c>
      <c r="E808" s="117"/>
      <c r="F808" s="119">
        <f t="array" ref="F808">IFERROR(IF(C808="",0,INDEX(PRODUK!$F:$F,MATCH(C808,PRODUK!$A:$A,0))),0)</f>
        <v>0</v>
      </c>
      <c r="G808" s="118">
        <f t="shared" si="1"/>
        <v>0</v>
      </c>
      <c r="H808" s="118">
        <f t="array" ref="H808">IFERROR(IF(B808="",0,INDEX(HPP_ENGINE!$J:$J,MATCH(B808,HPP_ENGINE!$A:$A,0))),0)</f>
        <v>0</v>
      </c>
      <c r="I808" s="118">
        <f t="shared" si="2"/>
        <v>0</v>
      </c>
      <c r="J808" s="118">
        <f t="shared" si="3"/>
        <v>0</v>
      </c>
      <c r="K808" s="136">
        <f t="shared" si="4"/>
        <v>0</v>
      </c>
    </row>
    <row r="809" ht="18.0" customHeight="1">
      <c r="A809" s="132"/>
      <c r="B809" s="72"/>
      <c r="C809" s="72"/>
      <c r="D809" s="137" t="str">
        <f t="array" ref="D809">IFERROR(IF(C809="","",INDEX(PRODUK!$B:$B,MATCH(C809,PRODUK!$A:$A,0))),"")</f>
        <v/>
      </c>
      <c r="E809" s="113"/>
      <c r="F809" s="115">
        <f t="array" ref="F809">IFERROR(IF(C809="",0,INDEX(PRODUK!$F:$F,MATCH(C809,PRODUK!$A:$A,0))),0)</f>
        <v>0</v>
      </c>
      <c r="G809" s="114">
        <f t="shared" si="1"/>
        <v>0</v>
      </c>
      <c r="H809" s="114">
        <f t="array" ref="H809">IFERROR(IF(B809="",0,INDEX(HPP_ENGINE!$J:$J,MATCH(B809,HPP_ENGINE!$A:$A,0))),0)</f>
        <v>0</v>
      </c>
      <c r="I809" s="114">
        <f t="shared" si="2"/>
        <v>0</v>
      </c>
      <c r="J809" s="114">
        <f t="shared" si="3"/>
        <v>0</v>
      </c>
      <c r="K809" s="133">
        <f t="shared" si="4"/>
        <v>0</v>
      </c>
    </row>
    <row r="810" ht="18.0" customHeight="1">
      <c r="A810" s="134"/>
      <c r="B810" s="77"/>
      <c r="C810" s="77"/>
      <c r="D810" s="135" t="str">
        <f t="array" ref="D810">IFERROR(IF(C810="","",INDEX(PRODUK!$B:$B,MATCH(C810,PRODUK!$A:$A,0))),"")</f>
        <v/>
      </c>
      <c r="E810" s="117"/>
      <c r="F810" s="119">
        <f t="array" ref="F810">IFERROR(IF(C810="",0,INDEX(PRODUK!$F:$F,MATCH(C810,PRODUK!$A:$A,0))),0)</f>
        <v>0</v>
      </c>
      <c r="G810" s="118">
        <f t="shared" si="1"/>
        <v>0</v>
      </c>
      <c r="H810" s="118">
        <f t="array" ref="H810">IFERROR(IF(B810="",0,INDEX(HPP_ENGINE!$J:$J,MATCH(B810,HPP_ENGINE!$A:$A,0))),0)</f>
        <v>0</v>
      </c>
      <c r="I810" s="118">
        <f t="shared" si="2"/>
        <v>0</v>
      </c>
      <c r="J810" s="118">
        <f t="shared" si="3"/>
        <v>0</v>
      </c>
      <c r="K810" s="136">
        <f t="shared" si="4"/>
        <v>0</v>
      </c>
    </row>
    <row r="811" ht="18.0" customHeight="1">
      <c r="A811" s="132"/>
      <c r="B811" s="72"/>
      <c r="C811" s="72"/>
      <c r="D811" s="137" t="str">
        <f t="array" ref="D811">IFERROR(IF(C811="","",INDEX(PRODUK!$B:$B,MATCH(C811,PRODUK!$A:$A,0))),"")</f>
        <v/>
      </c>
      <c r="E811" s="113"/>
      <c r="F811" s="115">
        <f t="array" ref="F811">IFERROR(IF(C811="",0,INDEX(PRODUK!$F:$F,MATCH(C811,PRODUK!$A:$A,0))),0)</f>
        <v>0</v>
      </c>
      <c r="G811" s="114">
        <f t="shared" si="1"/>
        <v>0</v>
      </c>
      <c r="H811" s="114">
        <f t="array" ref="H811">IFERROR(IF(B811="",0,INDEX(HPP_ENGINE!$J:$J,MATCH(B811,HPP_ENGINE!$A:$A,0))),0)</f>
        <v>0</v>
      </c>
      <c r="I811" s="114">
        <f t="shared" si="2"/>
        <v>0</v>
      </c>
      <c r="J811" s="114">
        <f t="shared" si="3"/>
        <v>0</v>
      </c>
      <c r="K811" s="133">
        <f t="shared" si="4"/>
        <v>0</v>
      </c>
    </row>
    <row r="812" ht="18.0" customHeight="1">
      <c r="A812" s="134"/>
      <c r="B812" s="77"/>
      <c r="C812" s="77"/>
      <c r="D812" s="135" t="str">
        <f t="array" ref="D812">IFERROR(IF(C812="","",INDEX(PRODUK!$B:$B,MATCH(C812,PRODUK!$A:$A,0))),"")</f>
        <v/>
      </c>
      <c r="E812" s="117"/>
      <c r="F812" s="119">
        <f t="array" ref="F812">IFERROR(IF(C812="",0,INDEX(PRODUK!$F:$F,MATCH(C812,PRODUK!$A:$A,0))),0)</f>
        <v>0</v>
      </c>
      <c r="G812" s="118">
        <f t="shared" si="1"/>
        <v>0</v>
      </c>
      <c r="H812" s="118">
        <f t="array" ref="H812">IFERROR(IF(B812="",0,INDEX(HPP_ENGINE!$J:$J,MATCH(B812,HPP_ENGINE!$A:$A,0))),0)</f>
        <v>0</v>
      </c>
      <c r="I812" s="118">
        <f t="shared" si="2"/>
        <v>0</v>
      </c>
      <c r="J812" s="118">
        <f t="shared" si="3"/>
        <v>0</v>
      </c>
      <c r="K812" s="136">
        <f t="shared" si="4"/>
        <v>0</v>
      </c>
    </row>
    <row r="813" ht="18.0" customHeight="1">
      <c r="A813" s="132"/>
      <c r="B813" s="72"/>
      <c r="C813" s="72"/>
      <c r="D813" s="137" t="str">
        <f t="array" ref="D813">IFERROR(IF(C813="","",INDEX(PRODUK!$B:$B,MATCH(C813,PRODUK!$A:$A,0))),"")</f>
        <v/>
      </c>
      <c r="E813" s="113"/>
      <c r="F813" s="115">
        <f t="array" ref="F813">IFERROR(IF(C813="",0,INDEX(PRODUK!$F:$F,MATCH(C813,PRODUK!$A:$A,0))),0)</f>
        <v>0</v>
      </c>
      <c r="G813" s="114">
        <f t="shared" si="1"/>
        <v>0</v>
      </c>
      <c r="H813" s="114">
        <f t="array" ref="H813">IFERROR(IF(B813="",0,INDEX(HPP_ENGINE!$J:$J,MATCH(B813,HPP_ENGINE!$A:$A,0))),0)</f>
        <v>0</v>
      </c>
      <c r="I813" s="114">
        <f t="shared" si="2"/>
        <v>0</v>
      </c>
      <c r="J813" s="114">
        <f t="shared" si="3"/>
        <v>0</v>
      </c>
      <c r="K813" s="133">
        <f t="shared" si="4"/>
        <v>0</v>
      </c>
    </row>
    <row r="814" ht="18.0" customHeight="1">
      <c r="A814" s="134"/>
      <c r="B814" s="77"/>
      <c r="C814" s="77"/>
      <c r="D814" s="135" t="str">
        <f t="array" ref="D814">IFERROR(IF(C814="","",INDEX(PRODUK!$B:$B,MATCH(C814,PRODUK!$A:$A,0))),"")</f>
        <v/>
      </c>
      <c r="E814" s="117"/>
      <c r="F814" s="119">
        <f t="array" ref="F814">IFERROR(IF(C814="",0,INDEX(PRODUK!$F:$F,MATCH(C814,PRODUK!$A:$A,0))),0)</f>
        <v>0</v>
      </c>
      <c r="G814" s="118">
        <f t="shared" si="1"/>
        <v>0</v>
      </c>
      <c r="H814" s="118">
        <f t="array" ref="H814">IFERROR(IF(B814="",0,INDEX(HPP_ENGINE!$J:$J,MATCH(B814,HPP_ENGINE!$A:$A,0))),0)</f>
        <v>0</v>
      </c>
      <c r="I814" s="118">
        <f t="shared" si="2"/>
        <v>0</v>
      </c>
      <c r="J814" s="118">
        <f t="shared" si="3"/>
        <v>0</v>
      </c>
      <c r="K814" s="136">
        <f t="shared" si="4"/>
        <v>0</v>
      </c>
    </row>
    <row r="815" ht="18.0" customHeight="1">
      <c r="A815" s="132"/>
      <c r="B815" s="72"/>
      <c r="C815" s="72"/>
      <c r="D815" s="137" t="str">
        <f t="array" ref="D815">IFERROR(IF(C815="","",INDEX(PRODUK!$B:$B,MATCH(C815,PRODUK!$A:$A,0))),"")</f>
        <v/>
      </c>
      <c r="E815" s="113"/>
      <c r="F815" s="115">
        <f t="array" ref="F815">IFERROR(IF(C815="",0,INDEX(PRODUK!$F:$F,MATCH(C815,PRODUK!$A:$A,0))),0)</f>
        <v>0</v>
      </c>
      <c r="G815" s="114">
        <f t="shared" si="1"/>
        <v>0</v>
      </c>
      <c r="H815" s="114">
        <f t="array" ref="H815">IFERROR(IF(B815="",0,INDEX(HPP_ENGINE!$J:$J,MATCH(B815,HPP_ENGINE!$A:$A,0))),0)</f>
        <v>0</v>
      </c>
      <c r="I815" s="114">
        <f t="shared" si="2"/>
        <v>0</v>
      </c>
      <c r="J815" s="114">
        <f t="shared" si="3"/>
        <v>0</v>
      </c>
      <c r="K815" s="133">
        <f t="shared" si="4"/>
        <v>0</v>
      </c>
    </row>
    <row r="816" ht="18.0" customHeight="1">
      <c r="A816" s="134"/>
      <c r="B816" s="77"/>
      <c r="C816" s="77"/>
      <c r="D816" s="135" t="str">
        <f t="array" ref="D816">IFERROR(IF(C816="","",INDEX(PRODUK!$B:$B,MATCH(C816,PRODUK!$A:$A,0))),"")</f>
        <v/>
      </c>
      <c r="E816" s="117"/>
      <c r="F816" s="119">
        <f t="array" ref="F816">IFERROR(IF(C816="",0,INDEX(PRODUK!$F:$F,MATCH(C816,PRODUK!$A:$A,0))),0)</f>
        <v>0</v>
      </c>
      <c r="G816" s="118">
        <f t="shared" si="1"/>
        <v>0</v>
      </c>
      <c r="H816" s="118">
        <f t="array" ref="H816">IFERROR(IF(B816="",0,INDEX(HPP_ENGINE!$J:$J,MATCH(B816,HPP_ENGINE!$A:$A,0))),0)</f>
        <v>0</v>
      </c>
      <c r="I816" s="118">
        <f t="shared" si="2"/>
        <v>0</v>
      </c>
      <c r="J816" s="118">
        <f t="shared" si="3"/>
        <v>0</v>
      </c>
      <c r="K816" s="136">
        <f t="shared" si="4"/>
        <v>0</v>
      </c>
    </row>
    <row r="817" ht="18.0" customHeight="1">
      <c r="A817" s="132"/>
      <c r="B817" s="72"/>
      <c r="C817" s="72"/>
      <c r="D817" s="137" t="str">
        <f t="array" ref="D817">IFERROR(IF(C817="","",INDEX(PRODUK!$B:$B,MATCH(C817,PRODUK!$A:$A,0))),"")</f>
        <v/>
      </c>
      <c r="E817" s="113"/>
      <c r="F817" s="115">
        <f t="array" ref="F817">IFERROR(IF(C817="",0,INDEX(PRODUK!$F:$F,MATCH(C817,PRODUK!$A:$A,0))),0)</f>
        <v>0</v>
      </c>
      <c r="G817" s="114">
        <f t="shared" si="1"/>
        <v>0</v>
      </c>
      <c r="H817" s="114">
        <f t="array" ref="H817">IFERROR(IF(B817="",0,INDEX(HPP_ENGINE!$J:$J,MATCH(B817,HPP_ENGINE!$A:$A,0))),0)</f>
        <v>0</v>
      </c>
      <c r="I817" s="114">
        <f t="shared" si="2"/>
        <v>0</v>
      </c>
      <c r="J817" s="114">
        <f t="shared" si="3"/>
        <v>0</v>
      </c>
      <c r="K817" s="133">
        <f t="shared" si="4"/>
        <v>0</v>
      </c>
    </row>
    <row r="818" ht="18.0" customHeight="1">
      <c r="A818" s="134"/>
      <c r="B818" s="77"/>
      <c r="C818" s="77"/>
      <c r="D818" s="135" t="str">
        <f t="array" ref="D818">IFERROR(IF(C818="","",INDEX(PRODUK!$B:$B,MATCH(C818,PRODUK!$A:$A,0))),"")</f>
        <v/>
      </c>
      <c r="E818" s="117"/>
      <c r="F818" s="119">
        <f t="array" ref="F818">IFERROR(IF(C818="",0,INDEX(PRODUK!$F:$F,MATCH(C818,PRODUK!$A:$A,0))),0)</f>
        <v>0</v>
      </c>
      <c r="G818" s="118">
        <f t="shared" si="1"/>
        <v>0</v>
      </c>
      <c r="H818" s="118">
        <f t="array" ref="H818">IFERROR(IF(B818="",0,INDEX(HPP_ENGINE!$J:$J,MATCH(B818,HPP_ENGINE!$A:$A,0))),0)</f>
        <v>0</v>
      </c>
      <c r="I818" s="118">
        <f t="shared" si="2"/>
        <v>0</v>
      </c>
      <c r="J818" s="118">
        <f t="shared" si="3"/>
        <v>0</v>
      </c>
      <c r="K818" s="136">
        <f t="shared" si="4"/>
        <v>0</v>
      </c>
    </row>
    <row r="819" ht="18.0" customHeight="1">
      <c r="A819" s="132"/>
      <c r="B819" s="72"/>
      <c r="C819" s="72"/>
      <c r="D819" s="137" t="str">
        <f t="array" ref="D819">IFERROR(IF(C819="","",INDEX(PRODUK!$B:$B,MATCH(C819,PRODUK!$A:$A,0))),"")</f>
        <v/>
      </c>
      <c r="E819" s="113"/>
      <c r="F819" s="115">
        <f t="array" ref="F819">IFERROR(IF(C819="",0,INDEX(PRODUK!$F:$F,MATCH(C819,PRODUK!$A:$A,0))),0)</f>
        <v>0</v>
      </c>
      <c r="G819" s="114">
        <f t="shared" si="1"/>
        <v>0</v>
      </c>
      <c r="H819" s="114">
        <f t="array" ref="H819">IFERROR(IF(B819="",0,INDEX(HPP_ENGINE!$J:$J,MATCH(B819,HPP_ENGINE!$A:$A,0))),0)</f>
        <v>0</v>
      </c>
      <c r="I819" s="114">
        <f t="shared" si="2"/>
        <v>0</v>
      </c>
      <c r="J819" s="114">
        <f t="shared" si="3"/>
        <v>0</v>
      </c>
      <c r="K819" s="133">
        <f t="shared" si="4"/>
        <v>0</v>
      </c>
    </row>
    <row r="820" ht="18.0" customHeight="1">
      <c r="A820" s="134"/>
      <c r="B820" s="77"/>
      <c r="C820" s="77"/>
      <c r="D820" s="135" t="str">
        <f t="array" ref="D820">IFERROR(IF(C820="","",INDEX(PRODUK!$B:$B,MATCH(C820,PRODUK!$A:$A,0))),"")</f>
        <v/>
      </c>
      <c r="E820" s="117"/>
      <c r="F820" s="119">
        <f t="array" ref="F820">IFERROR(IF(C820="",0,INDEX(PRODUK!$F:$F,MATCH(C820,PRODUK!$A:$A,0))),0)</f>
        <v>0</v>
      </c>
      <c r="G820" s="118">
        <f t="shared" si="1"/>
        <v>0</v>
      </c>
      <c r="H820" s="118">
        <f t="array" ref="H820">IFERROR(IF(B820="",0,INDEX(HPP_ENGINE!$J:$J,MATCH(B820,HPP_ENGINE!$A:$A,0))),0)</f>
        <v>0</v>
      </c>
      <c r="I820" s="118">
        <f t="shared" si="2"/>
        <v>0</v>
      </c>
      <c r="J820" s="118">
        <f t="shared" si="3"/>
        <v>0</v>
      </c>
      <c r="K820" s="136">
        <f t="shared" si="4"/>
        <v>0</v>
      </c>
    </row>
    <row r="821" ht="18.0" customHeight="1">
      <c r="A821" s="132"/>
      <c r="B821" s="72"/>
      <c r="C821" s="72"/>
      <c r="D821" s="137" t="str">
        <f t="array" ref="D821">IFERROR(IF(C821="","",INDEX(PRODUK!$B:$B,MATCH(C821,PRODUK!$A:$A,0))),"")</f>
        <v/>
      </c>
      <c r="E821" s="113"/>
      <c r="F821" s="115">
        <f t="array" ref="F821">IFERROR(IF(C821="",0,INDEX(PRODUK!$F:$F,MATCH(C821,PRODUK!$A:$A,0))),0)</f>
        <v>0</v>
      </c>
      <c r="G821" s="114">
        <f t="shared" si="1"/>
        <v>0</v>
      </c>
      <c r="H821" s="114">
        <f t="array" ref="H821">IFERROR(IF(B821="",0,INDEX(HPP_ENGINE!$J:$J,MATCH(B821,HPP_ENGINE!$A:$A,0))),0)</f>
        <v>0</v>
      </c>
      <c r="I821" s="114">
        <f t="shared" si="2"/>
        <v>0</v>
      </c>
      <c r="J821" s="114">
        <f t="shared" si="3"/>
        <v>0</v>
      </c>
      <c r="K821" s="133">
        <f t="shared" si="4"/>
        <v>0</v>
      </c>
    </row>
    <row r="822" ht="18.0" customHeight="1">
      <c r="A822" s="134"/>
      <c r="B822" s="77"/>
      <c r="C822" s="77"/>
      <c r="D822" s="135" t="str">
        <f t="array" ref="D822">IFERROR(IF(C822="","",INDEX(PRODUK!$B:$B,MATCH(C822,PRODUK!$A:$A,0))),"")</f>
        <v/>
      </c>
      <c r="E822" s="117"/>
      <c r="F822" s="119">
        <f t="array" ref="F822">IFERROR(IF(C822="",0,INDEX(PRODUK!$F:$F,MATCH(C822,PRODUK!$A:$A,0))),0)</f>
        <v>0</v>
      </c>
      <c r="G822" s="118">
        <f t="shared" si="1"/>
        <v>0</v>
      </c>
      <c r="H822" s="118">
        <f t="array" ref="H822">IFERROR(IF(B822="",0,INDEX(HPP_ENGINE!$J:$J,MATCH(B822,HPP_ENGINE!$A:$A,0))),0)</f>
        <v>0</v>
      </c>
      <c r="I822" s="118">
        <f t="shared" si="2"/>
        <v>0</v>
      </c>
      <c r="J822" s="118">
        <f t="shared" si="3"/>
        <v>0</v>
      </c>
      <c r="K822" s="136">
        <f t="shared" si="4"/>
        <v>0</v>
      </c>
    </row>
    <row r="823" ht="18.0" customHeight="1">
      <c r="A823" s="132"/>
      <c r="B823" s="72"/>
      <c r="C823" s="72"/>
      <c r="D823" s="137" t="str">
        <f t="array" ref="D823">IFERROR(IF(C823="","",INDEX(PRODUK!$B:$B,MATCH(C823,PRODUK!$A:$A,0))),"")</f>
        <v/>
      </c>
      <c r="E823" s="113"/>
      <c r="F823" s="115">
        <f t="array" ref="F823">IFERROR(IF(C823="",0,INDEX(PRODUK!$F:$F,MATCH(C823,PRODUK!$A:$A,0))),0)</f>
        <v>0</v>
      </c>
      <c r="G823" s="114">
        <f t="shared" si="1"/>
        <v>0</v>
      </c>
      <c r="H823" s="114">
        <f t="array" ref="H823">IFERROR(IF(B823="",0,INDEX(HPP_ENGINE!$J:$J,MATCH(B823,HPP_ENGINE!$A:$A,0))),0)</f>
        <v>0</v>
      </c>
      <c r="I823" s="114">
        <f t="shared" si="2"/>
        <v>0</v>
      </c>
      <c r="J823" s="114">
        <f t="shared" si="3"/>
        <v>0</v>
      </c>
      <c r="K823" s="133">
        <f t="shared" si="4"/>
        <v>0</v>
      </c>
    </row>
    <row r="824" ht="18.0" customHeight="1">
      <c r="A824" s="134"/>
      <c r="B824" s="77"/>
      <c r="C824" s="77"/>
      <c r="D824" s="135" t="str">
        <f t="array" ref="D824">IFERROR(IF(C824="","",INDEX(PRODUK!$B:$B,MATCH(C824,PRODUK!$A:$A,0))),"")</f>
        <v/>
      </c>
      <c r="E824" s="117"/>
      <c r="F824" s="119">
        <f t="array" ref="F824">IFERROR(IF(C824="",0,INDEX(PRODUK!$F:$F,MATCH(C824,PRODUK!$A:$A,0))),0)</f>
        <v>0</v>
      </c>
      <c r="G824" s="118">
        <f t="shared" si="1"/>
        <v>0</v>
      </c>
      <c r="H824" s="118">
        <f t="array" ref="H824">IFERROR(IF(B824="",0,INDEX(HPP_ENGINE!$J:$J,MATCH(B824,HPP_ENGINE!$A:$A,0))),0)</f>
        <v>0</v>
      </c>
      <c r="I824" s="118">
        <f t="shared" si="2"/>
        <v>0</v>
      </c>
      <c r="J824" s="118">
        <f t="shared" si="3"/>
        <v>0</v>
      </c>
      <c r="K824" s="136">
        <f t="shared" si="4"/>
        <v>0</v>
      </c>
    </row>
    <row r="825" ht="18.0" customHeight="1">
      <c r="A825" s="132"/>
      <c r="B825" s="72"/>
      <c r="C825" s="72"/>
      <c r="D825" s="137" t="str">
        <f t="array" ref="D825">IFERROR(IF(C825="","",INDEX(PRODUK!$B:$B,MATCH(C825,PRODUK!$A:$A,0))),"")</f>
        <v/>
      </c>
      <c r="E825" s="113"/>
      <c r="F825" s="115">
        <f t="array" ref="F825">IFERROR(IF(C825="",0,INDEX(PRODUK!$F:$F,MATCH(C825,PRODUK!$A:$A,0))),0)</f>
        <v>0</v>
      </c>
      <c r="G825" s="114">
        <f t="shared" si="1"/>
        <v>0</v>
      </c>
      <c r="H825" s="114">
        <f t="array" ref="H825">IFERROR(IF(B825="",0,INDEX(HPP_ENGINE!$J:$J,MATCH(B825,HPP_ENGINE!$A:$A,0))),0)</f>
        <v>0</v>
      </c>
      <c r="I825" s="114">
        <f t="shared" si="2"/>
        <v>0</v>
      </c>
      <c r="J825" s="114">
        <f t="shared" si="3"/>
        <v>0</v>
      </c>
      <c r="K825" s="133">
        <f t="shared" si="4"/>
        <v>0</v>
      </c>
    </row>
    <row r="826" ht="18.0" customHeight="1">
      <c r="A826" s="134"/>
      <c r="B826" s="77"/>
      <c r="C826" s="77"/>
      <c r="D826" s="135" t="str">
        <f t="array" ref="D826">IFERROR(IF(C826="","",INDEX(PRODUK!$B:$B,MATCH(C826,PRODUK!$A:$A,0))),"")</f>
        <v/>
      </c>
      <c r="E826" s="117"/>
      <c r="F826" s="119">
        <f t="array" ref="F826">IFERROR(IF(C826="",0,INDEX(PRODUK!$F:$F,MATCH(C826,PRODUK!$A:$A,0))),0)</f>
        <v>0</v>
      </c>
      <c r="G826" s="118">
        <f t="shared" si="1"/>
        <v>0</v>
      </c>
      <c r="H826" s="118">
        <f t="array" ref="H826">IFERROR(IF(B826="",0,INDEX(HPP_ENGINE!$J:$J,MATCH(B826,HPP_ENGINE!$A:$A,0))),0)</f>
        <v>0</v>
      </c>
      <c r="I826" s="118">
        <f t="shared" si="2"/>
        <v>0</v>
      </c>
      <c r="J826" s="118">
        <f t="shared" si="3"/>
        <v>0</v>
      </c>
      <c r="K826" s="136">
        <f t="shared" si="4"/>
        <v>0</v>
      </c>
    </row>
    <row r="827" ht="18.0" customHeight="1">
      <c r="A827" s="132"/>
      <c r="B827" s="72"/>
      <c r="C827" s="72"/>
      <c r="D827" s="137" t="str">
        <f t="array" ref="D827">IFERROR(IF(C827="","",INDEX(PRODUK!$B:$B,MATCH(C827,PRODUK!$A:$A,0))),"")</f>
        <v/>
      </c>
      <c r="E827" s="113"/>
      <c r="F827" s="115">
        <f t="array" ref="F827">IFERROR(IF(C827="",0,INDEX(PRODUK!$F:$F,MATCH(C827,PRODUK!$A:$A,0))),0)</f>
        <v>0</v>
      </c>
      <c r="G827" s="114">
        <f t="shared" si="1"/>
        <v>0</v>
      </c>
      <c r="H827" s="114">
        <f t="array" ref="H827">IFERROR(IF(B827="",0,INDEX(HPP_ENGINE!$J:$J,MATCH(B827,HPP_ENGINE!$A:$A,0))),0)</f>
        <v>0</v>
      </c>
      <c r="I827" s="114">
        <f t="shared" si="2"/>
        <v>0</v>
      </c>
      <c r="J827" s="114">
        <f t="shared" si="3"/>
        <v>0</v>
      </c>
      <c r="K827" s="133">
        <f t="shared" si="4"/>
        <v>0</v>
      </c>
    </row>
    <row r="828" ht="18.0" customHeight="1">
      <c r="A828" s="134"/>
      <c r="B828" s="77"/>
      <c r="C828" s="77"/>
      <c r="D828" s="135" t="str">
        <f t="array" ref="D828">IFERROR(IF(C828="","",INDEX(PRODUK!$B:$B,MATCH(C828,PRODUK!$A:$A,0))),"")</f>
        <v/>
      </c>
      <c r="E828" s="117"/>
      <c r="F828" s="119">
        <f t="array" ref="F828">IFERROR(IF(C828="",0,INDEX(PRODUK!$F:$F,MATCH(C828,PRODUK!$A:$A,0))),0)</f>
        <v>0</v>
      </c>
      <c r="G828" s="118">
        <f t="shared" si="1"/>
        <v>0</v>
      </c>
      <c r="H828" s="118">
        <f t="array" ref="H828">IFERROR(IF(B828="",0,INDEX(HPP_ENGINE!$J:$J,MATCH(B828,HPP_ENGINE!$A:$A,0))),0)</f>
        <v>0</v>
      </c>
      <c r="I828" s="118">
        <f t="shared" si="2"/>
        <v>0</v>
      </c>
      <c r="J828" s="118">
        <f t="shared" si="3"/>
        <v>0</v>
      </c>
      <c r="K828" s="136">
        <f t="shared" si="4"/>
        <v>0</v>
      </c>
    </row>
    <row r="829" ht="18.0" customHeight="1">
      <c r="A829" s="132"/>
      <c r="B829" s="72"/>
      <c r="C829" s="72"/>
      <c r="D829" s="137" t="str">
        <f t="array" ref="D829">IFERROR(IF(C829="","",INDEX(PRODUK!$B:$B,MATCH(C829,PRODUK!$A:$A,0))),"")</f>
        <v/>
      </c>
      <c r="E829" s="113"/>
      <c r="F829" s="115">
        <f t="array" ref="F829">IFERROR(IF(C829="",0,INDEX(PRODUK!$F:$F,MATCH(C829,PRODUK!$A:$A,0))),0)</f>
        <v>0</v>
      </c>
      <c r="G829" s="114">
        <f t="shared" si="1"/>
        <v>0</v>
      </c>
      <c r="H829" s="114">
        <f t="array" ref="H829">IFERROR(IF(B829="",0,INDEX(HPP_ENGINE!$J:$J,MATCH(B829,HPP_ENGINE!$A:$A,0))),0)</f>
        <v>0</v>
      </c>
      <c r="I829" s="114">
        <f t="shared" si="2"/>
        <v>0</v>
      </c>
      <c r="J829" s="114">
        <f t="shared" si="3"/>
        <v>0</v>
      </c>
      <c r="K829" s="133">
        <f t="shared" si="4"/>
        <v>0</v>
      </c>
    </row>
    <row r="830" ht="18.0" customHeight="1">
      <c r="A830" s="134"/>
      <c r="B830" s="77"/>
      <c r="C830" s="77"/>
      <c r="D830" s="135" t="str">
        <f t="array" ref="D830">IFERROR(IF(C830="","",INDEX(PRODUK!$B:$B,MATCH(C830,PRODUK!$A:$A,0))),"")</f>
        <v/>
      </c>
      <c r="E830" s="117"/>
      <c r="F830" s="119">
        <f t="array" ref="F830">IFERROR(IF(C830="",0,INDEX(PRODUK!$F:$F,MATCH(C830,PRODUK!$A:$A,0))),0)</f>
        <v>0</v>
      </c>
      <c r="G830" s="118">
        <f t="shared" si="1"/>
        <v>0</v>
      </c>
      <c r="H830" s="118">
        <f t="array" ref="H830">IFERROR(IF(B830="",0,INDEX(HPP_ENGINE!$J:$J,MATCH(B830,HPP_ENGINE!$A:$A,0))),0)</f>
        <v>0</v>
      </c>
      <c r="I830" s="118">
        <f t="shared" si="2"/>
        <v>0</v>
      </c>
      <c r="J830" s="118">
        <f t="shared" si="3"/>
        <v>0</v>
      </c>
      <c r="K830" s="136">
        <f t="shared" si="4"/>
        <v>0</v>
      </c>
    </row>
    <row r="831" ht="18.0" customHeight="1">
      <c r="A831" s="132"/>
      <c r="B831" s="72"/>
      <c r="C831" s="72"/>
      <c r="D831" s="137" t="str">
        <f t="array" ref="D831">IFERROR(IF(C831="","",INDEX(PRODUK!$B:$B,MATCH(C831,PRODUK!$A:$A,0))),"")</f>
        <v/>
      </c>
      <c r="E831" s="113"/>
      <c r="F831" s="115">
        <f t="array" ref="F831">IFERROR(IF(C831="",0,INDEX(PRODUK!$F:$F,MATCH(C831,PRODUK!$A:$A,0))),0)</f>
        <v>0</v>
      </c>
      <c r="G831" s="114">
        <f t="shared" si="1"/>
        <v>0</v>
      </c>
      <c r="H831" s="114">
        <f t="array" ref="H831">IFERROR(IF(B831="",0,INDEX(HPP_ENGINE!$J:$J,MATCH(B831,HPP_ENGINE!$A:$A,0))),0)</f>
        <v>0</v>
      </c>
      <c r="I831" s="114">
        <f t="shared" si="2"/>
        <v>0</v>
      </c>
      <c r="J831" s="114">
        <f t="shared" si="3"/>
        <v>0</v>
      </c>
      <c r="K831" s="133">
        <f t="shared" si="4"/>
        <v>0</v>
      </c>
    </row>
    <row r="832" ht="18.0" customHeight="1">
      <c r="A832" s="134"/>
      <c r="B832" s="77"/>
      <c r="C832" s="77"/>
      <c r="D832" s="135" t="str">
        <f t="array" ref="D832">IFERROR(IF(C832="","",INDEX(PRODUK!$B:$B,MATCH(C832,PRODUK!$A:$A,0))),"")</f>
        <v/>
      </c>
      <c r="E832" s="117"/>
      <c r="F832" s="119">
        <f t="array" ref="F832">IFERROR(IF(C832="",0,INDEX(PRODUK!$F:$F,MATCH(C832,PRODUK!$A:$A,0))),0)</f>
        <v>0</v>
      </c>
      <c r="G832" s="118">
        <f t="shared" si="1"/>
        <v>0</v>
      </c>
      <c r="H832" s="118">
        <f t="array" ref="H832">IFERROR(IF(B832="",0,INDEX(HPP_ENGINE!$J:$J,MATCH(B832,HPP_ENGINE!$A:$A,0))),0)</f>
        <v>0</v>
      </c>
      <c r="I832" s="118">
        <f t="shared" si="2"/>
        <v>0</v>
      </c>
      <c r="J832" s="118">
        <f t="shared" si="3"/>
        <v>0</v>
      </c>
      <c r="K832" s="136">
        <f t="shared" si="4"/>
        <v>0</v>
      </c>
    </row>
    <row r="833" ht="18.0" customHeight="1">
      <c r="A833" s="132"/>
      <c r="B833" s="72"/>
      <c r="C833" s="72"/>
      <c r="D833" s="137" t="str">
        <f t="array" ref="D833">IFERROR(IF(C833="","",INDEX(PRODUK!$B:$B,MATCH(C833,PRODUK!$A:$A,0))),"")</f>
        <v/>
      </c>
      <c r="E833" s="113"/>
      <c r="F833" s="115">
        <f t="array" ref="F833">IFERROR(IF(C833="",0,INDEX(PRODUK!$F:$F,MATCH(C833,PRODUK!$A:$A,0))),0)</f>
        <v>0</v>
      </c>
      <c r="G833" s="114">
        <f t="shared" si="1"/>
        <v>0</v>
      </c>
      <c r="H833" s="114">
        <f t="array" ref="H833">IFERROR(IF(B833="",0,INDEX(HPP_ENGINE!$J:$J,MATCH(B833,HPP_ENGINE!$A:$A,0))),0)</f>
        <v>0</v>
      </c>
      <c r="I833" s="114">
        <f t="shared" si="2"/>
        <v>0</v>
      </c>
      <c r="J833" s="114">
        <f t="shared" si="3"/>
        <v>0</v>
      </c>
      <c r="K833" s="133">
        <f t="shared" si="4"/>
        <v>0</v>
      </c>
    </row>
    <row r="834" ht="18.0" customHeight="1">
      <c r="A834" s="134"/>
      <c r="B834" s="77"/>
      <c r="C834" s="77"/>
      <c r="D834" s="135" t="str">
        <f t="array" ref="D834">IFERROR(IF(C834="","",INDEX(PRODUK!$B:$B,MATCH(C834,PRODUK!$A:$A,0))),"")</f>
        <v/>
      </c>
      <c r="E834" s="117"/>
      <c r="F834" s="119">
        <f t="array" ref="F834">IFERROR(IF(C834="",0,INDEX(PRODUK!$F:$F,MATCH(C834,PRODUK!$A:$A,0))),0)</f>
        <v>0</v>
      </c>
      <c r="G834" s="118">
        <f t="shared" si="1"/>
        <v>0</v>
      </c>
      <c r="H834" s="118">
        <f t="array" ref="H834">IFERROR(IF(B834="",0,INDEX(HPP_ENGINE!$J:$J,MATCH(B834,HPP_ENGINE!$A:$A,0))),0)</f>
        <v>0</v>
      </c>
      <c r="I834" s="118">
        <f t="shared" si="2"/>
        <v>0</v>
      </c>
      <c r="J834" s="118">
        <f t="shared" si="3"/>
        <v>0</v>
      </c>
      <c r="K834" s="136">
        <f t="shared" si="4"/>
        <v>0</v>
      </c>
    </row>
    <row r="835" ht="18.0" customHeight="1">
      <c r="A835" s="132"/>
      <c r="B835" s="72"/>
      <c r="C835" s="72"/>
      <c r="D835" s="137" t="str">
        <f t="array" ref="D835">IFERROR(IF(C835="","",INDEX(PRODUK!$B:$B,MATCH(C835,PRODUK!$A:$A,0))),"")</f>
        <v/>
      </c>
      <c r="E835" s="113"/>
      <c r="F835" s="115">
        <f t="array" ref="F835">IFERROR(IF(C835="",0,INDEX(PRODUK!$F:$F,MATCH(C835,PRODUK!$A:$A,0))),0)</f>
        <v>0</v>
      </c>
      <c r="G835" s="114">
        <f t="shared" si="1"/>
        <v>0</v>
      </c>
      <c r="H835" s="114">
        <f t="array" ref="H835">IFERROR(IF(B835="",0,INDEX(HPP_ENGINE!$J:$J,MATCH(B835,HPP_ENGINE!$A:$A,0))),0)</f>
        <v>0</v>
      </c>
      <c r="I835" s="114">
        <f t="shared" si="2"/>
        <v>0</v>
      </c>
      <c r="J835" s="114">
        <f t="shared" si="3"/>
        <v>0</v>
      </c>
      <c r="K835" s="133">
        <f t="shared" si="4"/>
        <v>0</v>
      </c>
    </row>
    <row r="836" ht="18.0" customHeight="1">
      <c r="A836" s="134"/>
      <c r="B836" s="77"/>
      <c r="C836" s="77"/>
      <c r="D836" s="135" t="str">
        <f t="array" ref="D836">IFERROR(IF(C836="","",INDEX(PRODUK!$B:$B,MATCH(C836,PRODUK!$A:$A,0))),"")</f>
        <v/>
      </c>
      <c r="E836" s="117"/>
      <c r="F836" s="119">
        <f t="array" ref="F836">IFERROR(IF(C836="",0,INDEX(PRODUK!$F:$F,MATCH(C836,PRODUK!$A:$A,0))),0)</f>
        <v>0</v>
      </c>
      <c r="G836" s="118">
        <f t="shared" si="1"/>
        <v>0</v>
      </c>
      <c r="H836" s="118">
        <f t="array" ref="H836">IFERROR(IF(B836="",0,INDEX(HPP_ENGINE!$J:$J,MATCH(B836,HPP_ENGINE!$A:$A,0))),0)</f>
        <v>0</v>
      </c>
      <c r="I836" s="118">
        <f t="shared" si="2"/>
        <v>0</v>
      </c>
      <c r="J836" s="118">
        <f t="shared" si="3"/>
        <v>0</v>
      </c>
      <c r="K836" s="136">
        <f t="shared" si="4"/>
        <v>0</v>
      </c>
    </row>
    <row r="837" ht="18.0" customHeight="1">
      <c r="A837" s="132"/>
      <c r="B837" s="72"/>
      <c r="C837" s="72"/>
      <c r="D837" s="137" t="str">
        <f t="array" ref="D837">IFERROR(IF(C837="","",INDEX(PRODUK!$B:$B,MATCH(C837,PRODUK!$A:$A,0))),"")</f>
        <v/>
      </c>
      <c r="E837" s="113"/>
      <c r="F837" s="115">
        <f t="array" ref="F837">IFERROR(IF(C837="",0,INDEX(PRODUK!$F:$F,MATCH(C837,PRODUK!$A:$A,0))),0)</f>
        <v>0</v>
      </c>
      <c r="G837" s="114">
        <f t="shared" si="1"/>
        <v>0</v>
      </c>
      <c r="H837" s="114">
        <f t="array" ref="H837">IFERROR(IF(B837="",0,INDEX(HPP_ENGINE!$J:$J,MATCH(B837,HPP_ENGINE!$A:$A,0))),0)</f>
        <v>0</v>
      </c>
      <c r="I837" s="114">
        <f t="shared" si="2"/>
        <v>0</v>
      </c>
      <c r="J837" s="114">
        <f t="shared" si="3"/>
        <v>0</v>
      </c>
      <c r="K837" s="133">
        <f t="shared" si="4"/>
        <v>0</v>
      </c>
    </row>
    <row r="838" ht="18.0" customHeight="1">
      <c r="A838" s="134"/>
      <c r="B838" s="77"/>
      <c r="C838" s="77"/>
      <c r="D838" s="135" t="str">
        <f t="array" ref="D838">IFERROR(IF(C838="","",INDEX(PRODUK!$B:$B,MATCH(C838,PRODUK!$A:$A,0))),"")</f>
        <v/>
      </c>
      <c r="E838" s="117"/>
      <c r="F838" s="119">
        <f t="array" ref="F838">IFERROR(IF(C838="",0,INDEX(PRODUK!$F:$F,MATCH(C838,PRODUK!$A:$A,0))),0)</f>
        <v>0</v>
      </c>
      <c r="G838" s="118">
        <f t="shared" si="1"/>
        <v>0</v>
      </c>
      <c r="H838" s="118">
        <f t="array" ref="H838">IFERROR(IF(B838="",0,INDEX(HPP_ENGINE!$J:$J,MATCH(B838,HPP_ENGINE!$A:$A,0))),0)</f>
        <v>0</v>
      </c>
      <c r="I838" s="118">
        <f t="shared" si="2"/>
        <v>0</v>
      </c>
      <c r="J838" s="118">
        <f t="shared" si="3"/>
        <v>0</v>
      </c>
      <c r="K838" s="136">
        <f t="shared" si="4"/>
        <v>0</v>
      </c>
    </row>
    <row r="839" ht="18.0" customHeight="1">
      <c r="A839" s="132"/>
      <c r="B839" s="72"/>
      <c r="C839" s="72"/>
      <c r="D839" s="137" t="str">
        <f t="array" ref="D839">IFERROR(IF(C839="","",INDEX(PRODUK!$B:$B,MATCH(C839,PRODUK!$A:$A,0))),"")</f>
        <v/>
      </c>
      <c r="E839" s="113"/>
      <c r="F839" s="115">
        <f t="array" ref="F839">IFERROR(IF(C839="",0,INDEX(PRODUK!$F:$F,MATCH(C839,PRODUK!$A:$A,0))),0)</f>
        <v>0</v>
      </c>
      <c r="G839" s="114">
        <f t="shared" si="1"/>
        <v>0</v>
      </c>
      <c r="H839" s="114">
        <f t="array" ref="H839">IFERROR(IF(B839="",0,INDEX(HPP_ENGINE!$J:$J,MATCH(B839,HPP_ENGINE!$A:$A,0))),0)</f>
        <v>0</v>
      </c>
      <c r="I839" s="114">
        <f t="shared" si="2"/>
        <v>0</v>
      </c>
      <c r="J839" s="114">
        <f t="shared" si="3"/>
        <v>0</v>
      </c>
      <c r="K839" s="133">
        <f t="shared" si="4"/>
        <v>0</v>
      </c>
    </row>
    <row r="840" ht="18.0" customHeight="1">
      <c r="A840" s="134"/>
      <c r="B840" s="77"/>
      <c r="C840" s="77"/>
      <c r="D840" s="135" t="str">
        <f t="array" ref="D840">IFERROR(IF(C840="","",INDEX(PRODUK!$B:$B,MATCH(C840,PRODUK!$A:$A,0))),"")</f>
        <v/>
      </c>
      <c r="E840" s="117"/>
      <c r="F840" s="119">
        <f t="array" ref="F840">IFERROR(IF(C840="",0,INDEX(PRODUK!$F:$F,MATCH(C840,PRODUK!$A:$A,0))),0)</f>
        <v>0</v>
      </c>
      <c r="G840" s="118">
        <f t="shared" si="1"/>
        <v>0</v>
      </c>
      <c r="H840" s="118">
        <f t="array" ref="H840">IFERROR(IF(B840="",0,INDEX(HPP_ENGINE!$J:$J,MATCH(B840,HPP_ENGINE!$A:$A,0))),0)</f>
        <v>0</v>
      </c>
      <c r="I840" s="118">
        <f t="shared" si="2"/>
        <v>0</v>
      </c>
      <c r="J840" s="118">
        <f t="shared" si="3"/>
        <v>0</v>
      </c>
      <c r="K840" s="136">
        <f t="shared" si="4"/>
        <v>0</v>
      </c>
    </row>
    <row r="841" ht="18.0" customHeight="1">
      <c r="A841" s="132"/>
      <c r="B841" s="72"/>
      <c r="C841" s="72"/>
      <c r="D841" s="137" t="str">
        <f t="array" ref="D841">IFERROR(IF(C841="","",INDEX(PRODUK!$B:$B,MATCH(C841,PRODUK!$A:$A,0))),"")</f>
        <v/>
      </c>
      <c r="E841" s="113"/>
      <c r="F841" s="115">
        <f t="array" ref="F841">IFERROR(IF(C841="",0,INDEX(PRODUK!$F:$F,MATCH(C841,PRODUK!$A:$A,0))),0)</f>
        <v>0</v>
      </c>
      <c r="G841" s="114">
        <f t="shared" si="1"/>
        <v>0</v>
      </c>
      <c r="H841" s="114">
        <f t="array" ref="H841">IFERROR(IF(B841="",0,INDEX(HPP_ENGINE!$J:$J,MATCH(B841,HPP_ENGINE!$A:$A,0))),0)</f>
        <v>0</v>
      </c>
      <c r="I841" s="114">
        <f t="shared" si="2"/>
        <v>0</v>
      </c>
      <c r="J841" s="114">
        <f t="shared" si="3"/>
        <v>0</v>
      </c>
      <c r="K841" s="133">
        <f t="shared" si="4"/>
        <v>0</v>
      </c>
    </row>
    <row r="842" ht="18.0" customHeight="1">
      <c r="A842" s="134"/>
      <c r="B842" s="77"/>
      <c r="C842" s="77"/>
      <c r="D842" s="135" t="str">
        <f t="array" ref="D842">IFERROR(IF(C842="","",INDEX(PRODUK!$B:$B,MATCH(C842,PRODUK!$A:$A,0))),"")</f>
        <v/>
      </c>
      <c r="E842" s="117"/>
      <c r="F842" s="119">
        <f t="array" ref="F842">IFERROR(IF(C842="",0,INDEX(PRODUK!$F:$F,MATCH(C842,PRODUK!$A:$A,0))),0)</f>
        <v>0</v>
      </c>
      <c r="G842" s="118">
        <f t="shared" si="1"/>
        <v>0</v>
      </c>
      <c r="H842" s="118">
        <f t="array" ref="H842">IFERROR(IF(B842="",0,INDEX(HPP_ENGINE!$J:$J,MATCH(B842,HPP_ENGINE!$A:$A,0))),0)</f>
        <v>0</v>
      </c>
      <c r="I842" s="118">
        <f t="shared" si="2"/>
        <v>0</v>
      </c>
      <c r="J842" s="118">
        <f t="shared" si="3"/>
        <v>0</v>
      </c>
      <c r="K842" s="136">
        <f t="shared" si="4"/>
        <v>0</v>
      </c>
    </row>
    <row r="843" ht="18.0" customHeight="1">
      <c r="A843" s="132"/>
      <c r="B843" s="72"/>
      <c r="C843" s="72"/>
      <c r="D843" s="137" t="str">
        <f t="array" ref="D843">IFERROR(IF(C843="","",INDEX(PRODUK!$B:$B,MATCH(C843,PRODUK!$A:$A,0))),"")</f>
        <v/>
      </c>
      <c r="E843" s="113"/>
      <c r="F843" s="115">
        <f t="array" ref="F843">IFERROR(IF(C843="",0,INDEX(PRODUK!$F:$F,MATCH(C843,PRODUK!$A:$A,0))),0)</f>
        <v>0</v>
      </c>
      <c r="G843" s="114">
        <f t="shared" si="1"/>
        <v>0</v>
      </c>
      <c r="H843" s="114">
        <f t="array" ref="H843">IFERROR(IF(B843="",0,INDEX(HPP_ENGINE!$J:$J,MATCH(B843,HPP_ENGINE!$A:$A,0))),0)</f>
        <v>0</v>
      </c>
      <c r="I843" s="114">
        <f t="shared" si="2"/>
        <v>0</v>
      </c>
      <c r="J843" s="114">
        <f t="shared" si="3"/>
        <v>0</v>
      </c>
      <c r="K843" s="133">
        <f t="shared" si="4"/>
        <v>0</v>
      </c>
    </row>
    <row r="844" ht="18.0" customHeight="1">
      <c r="A844" s="134"/>
      <c r="B844" s="77"/>
      <c r="C844" s="77"/>
      <c r="D844" s="135" t="str">
        <f t="array" ref="D844">IFERROR(IF(C844="","",INDEX(PRODUK!$B:$B,MATCH(C844,PRODUK!$A:$A,0))),"")</f>
        <v/>
      </c>
      <c r="E844" s="117"/>
      <c r="F844" s="119">
        <f t="array" ref="F844">IFERROR(IF(C844="",0,INDEX(PRODUK!$F:$F,MATCH(C844,PRODUK!$A:$A,0))),0)</f>
        <v>0</v>
      </c>
      <c r="G844" s="118">
        <f t="shared" si="1"/>
        <v>0</v>
      </c>
      <c r="H844" s="118">
        <f t="array" ref="H844">IFERROR(IF(B844="",0,INDEX(HPP_ENGINE!$J:$J,MATCH(B844,HPP_ENGINE!$A:$A,0))),0)</f>
        <v>0</v>
      </c>
      <c r="I844" s="118">
        <f t="shared" si="2"/>
        <v>0</v>
      </c>
      <c r="J844" s="118">
        <f t="shared" si="3"/>
        <v>0</v>
      </c>
      <c r="K844" s="136">
        <f t="shared" si="4"/>
        <v>0</v>
      </c>
    </row>
    <row r="845" ht="18.0" customHeight="1">
      <c r="A845" s="132"/>
      <c r="B845" s="72"/>
      <c r="C845" s="72"/>
      <c r="D845" s="137" t="str">
        <f t="array" ref="D845">IFERROR(IF(C845="","",INDEX(PRODUK!$B:$B,MATCH(C845,PRODUK!$A:$A,0))),"")</f>
        <v/>
      </c>
      <c r="E845" s="113"/>
      <c r="F845" s="115">
        <f t="array" ref="F845">IFERROR(IF(C845="",0,INDEX(PRODUK!$F:$F,MATCH(C845,PRODUK!$A:$A,0))),0)</f>
        <v>0</v>
      </c>
      <c r="G845" s="114">
        <f t="shared" si="1"/>
        <v>0</v>
      </c>
      <c r="H845" s="114">
        <f t="array" ref="H845">IFERROR(IF(B845="",0,INDEX(HPP_ENGINE!$J:$J,MATCH(B845,HPP_ENGINE!$A:$A,0))),0)</f>
        <v>0</v>
      </c>
      <c r="I845" s="114">
        <f t="shared" si="2"/>
        <v>0</v>
      </c>
      <c r="J845" s="114">
        <f t="shared" si="3"/>
        <v>0</v>
      </c>
      <c r="K845" s="133">
        <f t="shared" si="4"/>
        <v>0</v>
      </c>
    </row>
    <row r="846" ht="18.0" customHeight="1">
      <c r="A846" s="134"/>
      <c r="B846" s="77"/>
      <c r="C846" s="77"/>
      <c r="D846" s="135" t="str">
        <f t="array" ref="D846">IFERROR(IF(C846="","",INDEX(PRODUK!$B:$B,MATCH(C846,PRODUK!$A:$A,0))),"")</f>
        <v/>
      </c>
      <c r="E846" s="117"/>
      <c r="F846" s="119">
        <f t="array" ref="F846">IFERROR(IF(C846="",0,INDEX(PRODUK!$F:$F,MATCH(C846,PRODUK!$A:$A,0))),0)</f>
        <v>0</v>
      </c>
      <c r="G846" s="118">
        <f t="shared" si="1"/>
        <v>0</v>
      </c>
      <c r="H846" s="118">
        <f t="array" ref="H846">IFERROR(IF(B846="",0,INDEX(HPP_ENGINE!$J:$J,MATCH(B846,HPP_ENGINE!$A:$A,0))),0)</f>
        <v>0</v>
      </c>
      <c r="I846" s="118">
        <f t="shared" si="2"/>
        <v>0</v>
      </c>
      <c r="J846" s="118">
        <f t="shared" si="3"/>
        <v>0</v>
      </c>
      <c r="K846" s="136">
        <f t="shared" si="4"/>
        <v>0</v>
      </c>
    </row>
    <row r="847" ht="18.0" customHeight="1">
      <c r="A847" s="132"/>
      <c r="B847" s="72"/>
      <c r="C847" s="72"/>
      <c r="D847" s="137" t="str">
        <f t="array" ref="D847">IFERROR(IF(C847="","",INDEX(PRODUK!$B:$B,MATCH(C847,PRODUK!$A:$A,0))),"")</f>
        <v/>
      </c>
      <c r="E847" s="113"/>
      <c r="F847" s="115">
        <f t="array" ref="F847">IFERROR(IF(C847="",0,INDEX(PRODUK!$F:$F,MATCH(C847,PRODUK!$A:$A,0))),0)</f>
        <v>0</v>
      </c>
      <c r="G847" s="114">
        <f t="shared" si="1"/>
        <v>0</v>
      </c>
      <c r="H847" s="114">
        <f t="array" ref="H847">IFERROR(IF(B847="",0,INDEX(HPP_ENGINE!$J:$J,MATCH(B847,HPP_ENGINE!$A:$A,0))),0)</f>
        <v>0</v>
      </c>
      <c r="I847" s="114">
        <f t="shared" si="2"/>
        <v>0</v>
      </c>
      <c r="J847" s="114">
        <f t="shared" si="3"/>
        <v>0</v>
      </c>
      <c r="K847" s="133">
        <f t="shared" si="4"/>
        <v>0</v>
      </c>
    </row>
    <row r="848" ht="18.0" customHeight="1">
      <c r="A848" s="134"/>
      <c r="B848" s="77"/>
      <c r="C848" s="77"/>
      <c r="D848" s="135" t="str">
        <f t="array" ref="D848">IFERROR(IF(C848="","",INDEX(PRODUK!$B:$B,MATCH(C848,PRODUK!$A:$A,0))),"")</f>
        <v/>
      </c>
      <c r="E848" s="117"/>
      <c r="F848" s="119">
        <f t="array" ref="F848">IFERROR(IF(C848="",0,INDEX(PRODUK!$F:$F,MATCH(C848,PRODUK!$A:$A,0))),0)</f>
        <v>0</v>
      </c>
      <c r="G848" s="118">
        <f t="shared" si="1"/>
        <v>0</v>
      </c>
      <c r="H848" s="118">
        <f t="array" ref="H848">IFERROR(IF(B848="",0,INDEX(HPP_ENGINE!$J:$J,MATCH(B848,HPP_ENGINE!$A:$A,0))),0)</f>
        <v>0</v>
      </c>
      <c r="I848" s="118">
        <f t="shared" si="2"/>
        <v>0</v>
      </c>
      <c r="J848" s="118">
        <f t="shared" si="3"/>
        <v>0</v>
      </c>
      <c r="K848" s="136">
        <f t="shared" si="4"/>
        <v>0</v>
      </c>
    </row>
    <row r="849" ht="18.0" customHeight="1">
      <c r="A849" s="132"/>
      <c r="B849" s="72"/>
      <c r="C849" s="72"/>
      <c r="D849" s="137" t="str">
        <f t="array" ref="D849">IFERROR(IF(C849="","",INDEX(PRODUK!$B:$B,MATCH(C849,PRODUK!$A:$A,0))),"")</f>
        <v/>
      </c>
      <c r="E849" s="113"/>
      <c r="F849" s="115">
        <f t="array" ref="F849">IFERROR(IF(C849="",0,INDEX(PRODUK!$F:$F,MATCH(C849,PRODUK!$A:$A,0))),0)</f>
        <v>0</v>
      </c>
      <c r="G849" s="114">
        <f t="shared" si="1"/>
        <v>0</v>
      </c>
      <c r="H849" s="114">
        <f t="array" ref="H849">IFERROR(IF(B849="",0,INDEX(HPP_ENGINE!$J:$J,MATCH(B849,HPP_ENGINE!$A:$A,0))),0)</f>
        <v>0</v>
      </c>
      <c r="I849" s="114">
        <f t="shared" si="2"/>
        <v>0</v>
      </c>
      <c r="J849" s="114">
        <f t="shared" si="3"/>
        <v>0</v>
      </c>
      <c r="K849" s="133">
        <f t="shared" si="4"/>
        <v>0</v>
      </c>
    </row>
    <row r="850" ht="18.0" customHeight="1">
      <c r="A850" s="134"/>
      <c r="B850" s="77"/>
      <c r="C850" s="77"/>
      <c r="D850" s="135" t="str">
        <f t="array" ref="D850">IFERROR(IF(C850="","",INDEX(PRODUK!$B:$B,MATCH(C850,PRODUK!$A:$A,0))),"")</f>
        <v/>
      </c>
      <c r="E850" s="117"/>
      <c r="F850" s="119">
        <f t="array" ref="F850">IFERROR(IF(C850="",0,INDEX(PRODUK!$F:$F,MATCH(C850,PRODUK!$A:$A,0))),0)</f>
        <v>0</v>
      </c>
      <c r="G850" s="118">
        <f t="shared" si="1"/>
        <v>0</v>
      </c>
      <c r="H850" s="118">
        <f t="array" ref="H850">IFERROR(IF(B850="",0,INDEX(HPP_ENGINE!$J:$J,MATCH(B850,HPP_ENGINE!$A:$A,0))),0)</f>
        <v>0</v>
      </c>
      <c r="I850" s="118">
        <f t="shared" si="2"/>
        <v>0</v>
      </c>
      <c r="J850" s="118">
        <f t="shared" si="3"/>
        <v>0</v>
      </c>
      <c r="K850" s="136">
        <f t="shared" si="4"/>
        <v>0</v>
      </c>
    </row>
    <row r="851" ht="18.0" customHeight="1">
      <c r="A851" s="132"/>
      <c r="B851" s="72"/>
      <c r="C851" s="72"/>
      <c r="D851" s="137" t="str">
        <f t="array" ref="D851">IFERROR(IF(C851="","",INDEX(PRODUK!$B:$B,MATCH(C851,PRODUK!$A:$A,0))),"")</f>
        <v/>
      </c>
      <c r="E851" s="113"/>
      <c r="F851" s="115">
        <f t="array" ref="F851">IFERROR(IF(C851="",0,INDEX(PRODUK!$F:$F,MATCH(C851,PRODUK!$A:$A,0))),0)</f>
        <v>0</v>
      </c>
      <c r="G851" s="114">
        <f t="shared" si="1"/>
        <v>0</v>
      </c>
      <c r="H851" s="114">
        <f t="array" ref="H851">IFERROR(IF(B851="",0,INDEX(HPP_ENGINE!$J:$J,MATCH(B851,HPP_ENGINE!$A:$A,0))),0)</f>
        <v>0</v>
      </c>
      <c r="I851" s="114">
        <f t="shared" si="2"/>
        <v>0</v>
      </c>
      <c r="J851" s="114">
        <f t="shared" si="3"/>
        <v>0</v>
      </c>
      <c r="K851" s="133">
        <f t="shared" si="4"/>
        <v>0</v>
      </c>
    </row>
    <row r="852" ht="18.0" customHeight="1">
      <c r="A852" s="134"/>
      <c r="B852" s="77"/>
      <c r="C852" s="77"/>
      <c r="D852" s="135" t="str">
        <f t="array" ref="D852">IFERROR(IF(C852="","",INDEX(PRODUK!$B:$B,MATCH(C852,PRODUK!$A:$A,0))),"")</f>
        <v/>
      </c>
      <c r="E852" s="117"/>
      <c r="F852" s="119">
        <f t="array" ref="F852">IFERROR(IF(C852="",0,INDEX(PRODUK!$F:$F,MATCH(C852,PRODUK!$A:$A,0))),0)</f>
        <v>0</v>
      </c>
      <c r="G852" s="118">
        <f t="shared" si="1"/>
        <v>0</v>
      </c>
      <c r="H852" s="118">
        <f t="array" ref="H852">IFERROR(IF(B852="",0,INDEX(HPP_ENGINE!$J:$J,MATCH(B852,HPP_ENGINE!$A:$A,0))),0)</f>
        <v>0</v>
      </c>
      <c r="I852" s="118">
        <f t="shared" si="2"/>
        <v>0</v>
      </c>
      <c r="J852" s="118">
        <f t="shared" si="3"/>
        <v>0</v>
      </c>
      <c r="K852" s="136">
        <f t="shared" si="4"/>
        <v>0</v>
      </c>
    </row>
    <row r="853" ht="18.0" customHeight="1">
      <c r="A853" s="132"/>
      <c r="B853" s="72"/>
      <c r="C853" s="72"/>
      <c r="D853" s="137" t="str">
        <f t="array" ref="D853">IFERROR(IF(C853="","",INDEX(PRODUK!$B:$B,MATCH(C853,PRODUK!$A:$A,0))),"")</f>
        <v/>
      </c>
      <c r="E853" s="113"/>
      <c r="F853" s="115">
        <f t="array" ref="F853">IFERROR(IF(C853="",0,INDEX(PRODUK!$F:$F,MATCH(C853,PRODUK!$A:$A,0))),0)</f>
        <v>0</v>
      </c>
      <c r="G853" s="114">
        <f t="shared" si="1"/>
        <v>0</v>
      </c>
      <c r="H853" s="114">
        <f t="array" ref="H853">IFERROR(IF(B853="",0,INDEX(HPP_ENGINE!$J:$J,MATCH(B853,HPP_ENGINE!$A:$A,0))),0)</f>
        <v>0</v>
      </c>
      <c r="I853" s="114">
        <f t="shared" si="2"/>
        <v>0</v>
      </c>
      <c r="J853" s="114">
        <f t="shared" si="3"/>
        <v>0</v>
      </c>
      <c r="K853" s="133">
        <f t="shared" si="4"/>
        <v>0</v>
      </c>
    </row>
    <row r="854" ht="18.0" customHeight="1">
      <c r="A854" s="134"/>
      <c r="B854" s="77"/>
      <c r="C854" s="77"/>
      <c r="D854" s="135" t="str">
        <f t="array" ref="D854">IFERROR(IF(C854="","",INDEX(PRODUK!$B:$B,MATCH(C854,PRODUK!$A:$A,0))),"")</f>
        <v/>
      </c>
      <c r="E854" s="117"/>
      <c r="F854" s="119">
        <f t="array" ref="F854">IFERROR(IF(C854="",0,INDEX(PRODUK!$F:$F,MATCH(C854,PRODUK!$A:$A,0))),0)</f>
        <v>0</v>
      </c>
      <c r="G854" s="118">
        <f t="shared" si="1"/>
        <v>0</v>
      </c>
      <c r="H854" s="118">
        <f t="array" ref="H854">IFERROR(IF(B854="",0,INDEX(HPP_ENGINE!$J:$J,MATCH(B854,HPP_ENGINE!$A:$A,0))),0)</f>
        <v>0</v>
      </c>
      <c r="I854" s="118">
        <f t="shared" si="2"/>
        <v>0</v>
      </c>
      <c r="J854" s="118">
        <f t="shared" si="3"/>
        <v>0</v>
      </c>
      <c r="K854" s="136">
        <f t="shared" si="4"/>
        <v>0</v>
      </c>
    </row>
    <row r="855" ht="18.0" customHeight="1">
      <c r="A855" s="132"/>
      <c r="B855" s="72"/>
      <c r="C855" s="72"/>
      <c r="D855" s="137" t="str">
        <f t="array" ref="D855">IFERROR(IF(C855="","",INDEX(PRODUK!$B:$B,MATCH(C855,PRODUK!$A:$A,0))),"")</f>
        <v/>
      </c>
      <c r="E855" s="113"/>
      <c r="F855" s="115">
        <f t="array" ref="F855">IFERROR(IF(C855="",0,INDEX(PRODUK!$F:$F,MATCH(C855,PRODUK!$A:$A,0))),0)</f>
        <v>0</v>
      </c>
      <c r="G855" s="114">
        <f t="shared" si="1"/>
        <v>0</v>
      </c>
      <c r="H855" s="114">
        <f t="array" ref="H855">IFERROR(IF(B855="",0,INDEX(HPP_ENGINE!$J:$J,MATCH(B855,HPP_ENGINE!$A:$A,0))),0)</f>
        <v>0</v>
      </c>
      <c r="I855" s="114">
        <f t="shared" si="2"/>
        <v>0</v>
      </c>
      <c r="J855" s="114">
        <f t="shared" si="3"/>
        <v>0</v>
      </c>
      <c r="K855" s="133">
        <f t="shared" si="4"/>
        <v>0</v>
      </c>
    </row>
    <row r="856" ht="18.0" customHeight="1">
      <c r="A856" s="134"/>
      <c r="B856" s="77"/>
      <c r="C856" s="77"/>
      <c r="D856" s="135" t="str">
        <f t="array" ref="D856">IFERROR(IF(C856="","",INDEX(PRODUK!$B:$B,MATCH(C856,PRODUK!$A:$A,0))),"")</f>
        <v/>
      </c>
      <c r="E856" s="117"/>
      <c r="F856" s="119">
        <f t="array" ref="F856">IFERROR(IF(C856="",0,INDEX(PRODUK!$F:$F,MATCH(C856,PRODUK!$A:$A,0))),0)</f>
        <v>0</v>
      </c>
      <c r="G856" s="118">
        <f t="shared" si="1"/>
        <v>0</v>
      </c>
      <c r="H856" s="118">
        <f t="array" ref="H856">IFERROR(IF(B856="",0,INDEX(HPP_ENGINE!$J:$J,MATCH(B856,HPP_ENGINE!$A:$A,0))),0)</f>
        <v>0</v>
      </c>
      <c r="I856" s="118">
        <f t="shared" si="2"/>
        <v>0</v>
      </c>
      <c r="J856" s="118">
        <f t="shared" si="3"/>
        <v>0</v>
      </c>
      <c r="K856" s="136">
        <f t="shared" si="4"/>
        <v>0</v>
      </c>
    </row>
    <row r="857" ht="18.0" customHeight="1">
      <c r="A857" s="132"/>
      <c r="B857" s="72"/>
      <c r="C857" s="72"/>
      <c r="D857" s="137" t="str">
        <f t="array" ref="D857">IFERROR(IF(C857="","",INDEX(PRODUK!$B:$B,MATCH(C857,PRODUK!$A:$A,0))),"")</f>
        <v/>
      </c>
      <c r="E857" s="113"/>
      <c r="F857" s="115">
        <f t="array" ref="F857">IFERROR(IF(C857="",0,INDEX(PRODUK!$F:$F,MATCH(C857,PRODUK!$A:$A,0))),0)</f>
        <v>0</v>
      </c>
      <c r="G857" s="114">
        <f t="shared" si="1"/>
        <v>0</v>
      </c>
      <c r="H857" s="114">
        <f t="array" ref="H857">IFERROR(IF(B857="",0,INDEX(HPP_ENGINE!$J:$J,MATCH(B857,HPP_ENGINE!$A:$A,0))),0)</f>
        <v>0</v>
      </c>
      <c r="I857" s="114">
        <f t="shared" si="2"/>
        <v>0</v>
      </c>
      <c r="J857" s="114">
        <f t="shared" si="3"/>
        <v>0</v>
      </c>
      <c r="K857" s="133">
        <f t="shared" si="4"/>
        <v>0</v>
      </c>
    </row>
    <row r="858" ht="18.0" customHeight="1">
      <c r="A858" s="134"/>
      <c r="B858" s="77"/>
      <c r="C858" s="77"/>
      <c r="D858" s="135" t="str">
        <f t="array" ref="D858">IFERROR(IF(C858="","",INDEX(PRODUK!$B:$B,MATCH(C858,PRODUK!$A:$A,0))),"")</f>
        <v/>
      </c>
      <c r="E858" s="117"/>
      <c r="F858" s="119">
        <f t="array" ref="F858">IFERROR(IF(C858="",0,INDEX(PRODUK!$F:$F,MATCH(C858,PRODUK!$A:$A,0))),0)</f>
        <v>0</v>
      </c>
      <c r="G858" s="118">
        <f t="shared" si="1"/>
        <v>0</v>
      </c>
      <c r="H858" s="118">
        <f t="array" ref="H858">IFERROR(IF(B858="",0,INDEX(HPP_ENGINE!$J:$J,MATCH(B858,HPP_ENGINE!$A:$A,0))),0)</f>
        <v>0</v>
      </c>
      <c r="I858" s="118">
        <f t="shared" si="2"/>
        <v>0</v>
      </c>
      <c r="J858" s="118">
        <f t="shared" si="3"/>
        <v>0</v>
      </c>
      <c r="K858" s="136">
        <f t="shared" si="4"/>
        <v>0</v>
      </c>
    </row>
    <row r="859" ht="18.0" customHeight="1">
      <c r="A859" s="132"/>
      <c r="B859" s="72"/>
      <c r="C859" s="72"/>
      <c r="D859" s="137" t="str">
        <f t="array" ref="D859">IFERROR(IF(C859="","",INDEX(PRODUK!$B:$B,MATCH(C859,PRODUK!$A:$A,0))),"")</f>
        <v/>
      </c>
      <c r="E859" s="113"/>
      <c r="F859" s="115">
        <f t="array" ref="F859">IFERROR(IF(C859="",0,INDEX(PRODUK!$F:$F,MATCH(C859,PRODUK!$A:$A,0))),0)</f>
        <v>0</v>
      </c>
      <c r="G859" s="114">
        <f t="shared" si="1"/>
        <v>0</v>
      </c>
      <c r="H859" s="114">
        <f t="array" ref="H859">IFERROR(IF(B859="",0,INDEX(HPP_ENGINE!$J:$J,MATCH(B859,HPP_ENGINE!$A:$A,0))),0)</f>
        <v>0</v>
      </c>
      <c r="I859" s="114">
        <f t="shared" si="2"/>
        <v>0</v>
      </c>
      <c r="J859" s="114">
        <f t="shared" si="3"/>
        <v>0</v>
      </c>
      <c r="K859" s="133">
        <f t="shared" si="4"/>
        <v>0</v>
      </c>
    </row>
    <row r="860" ht="18.0" customHeight="1">
      <c r="A860" s="134"/>
      <c r="B860" s="77"/>
      <c r="C860" s="77"/>
      <c r="D860" s="135" t="str">
        <f t="array" ref="D860">IFERROR(IF(C860="","",INDEX(PRODUK!$B:$B,MATCH(C860,PRODUK!$A:$A,0))),"")</f>
        <v/>
      </c>
      <c r="E860" s="117"/>
      <c r="F860" s="119">
        <f t="array" ref="F860">IFERROR(IF(C860="",0,INDEX(PRODUK!$F:$F,MATCH(C860,PRODUK!$A:$A,0))),0)</f>
        <v>0</v>
      </c>
      <c r="G860" s="118">
        <f t="shared" si="1"/>
        <v>0</v>
      </c>
      <c r="H860" s="118">
        <f t="array" ref="H860">IFERROR(IF(B860="",0,INDEX(HPP_ENGINE!$J:$J,MATCH(B860,HPP_ENGINE!$A:$A,0))),0)</f>
        <v>0</v>
      </c>
      <c r="I860" s="118">
        <f t="shared" si="2"/>
        <v>0</v>
      </c>
      <c r="J860" s="118">
        <f t="shared" si="3"/>
        <v>0</v>
      </c>
      <c r="K860" s="136">
        <f t="shared" si="4"/>
        <v>0</v>
      </c>
    </row>
    <row r="861" ht="18.0" customHeight="1">
      <c r="A861" s="132"/>
      <c r="B861" s="72"/>
      <c r="C861" s="72"/>
      <c r="D861" s="137" t="str">
        <f t="array" ref="D861">IFERROR(IF(C861="","",INDEX(PRODUK!$B:$B,MATCH(C861,PRODUK!$A:$A,0))),"")</f>
        <v/>
      </c>
      <c r="E861" s="113"/>
      <c r="F861" s="115">
        <f t="array" ref="F861">IFERROR(IF(C861="",0,INDEX(PRODUK!$F:$F,MATCH(C861,PRODUK!$A:$A,0))),0)</f>
        <v>0</v>
      </c>
      <c r="G861" s="114">
        <f t="shared" si="1"/>
        <v>0</v>
      </c>
      <c r="H861" s="114">
        <f t="array" ref="H861">IFERROR(IF(B861="",0,INDEX(HPP_ENGINE!$J:$J,MATCH(B861,HPP_ENGINE!$A:$A,0))),0)</f>
        <v>0</v>
      </c>
      <c r="I861" s="114">
        <f t="shared" si="2"/>
        <v>0</v>
      </c>
      <c r="J861" s="114">
        <f t="shared" si="3"/>
        <v>0</v>
      </c>
      <c r="K861" s="133">
        <f t="shared" si="4"/>
        <v>0</v>
      </c>
    </row>
    <row r="862" ht="18.0" customHeight="1">
      <c r="A862" s="134"/>
      <c r="B862" s="77"/>
      <c r="C862" s="77"/>
      <c r="D862" s="135" t="str">
        <f t="array" ref="D862">IFERROR(IF(C862="","",INDEX(PRODUK!$B:$B,MATCH(C862,PRODUK!$A:$A,0))),"")</f>
        <v/>
      </c>
      <c r="E862" s="117"/>
      <c r="F862" s="119">
        <f t="array" ref="F862">IFERROR(IF(C862="",0,INDEX(PRODUK!$F:$F,MATCH(C862,PRODUK!$A:$A,0))),0)</f>
        <v>0</v>
      </c>
      <c r="G862" s="118">
        <f t="shared" si="1"/>
        <v>0</v>
      </c>
      <c r="H862" s="118">
        <f t="array" ref="H862">IFERROR(IF(B862="",0,INDEX(HPP_ENGINE!$J:$J,MATCH(B862,HPP_ENGINE!$A:$A,0))),0)</f>
        <v>0</v>
      </c>
      <c r="I862" s="118">
        <f t="shared" si="2"/>
        <v>0</v>
      </c>
      <c r="J862" s="118">
        <f t="shared" si="3"/>
        <v>0</v>
      </c>
      <c r="K862" s="136">
        <f t="shared" si="4"/>
        <v>0</v>
      </c>
    </row>
    <row r="863" ht="18.0" customHeight="1">
      <c r="A863" s="132"/>
      <c r="B863" s="72"/>
      <c r="C863" s="72"/>
      <c r="D863" s="137" t="str">
        <f t="array" ref="D863">IFERROR(IF(C863="","",INDEX(PRODUK!$B:$B,MATCH(C863,PRODUK!$A:$A,0))),"")</f>
        <v/>
      </c>
      <c r="E863" s="113"/>
      <c r="F863" s="115">
        <f t="array" ref="F863">IFERROR(IF(C863="",0,INDEX(PRODUK!$F:$F,MATCH(C863,PRODUK!$A:$A,0))),0)</f>
        <v>0</v>
      </c>
      <c r="G863" s="114">
        <f t="shared" si="1"/>
        <v>0</v>
      </c>
      <c r="H863" s="114">
        <f t="array" ref="H863">IFERROR(IF(B863="",0,INDEX(HPP_ENGINE!$J:$J,MATCH(B863,HPP_ENGINE!$A:$A,0))),0)</f>
        <v>0</v>
      </c>
      <c r="I863" s="114">
        <f t="shared" si="2"/>
        <v>0</v>
      </c>
      <c r="J863" s="114">
        <f t="shared" si="3"/>
        <v>0</v>
      </c>
      <c r="K863" s="133">
        <f t="shared" si="4"/>
        <v>0</v>
      </c>
    </row>
    <row r="864" ht="18.0" customHeight="1">
      <c r="A864" s="134"/>
      <c r="B864" s="77"/>
      <c r="C864" s="77"/>
      <c r="D864" s="135" t="str">
        <f t="array" ref="D864">IFERROR(IF(C864="","",INDEX(PRODUK!$B:$B,MATCH(C864,PRODUK!$A:$A,0))),"")</f>
        <v/>
      </c>
      <c r="E864" s="117"/>
      <c r="F864" s="119">
        <f t="array" ref="F864">IFERROR(IF(C864="",0,INDEX(PRODUK!$F:$F,MATCH(C864,PRODUK!$A:$A,0))),0)</f>
        <v>0</v>
      </c>
      <c r="G864" s="118">
        <f t="shared" si="1"/>
        <v>0</v>
      </c>
      <c r="H864" s="118">
        <f t="array" ref="H864">IFERROR(IF(B864="",0,INDEX(HPP_ENGINE!$J:$J,MATCH(B864,HPP_ENGINE!$A:$A,0))),0)</f>
        <v>0</v>
      </c>
      <c r="I864" s="118">
        <f t="shared" si="2"/>
        <v>0</v>
      </c>
      <c r="J864" s="118">
        <f t="shared" si="3"/>
        <v>0</v>
      </c>
      <c r="K864" s="136">
        <f t="shared" si="4"/>
        <v>0</v>
      </c>
    </row>
    <row r="865" ht="18.0" customHeight="1">
      <c r="A865" s="132"/>
      <c r="B865" s="72"/>
      <c r="C865" s="72"/>
      <c r="D865" s="137" t="str">
        <f t="array" ref="D865">IFERROR(IF(C865="","",INDEX(PRODUK!$B:$B,MATCH(C865,PRODUK!$A:$A,0))),"")</f>
        <v/>
      </c>
      <c r="E865" s="113"/>
      <c r="F865" s="115">
        <f t="array" ref="F865">IFERROR(IF(C865="",0,INDEX(PRODUK!$F:$F,MATCH(C865,PRODUK!$A:$A,0))),0)</f>
        <v>0</v>
      </c>
      <c r="G865" s="114">
        <f t="shared" si="1"/>
        <v>0</v>
      </c>
      <c r="H865" s="114">
        <f t="array" ref="H865">IFERROR(IF(B865="",0,INDEX(HPP_ENGINE!$J:$J,MATCH(B865,HPP_ENGINE!$A:$A,0))),0)</f>
        <v>0</v>
      </c>
      <c r="I865" s="114">
        <f t="shared" si="2"/>
        <v>0</v>
      </c>
      <c r="J865" s="114">
        <f t="shared" si="3"/>
        <v>0</v>
      </c>
      <c r="K865" s="133">
        <f t="shared" si="4"/>
        <v>0</v>
      </c>
    </row>
    <row r="866" ht="18.0" customHeight="1">
      <c r="A866" s="134"/>
      <c r="B866" s="77"/>
      <c r="C866" s="77"/>
      <c r="D866" s="135" t="str">
        <f t="array" ref="D866">IFERROR(IF(C866="","",INDEX(PRODUK!$B:$B,MATCH(C866,PRODUK!$A:$A,0))),"")</f>
        <v/>
      </c>
      <c r="E866" s="117"/>
      <c r="F866" s="119">
        <f t="array" ref="F866">IFERROR(IF(C866="",0,INDEX(PRODUK!$F:$F,MATCH(C866,PRODUK!$A:$A,0))),0)</f>
        <v>0</v>
      </c>
      <c r="G866" s="118">
        <f t="shared" si="1"/>
        <v>0</v>
      </c>
      <c r="H866" s="118">
        <f t="array" ref="H866">IFERROR(IF(B866="",0,INDEX(HPP_ENGINE!$J:$J,MATCH(B866,HPP_ENGINE!$A:$A,0))),0)</f>
        <v>0</v>
      </c>
      <c r="I866" s="118">
        <f t="shared" si="2"/>
        <v>0</v>
      </c>
      <c r="J866" s="118">
        <f t="shared" si="3"/>
        <v>0</v>
      </c>
      <c r="K866" s="136">
        <f t="shared" si="4"/>
        <v>0</v>
      </c>
    </row>
    <row r="867" ht="18.0" customHeight="1">
      <c r="A867" s="132"/>
      <c r="B867" s="72"/>
      <c r="C867" s="72"/>
      <c r="D867" s="137" t="str">
        <f t="array" ref="D867">IFERROR(IF(C867="","",INDEX(PRODUK!$B:$B,MATCH(C867,PRODUK!$A:$A,0))),"")</f>
        <v/>
      </c>
      <c r="E867" s="113"/>
      <c r="F867" s="115">
        <f t="array" ref="F867">IFERROR(IF(C867="",0,INDEX(PRODUK!$F:$F,MATCH(C867,PRODUK!$A:$A,0))),0)</f>
        <v>0</v>
      </c>
      <c r="G867" s="114">
        <f t="shared" si="1"/>
        <v>0</v>
      </c>
      <c r="H867" s="114">
        <f t="array" ref="H867">IFERROR(IF(B867="",0,INDEX(HPP_ENGINE!$J:$J,MATCH(B867,HPP_ENGINE!$A:$A,0))),0)</f>
        <v>0</v>
      </c>
      <c r="I867" s="114">
        <f t="shared" si="2"/>
        <v>0</v>
      </c>
      <c r="J867" s="114">
        <f t="shared" si="3"/>
        <v>0</v>
      </c>
      <c r="K867" s="133">
        <f t="shared" si="4"/>
        <v>0</v>
      </c>
    </row>
    <row r="868" ht="18.0" customHeight="1">
      <c r="A868" s="134"/>
      <c r="B868" s="77"/>
      <c r="C868" s="77"/>
      <c r="D868" s="135" t="str">
        <f t="array" ref="D868">IFERROR(IF(C868="","",INDEX(PRODUK!$B:$B,MATCH(C868,PRODUK!$A:$A,0))),"")</f>
        <v/>
      </c>
      <c r="E868" s="117"/>
      <c r="F868" s="119">
        <f t="array" ref="F868">IFERROR(IF(C868="",0,INDEX(PRODUK!$F:$F,MATCH(C868,PRODUK!$A:$A,0))),0)</f>
        <v>0</v>
      </c>
      <c r="G868" s="118">
        <f t="shared" si="1"/>
        <v>0</v>
      </c>
      <c r="H868" s="118">
        <f t="array" ref="H868">IFERROR(IF(B868="",0,INDEX(HPP_ENGINE!$J:$J,MATCH(B868,HPP_ENGINE!$A:$A,0))),0)</f>
        <v>0</v>
      </c>
      <c r="I868" s="118">
        <f t="shared" si="2"/>
        <v>0</v>
      </c>
      <c r="J868" s="118">
        <f t="shared" si="3"/>
        <v>0</v>
      </c>
      <c r="K868" s="136">
        <f t="shared" si="4"/>
        <v>0</v>
      </c>
    </row>
    <row r="869" ht="18.0" customHeight="1">
      <c r="A869" s="132"/>
      <c r="B869" s="72"/>
      <c r="C869" s="72"/>
      <c r="D869" s="137" t="str">
        <f t="array" ref="D869">IFERROR(IF(C869="","",INDEX(PRODUK!$B:$B,MATCH(C869,PRODUK!$A:$A,0))),"")</f>
        <v/>
      </c>
      <c r="E869" s="113"/>
      <c r="F869" s="115">
        <f t="array" ref="F869">IFERROR(IF(C869="",0,INDEX(PRODUK!$F:$F,MATCH(C869,PRODUK!$A:$A,0))),0)</f>
        <v>0</v>
      </c>
      <c r="G869" s="114">
        <f t="shared" si="1"/>
        <v>0</v>
      </c>
      <c r="H869" s="114">
        <f t="array" ref="H869">IFERROR(IF(B869="",0,INDEX(HPP_ENGINE!$J:$J,MATCH(B869,HPP_ENGINE!$A:$A,0))),0)</f>
        <v>0</v>
      </c>
      <c r="I869" s="114">
        <f t="shared" si="2"/>
        <v>0</v>
      </c>
      <c r="J869" s="114">
        <f t="shared" si="3"/>
        <v>0</v>
      </c>
      <c r="K869" s="133">
        <f t="shared" si="4"/>
        <v>0</v>
      </c>
    </row>
    <row r="870" ht="18.0" customHeight="1">
      <c r="A870" s="134"/>
      <c r="B870" s="77"/>
      <c r="C870" s="77"/>
      <c r="D870" s="135" t="str">
        <f t="array" ref="D870">IFERROR(IF(C870="","",INDEX(PRODUK!$B:$B,MATCH(C870,PRODUK!$A:$A,0))),"")</f>
        <v/>
      </c>
      <c r="E870" s="117"/>
      <c r="F870" s="119">
        <f t="array" ref="F870">IFERROR(IF(C870="",0,INDEX(PRODUK!$F:$F,MATCH(C870,PRODUK!$A:$A,0))),0)</f>
        <v>0</v>
      </c>
      <c r="G870" s="118">
        <f t="shared" si="1"/>
        <v>0</v>
      </c>
      <c r="H870" s="118">
        <f t="array" ref="H870">IFERROR(IF(B870="",0,INDEX(HPP_ENGINE!$J:$J,MATCH(B870,HPP_ENGINE!$A:$A,0))),0)</f>
        <v>0</v>
      </c>
      <c r="I870" s="118">
        <f t="shared" si="2"/>
        <v>0</v>
      </c>
      <c r="J870" s="118">
        <f t="shared" si="3"/>
        <v>0</v>
      </c>
      <c r="K870" s="136">
        <f t="shared" si="4"/>
        <v>0</v>
      </c>
    </row>
    <row r="871" ht="18.0" customHeight="1">
      <c r="A871" s="132"/>
      <c r="B871" s="72"/>
      <c r="C871" s="72"/>
      <c r="D871" s="137" t="str">
        <f t="array" ref="D871">IFERROR(IF(C871="","",INDEX(PRODUK!$B:$B,MATCH(C871,PRODUK!$A:$A,0))),"")</f>
        <v/>
      </c>
      <c r="E871" s="113"/>
      <c r="F871" s="115">
        <f t="array" ref="F871">IFERROR(IF(C871="",0,INDEX(PRODUK!$F:$F,MATCH(C871,PRODUK!$A:$A,0))),0)</f>
        <v>0</v>
      </c>
      <c r="G871" s="114">
        <f t="shared" si="1"/>
        <v>0</v>
      </c>
      <c r="H871" s="114">
        <f t="array" ref="H871">IFERROR(IF(B871="",0,INDEX(HPP_ENGINE!$J:$J,MATCH(B871,HPP_ENGINE!$A:$A,0))),0)</f>
        <v>0</v>
      </c>
      <c r="I871" s="114">
        <f t="shared" si="2"/>
        <v>0</v>
      </c>
      <c r="J871" s="114">
        <f t="shared" si="3"/>
        <v>0</v>
      </c>
      <c r="K871" s="133">
        <f t="shared" si="4"/>
        <v>0</v>
      </c>
    </row>
    <row r="872" ht="18.0" customHeight="1">
      <c r="A872" s="134"/>
      <c r="B872" s="77"/>
      <c r="C872" s="77"/>
      <c r="D872" s="135" t="str">
        <f t="array" ref="D872">IFERROR(IF(C872="","",INDEX(PRODUK!$B:$B,MATCH(C872,PRODUK!$A:$A,0))),"")</f>
        <v/>
      </c>
      <c r="E872" s="117"/>
      <c r="F872" s="119">
        <f t="array" ref="F872">IFERROR(IF(C872="",0,INDEX(PRODUK!$F:$F,MATCH(C872,PRODUK!$A:$A,0))),0)</f>
        <v>0</v>
      </c>
      <c r="G872" s="118">
        <f t="shared" si="1"/>
        <v>0</v>
      </c>
      <c r="H872" s="118">
        <f t="array" ref="H872">IFERROR(IF(B872="",0,INDEX(HPP_ENGINE!$J:$J,MATCH(B872,HPP_ENGINE!$A:$A,0))),0)</f>
        <v>0</v>
      </c>
      <c r="I872" s="118">
        <f t="shared" si="2"/>
        <v>0</v>
      </c>
      <c r="J872" s="118">
        <f t="shared" si="3"/>
        <v>0</v>
      </c>
      <c r="K872" s="136">
        <f t="shared" si="4"/>
        <v>0</v>
      </c>
    </row>
    <row r="873" ht="18.0" customHeight="1">
      <c r="A873" s="132"/>
      <c r="B873" s="72"/>
      <c r="C873" s="72"/>
      <c r="D873" s="137" t="str">
        <f t="array" ref="D873">IFERROR(IF(C873="","",INDEX(PRODUK!$B:$B,MATCH(C873,PRODUK!$A:$A,0))),"")</f>
        <v/>
      </c>
      <c r="E873" s="113"/>
      <c r="F873" s="115">
        <f t="array" ref="F873">IFERROR(IF(C873="",0,INDEX(PRODUK!$F:$F,MATCH(C873,PRODUK!$A:$A,0))),0)</f>
        <v>0</v>
      </c>
      <c r="G873" s="114">
        <f t="shared" si="1"/>
        <v>0</v>
      </c>
      <c r="H873" s="114">
        <f t="array" ref="H873">IFERROR(IF(B873="",0,INDEX(HPP_ENGINE!$J:$J,MATCH(B873,HPP_ENGINE!$A:$A,0))),0)</f>
        <v>0</v>
      </c>
      <c r="I873" s="114">
        <f t="shared" si="2"/>
        <v>0</v>
      </c>
      <c r="J873" s="114">
        <f t="shared" si="3"/>
        <v>0</v>
      </c>
      <c r="K873" s="133">
        <f t="shared" si="4"/>
        <v>0</v>
      </c>
    </row>
    <row r="874" ht="18.0" customHeight="1">
      <c r="A874" s="134"/>
      <c r="B874" s="77"/>
      <c r="C874" s="77"/>
      <c r="D874" s="135" t="str">
        <f t="array" ref="D874">IFERROR(IF(C874="","",INDEX(PRODUK!$B:$B,MATCH(C874,PRODUK!$A:$A,0))),"")</f>
        <v/>
      </c>
      <c r="E874" s="117"/>
      <c r="F874" s="119">
        <f t="array" ref="F874">IFERROR(IF(C874="",0,INDEX(PRODUK!$F:$F,MATCH(C874,PRODUK!$A:$A,0))),0)</f>
        <v>0</v>
      </c>
      <c r="G874" s="118">
        <f t="shared" si="1"/>
        <v>0</v>
      </c>
      <c r="H874" s="118">
        <f t="array" ref="H874">IFERROR(IF(B874="",0,INDEX(HPP_ENGINE!$J:$J,MATCH(B874,HPP_ENGINE!$A:$A,0))),0)</f>
        <v>0</v>
      </c>
      <c r="I874" s="118">
        <f t="shared" si="2"/>
        <v>0</v>
      </c>
      <c r="J874" s="118">
        <f t="shared" si="3"/>
        <v>0</v>
      </c>
      <c r="K874" s="136">
        <f t="shared" si="4"/>
        <v>0</v>
      </c>
    </row>
    <row r="875" ht="18.0" customHeight="1">
      <c r="A875" s="132"/>
      <c r="B875" s="72"/>
      <c r="C875" s="72"/>
      <c r="D875" s="137" t="str">
        <f t="array" ref="D875">IFERROR(IF(C875="","",INDEX(PRODUK!$B:$B,MATCH(C875,PRODUK!$A:$A,0))),"")</f>
        <v/>
      </c>
      <c r="E875" s="113"/>
      <c r="F875" s="115">
        <f t="array" ref="F875">IFERROR(IF(C875="",0,INDEX(PRODUK!$F:$F,MATCH(C875,PRODUK!$A:$A,0))),0)</f>
        <v>0</v>
      </c>
      <c r="G875" s="114">
        <f t="shared" si="1"/>
        <v>0</v>
      </c>
      <c r="H875" s="114">
        <f t="array" ref="H875">IFERROR(IF(B875="",0,INDEX(HPP_ENGINE!$J:$J,MATCH(B875,HPP_ENGINE!$A:$A,0))),0)</f>
        <v>0</v>
      </c>
      <c r="I875" s="114">
        <f t="shared" si="2"/>
        <v>0</v>
      </c>
      <c r="J875" s="114">
        <f t="shared" si="3"/>
        <v>0</v>
      </c>
      <c r="K875" s="133">
        <f t="shared" si="4"/>
        <v>0</v>
      </c>
    </row>
    <row r="876" ht="18.0" customHeight="1">
      <c r="A876" s="134"/>
      <c r="B876" s="77"/>
      <c r="C876" s="77"/>
      <c r="D876" s="135" t="str">
        <f t="array" ref="D876">IFERROR(IF(C876="","",INDEX(PRODUK!$B:$B,MATCH(C876,PRODUK!$A:$A,0))),"")</f>
        <v/>
      </c>
      <c r="E876" s="117"/>
      <c r="F876" s="119">
        <f t="array" ref="F876">IFERROR(IF(C876="",0,INDEX(PRODUK!$F:$F,MATCH(C876,PRODUK!$A:$A,0))),0)</f>
        <v>0</v>
      </c>
      <c r="G876" s="118">
        <f t="shared" si="1"/>
        <v>0</v>
      </c>
      <c r="H876" s="118">
        <f t="array" ref="H876">IFERROR(IF(B876="",0,INDEX(HPP_ENGINE!$J:$J,MATCH(B876,HPP_ENGINE!$A:$A,0))),0)</f>
        <v>0</v>
      </c>
      <c r="I876" s="118">
        <f t="shared" si="2"/>
        <v>0</v>
      </c>
      <c r="J876" s="118">
        <f t="shared" si="3"/>
        <v>0</v>
      </c>
      <c r="K876" s="136">
        <f t="shared" si="4"/>
        <v>0</v>
      </c>
    </row>
    <row r="877" ht="18.0" customHeight="1">
      <c r="A877" s="132"/>
      <c r="B877" s="72"/>
      <c r="C877" s="72"/>
      <c r="D877" s="137" t="str">
        <f t="array" ref="D877">IFERROR(IF(C877="","",INDEX(PRODUK!$B:$B,MATCH(C877,PRODUK!$A:$A,0))),"")</f>
        <v/>
      </c>
      <c r="E877" s="113"/>
      <c r="F877" s="115">
        <f t="array" ref="F877">IFERROR(IF(C877="",0,INDEX(PRODUK!$F:$F,MATCH(C877,PRODUK!$A:$A,0))),0)</f>
        <v>0</v>
      </c>
      <c r="G877" s="114">
        <f t="shared" si="1"/>
        <v>0</v>
      </c>
      <c r="H877" s="114">
        <f t="array" ref="H877">IFERROR(IF(B877="",0,INDEX(HPP_ENGINE!$J:$J,MATCH(B877,HPP_ENGINE!$A:$A,0))),0)</f>
        <v>0</v>
      </c>
      <c r="I877" s="114">
        <f t="shared" si="2"/>
        <v>0</v>
      </c>
      <c r="J877" s="114">
        <f t="shared" si="3"/>
        <v>0</v>
      </c>
      <c r="K877" s="133">
        <f t="shared" si="4"/>
        <v>0</v>
      </c>
    </row>
    <row r="878" ht="18.0" customHeight="1">
      <c r="A878" s="134"/>
      <c r="B878" s="77"/>
      <c r="C878" s="77"/>
      <c r="D878" s="135" t="str">
        <f t="array" ref="D878">IFERROR(IF(C878="","",INDEX(PRODUK!$B:$B,MATCH(C878,PRODUK!$A:$A,0))),"")</f>
        <v/>
      </c>
      <c r="E878" s="117"/>
      <c r="F878" s="119">
        <f t="array" ref="F878">IFERROR(IF(C878="",0,INDEX(PRODUK!$F:$F,MATCH(C878,PRODUK!$A:$A,0))),0)</f>
        <v>0</v>
      </c>
      <c r="G878" s="118">
        <f t="shared" si="1"/>
        <v>0</v>
      </c>
      <c r="H878" s="118">
        <f t="array" ref="H878">IFERROR(IF(B878="",0,INDEX(HPP_ENGINE!$J:$J,MATCH(B878,HPP_ENGINE!$A:$A,0))),0)</f>
        <v>0</v>
      </c>
      <c r="I878" s="118">
        <f t="shared" si="2"/>
        <v>0</v>
      </c>
      <c r="J878" s="118">
        <f t="shared" si="3"/>
        <v>0</v>
      </c>
      <c r="K878" s="136">
        <f t="shared" si="4"/>
        <v>0</v>
      </c>
    </row>
    <row r="879" ht="18.0" customHeight="1">
      <c r="A879" s="132"/>
      <c r="B879" s="72"/>
      <c r="C879" s="72"/>
      <c r="D879" s="137" t="str">
        <f t="array" ref="D879">IFERROR(IF(C879="","",INDEX(PRODUK!$B:$B,MATCH(C879,PRODUK!$A:$A,0))),"")</f>
        <v/>
      </c>
      <c r="E879" s="113"/>
      <c r="F879" s="115">
        <f t="array" ref="F879">IFERROR(IF(C879="",0,INDEX(PRODUK!$F:$F,MATCH(C879,PRODUK!$A:$A,0))),0)</f>
        <v>0</v>
      </c>
      <c r="G879" s="114">
        <f t="shared" si="1"/>
        <v>0</v>
      </c>
      <c r="H879" s="114">
        <f t="array" ref="H879">IFERROR(IF(B879="",0,INDEX(HPP_ENGINE!$J:$J,MATCH(B879,HPP_ENGINE!$A:$A,0))),0)</f>
        <v>0</v>
      </c>
      <c r="I879" s="114">
        <f t="shared" si="2"/>
        <v>0</v>
      </c>
      <c r="J879" s="114">
        <f t="shared" si="3"/>
        <v>0</v>
      </c>
      <c r="K879" s="133">
        <f t="shared" si="4"/>
        <v>0</v>
      </c>
    </row>
    <row r="880" ht="18.0" customHeight="1">
      <c r="A880" s="134"/>
      <c r="B880" s="77"/>
      <c r="C880" s="77"/>
      <c r="D880" s="135" t="str">
        <f t="array" ref="D880">IFERROR(IF(C880="","",INDEX(PRODUK!$B:$B,MATCH(C880,PRODUK!$A:$A,0))),"")</f>
        <v/>
      </c>
      <c r="E880" s="117"/>
      <c r="F880" s="119">
        <f t="array" ref="F880">IFERROR(IF(C880="",0,INDEX(PRODUK!$F:$F,MATCH(C880,PRODUK!$A:$A,0))),0)</f>
        <v>0</v>
      </c>
      <c r="G880" s="118">
        <f t="shared" si="1"/>
        <v>0</v>
      </c>
      <c r="H880" s="118">
        <f t="array" ref="H880">IFERROR(IF(B880="",0,INDEX(HPP_ENGINE!$J:$J,MATCH(B880,HPP_ENGINE!$A:$A,0))),0)</f>
        <v>0</v>
      </c>
      <c r="I880" s="118">
        <f t="shared" si="2"/>
        <v>0</v>
      </c>
      <c r="J880" s="118">
        <f t="shared" si="3"/>
        <v>0</v>
      </c>
      <c r="K880" s="136">
        <f t="shared" si="4"/>
        <v>0</v>
      </c>
    </row>
    <row r="881" ht="18.0" customHeight="1">
      <c r="A881" s="132"/>
      <c r="B881" s="72"/>
      <c r="C881" s="72"/>
      <c r="D881" s="137" t="str">
        <f t="array" ref="D881">IFERROR(IF(C881="","",INDEX(PRODUK!$B:$B,MATCH(C881,PRODUK!$A:$A,0))),"")</f>
        <v/>
      </c>
      <c r="E881" s="113"/>
      <c r="F881" s="115">
        <f t="array" ref="F881">IFERROR(IF(C881="",0,INDEX(PRODUK!$F:$F,MATCH(C881,PRODUK!$A:$A,0))),0)</f>
        <v>0</v>
      </c>
      <c r="G881" s="114">
        <f t="shared" si="1"/>
        <v>0</v>
      </c>
      <c r="H881" s="114">
        <f t="array" ref="H881">IFERROR(IF(B881="",0,INDEX(HPP_ENGINE!$J:$J,MATCH(B881,HPP_ENGINE!$A:$A,0))),0)</f>
        <v>0</v>
      </c>
      <c r="I881" s="114">
        <f t="shared" si="2"/>
        <v>0</v>
      </c>
      <c r="J881" s="114">
        <f t="shared" si="3"/>
        <v>0</v>
      </c>
      <c r="K881" s="133">
        <f t="shared" si="4"/>
        <v>0</v>
      </c>
    </row>
    <row r="882" ht="18.0" customHeight="1">
      <c r="A882" s="134"/>
      <c r="B882" s="77"/>
      <c r="C882" s="77"/>
      <c r="D882" s="135" t="str">
        <f t="array" ref="D882">IFERROR(IF(C882="","",INDEX(PRODUK!$B:$B,MATCH(C882,PRODUK!$A:$A,0))),"")</f>
        <v/>
      </c>
      <c r="E882" s="117"/>
      <c r="F882" s="119">
        <f t="array" ref="F882">IFERROR(IF(C882="",0,INDEX(PRODUK!$F:$F,MATCH(C882,PRODUK!$A:$A,0))),0)</f>
        <v>0</v>
      </c>
      <c r="G882" s="118">
        <f t="shared" si="1"/>
        <v>0</v>
      </c>
      <c r="H882" s="118">
        <f t="array" ref="H882">IFERROR(IF(B882="",0,INDEX(HPP_ENGINE!$J:$J,MATCH(B882,HPP_ENGINE!$A:$A,0))),0)</f>
        <v>0</v>
      </c>
      <c r="I882" s="118">
        <f t="shared" si="2"/>
        <v>0</v>
      </c>
      <c r="J882" s="118">
        <f t="shared" si="3"/>
        <v>0</v>
      </c>
      <c r="K882" s="136">
        <f t="shared" si="4"/>
        <v>0</v>
      </c>
    </row>
    <row r="883" ht="18.0" customHeight="1">
      <c r="A883" s="132"/>
      <c r="B883" s="72"/>
      <c r="C883" s="72"/>
      <c r="D883" s="137" t="str">
        <f t="array" ref="D883">IFERROR(IF(C883="","",INDEX(PRODUK!$B:$B,MATCH(C883,PRODUK!$A:$A,0))),"")</f>
        <v/>
      </c>
      <c r="E883" s="113"/>
      <c r="F883" s="115">
        <f t="array" ref="F883">IFERROR(IF(C883="",0,INDEX(PRODUK!$F:$F,MATCH(C883,PRODUK!$A:$A,0))),0)</f>
        <v>0</v>
      </c>
      <c r="G883" s="114">
        <f t="shared" si="1"/>
        <v>0</v>
      </c>
      <c r="H883" s="114">
        <f t="array" ref="H883">IFERROR(IF(B883="",0,INDEX(HPP_ENGINE!$J:$J,MATCH(B883,HPP_ENGINE!$A:$A,0))),0)</f>
        <v>0</v>
      </c>
      <c r="I883" s="114">
        <f t="shared" si="2"/>
        <v>0</v>
      </c>
      <c r="J883" s="114">
        <f t="shared" si="3"/>
        <v>0</v>
      </c>
      <c r="K883" s="133">
        <f t="shared" si="4"/>
        <v>0</v>
      </c>
    </row>
    <row r="884" ht="18.0" customHeight="1">
      <c r="A884" s="134"/>
      <c r="B884" s="77"/>
      <c r="C884" s="77"/>
      <c r="D884" s="135" t="str">
        <f t="array" ref="D884">IFERROR(IF(C884="","",INDEX(PRODUK!$B:$B,MATCH(C884,PRODUK!$A:$A,0))),"")</f>
        <v/>
      </c>
      <c r="E884" s="117"/>
      <c r="F884" s="119">
        <f t="array" ref="F884">IFERROR(IF(C884="",0,INDEX(PRODUK!$F:$F,MATCH(C884,PRODUK!$A:$A,0))),0)</f>
        <v>0</v>
      </c>
      <c r="G884" s="118">
        <f t="shared" si="1"/>
        <v>0</v>
      </c>
      <c r="H884" s="118">
        <f t="array" ref="H884">IFERROR(IF(B884="",0,INDEX(HPP_ENGINE!$J:$J,MATCH(B884,HPP_ENGINE!$A:$A,0))),0)</f>
        <v>0</v>
      </c>
      <c r="I884" s="118">
        <f t="shared" si="2"/>
        <v>0</v>
      </c>
      <c r="J884" s="118">
        <f t="shared" si="3"/>
        <v>0</v>
      </c>
      <c r="K884" s="136">
        <f t="shared" si="4"/>
        <v>0</v>
      </c>
    </row>
    <row r="885" ht="18.0" customHeight="1">
      <c r="A885" s="132"/>
      <c r="B885" s="72"/>
      <c r="C885" s="72"/>
      <c r="D885" s="137" t="str">
        <f t="array" ref="D885">IFERROR(IF(C885="","",INDEX(PRODUK!$B:$B,MATCH(C885,PRODUK!$A:$A,0))),"")</f>
        <v/>
      </c>
      <c r="E885" s="113"/>
      <c r="F885" s="115">
        <f t="array" ref="F885">IFERROR(IF(C885="",0,INDEX(PRODUK!$F:$F,MATCH(C885,PRODUK!$A:$A,0))),0)</f>
        <v>0</v>
      </c>
      <c r="G885" s="114">
        <f t="shared" si="1"/>
        <v>0</v>
      </c>
      <c r="H885" s="114">
        <f t="array" ref="H885">IFERROR(IF(B885="",0,INDEX(HPP_ENGINE!$J:$J,MATCH(B885,HPP_ENGINE!$A:$A,0))),0)</f>
        <v>0</v>
      </c>
      <c r="I885" s="114">
        <f t="shared" si="2"/>
        <v>0</v>
      </c>
      <c r="J885" s="114">
        <f t="shared" si="3"/>
        <v>0</v>
      </c>
      <c r="K885" s="133">
        <f t="shared" si="4"/>
        <v>0</v>
      </c>
    </row>
    <row r="886" ht="18.0" customHeight="1">
      <c r="A886" s="134"/>
      <c r="B886" s="77"/>
      <c r="C886" s="77"/>
      <c r="D886" s="135" t="str">
        <f t="array" ref="D886">IFERROR(IF(C886="","",INDEX(PRODUK!$B:$B,MATCH(C886,PRODUK!$A:$A,0))),"")</f>
        <v/>
      </c>
      <c r="E886" s="117"/>
      <c r="F886" s="119">
        <f t="array" ref="F886">IFERROR(IF(C886="",0,INDEX(PRODUK!$F:$F,MATCH(C886,PRODUK!$A:$A,0))),0)</f>
        <v>0</v>
      </c>
      <c r="G886" s="118">
        <f t="shared" si="1"/>
        <v>0</v>
      </c>
      <c r="H886" s="118">
        <f t="array" ref="H886">IFERROR(IF(B886="",0,INDEX(HPP_ENGINE!$J:$J,MATCH(B886,HPP_ENGINE!$A:$A,0))),0)</f>
        <v>0</v>
      </c>
      <c r="I886" s="118">
        <f t="shared" si="2"/>
        <v>0</v>
      </c>
      <c r="J886" s="118">
        <f t="shared" si="3"/>
        <v>0</v>
      </c>
      <c r="K886" s="136">
        <f t="shared" si="4"/>
        <v>0</v>
      </c>
    </row>
    <row r="887" ht="18.0" customHeight="1">
      <c r="A887" s="132"/>
      <c r="B887" s="72"/>
      <c r="C887" s="72"/>
      <c r="D887" s="137" t="str">
        <f t="array" ref="D887">IFERROR(IF(C887="","",INDEX(PRODUK!$B:$B,MATCH(C887,PRODUK!$A:$A,0))),"")</f>
        <v/>
      </c>
      <c r="E887" s="113"/>
      <c r="F887" s="115">
        <f t="array" ref="F887">IFERROR(IF(C887="",0,INDEX(PRODUK!$F:$F,MATCH(C887,PRODUK!$A:$A,0))),0)</f>
        <v>0</v>
      </c>
      <c r="G887" s="114">
        <f t="shared" si="1"/>
        <v>0</v>
      </c>
      <c r="H887" s="114">
        <f t="array" ref="H887">IFERROR(IF(B887="",0,INDEX(HPP_ENGINE!$J:$J,MATCH(B887,HPP_ENGINE!$A:$A,0))),0)</f>
        <v>0</v>
      </c>
      <c r="I887" s="114">
        <f t="shared" si="2"/>
        <v>0</v>
      </c>
      <c r="J887" s="114">
        <f t="shared" si="3"/>
        <v>0</v>
      </c>
      <c r="K887" s="133">
        <f t="shared" si="4"/>
        <v>0</v>
      </c>
    </row>
    <row r="888" ht="18.0" customHeight="1">
      <c r="A888" s="134"/>
      <c r="B888" s="77"/>
      <c r="C888" s="77"/>
      <c r="D888" s="135" t="str">
        <f t="array" ref="D888">IFERROR(IF(C888="","",INDEX(PRODUK!$B:$B,MATCH(C888,PRODUK!$A:$A,0))),"")</f>
        <v/>
      </c>
      <c r="E888" s="117"/>
      <c r="F888" s="119">
        <f t="array" ref="F888">IFERROR(IF(C888="",0,INDEX(PRODUK!$F:$F,MATCH(C888,PRODUK!$A:$A,0))),0)</f>
        <v>0</v>
      </c>
      <c r="G888" s="118">
        <f t="shared" si="1"/>
        <v>0</v>
      </c>
      <c r="H888" s="118">
        <f t="array" ref="H888">IFERROR(IF(B888="",0,INDEX(HPP_ENGINE!$J:$J,MATCH(B888,HPP_ENGINE!$A:$A,0))),0)</f>
        <v>0</v>
      </c>
      <c r="I888" s="118">
        <f t="shared" si="2"/>
        <v>0</v>
      </c>
      <c r="J888" s="118">
        <f t="shared" si="3"/>
        <v>0</v>
      </c>
      <c r="K888" s="136">
        <f t="shared" si="4"/>
        <v>0</v>
      </c>
    </row>
    <row r="889" ht="18.0" customHeight="1">
      <c r="A889" s="132"/>
      <c r="B889" s="72"/>
      <c r="C889" s="72"/>
      <c r="D889" s="137" t="str">
        <f t="array" ref="D889">IFERROR(IF(C889="","",INDEX(PRODUK!$B:$B,MATCH(C889,PRODUK!$A:$A,0))),"")</f>
        <v/>
      </c>
      <c r="E889" s="113"/>
      <c r="F889" s="115">
        <f t="array" ref="F889">IFERROR(IF(C889="",0,INDEX(PRODUK!$F:$F,MATCH(C889,PRODUK!$A:$A,0))),0)</f>
        <v>0</v>
      </c>
      <c r="G889" s="114">
        <f t="shared" si="1"/>
        <v>0</v>
      </c>
      <c r="H889" s="114">
        <f t="array" ref="H889">IFERROR(IF(B889="",0,INDEX(HPP_ENGINE!$J:$J,MATCH(B889,HPP_ENGINE!$A:$A,0))),0)</f>
        <v>0</v>
      </c>
      <c r="I889" s="114">
        <f t="shared" si="2"/>
        <v>0</v>
      </c>
      <c r="J889" s="114">
        <f t="shared" si="3"/>
        <v>0</v>
      </c>
      <c r="K889" s="133">
        <f t="shared" si="4"/>
        <v>0</v>
      </c>
    </row>
    <row r="890" ht="18.0" customHeight="1">
      <c r="A890" s="134"/>
      <c r="B890" s="77"/>
      <c r="C890" s="77"/>
      <c r="D890" s="135" t="str">
        <f t="array" ref="D890">IFERROR(IF(C890="","",INDEX(PRODUK!$B:$B,MATCH(C890,PRODUK!$A:$A,0))),"")</f>
        <v/>
      </c>
      <c r="E890" s="117"/>
      <c r="F890" s="119">
        <f t="array" ref="F890">IFERROR(IF(C890="",0,INDEX(PRODUK!$F:$F,MATCH(C890,PRODUK!$A:$A,0))),0)</f>
        <v>0</v>
      </c>
      <c r="G890" s="118">
        <f t="shared" si="1"/>
        <v>0</v>
      </c>
      <c r="H890" s="118">
        <f t="array" ref="H890">IFERROR(IF(B890="",0,INDEX(HPP_ENGINE!$J:$J,MATCH(B890,HPP_ENGINE!$A:$A,0))),0)</f>
        <v>0</v>
      </c>
      <c r="I890" s="118">
        <f t="shared" si="2"/>
        <v>0</v>
      </c>
      <c r="J890" s="118">
        <f t="shared" si="3"/>
        <v>0</v>
      </c>
      <c r="K890" s="136">
        <f t="shared" si="4"/>
        <v>0</v>
      </c>
    </row>
    <row r="891" ht="18.0" customHeight="1">
      <c r="A891" s="132"/>
      <c r="B891" s="72"/>
      <c r="C891" s="72"/>
      <c r="D891" s="137" t="str">
        <f t="array" ref="D891">IFERROR(IF(C891="","",INDEX(PRODUK!$B:$B,MATCH(C891,PRODUK!$A:$A,0))),"")</f>
        <v/>
      </c>
      <c r="E891" s="113"/>
      <c r="F891" s="115">
        <f t="array" ref="F891">IFERROR(IF(C891="",0,INDEX(PRODUK!$F:$F,MATCH(C891,PRODUK!$A:$A,0))),0)</f>
        <v>0</v>
      </c>
      <c r="G891" s="114">
        <f t="shared" si="1"/>
        <v>0</v>
      </c>
      <c r="H891" s="114">
        <f t="array" ref="H891">IFERROR(IF(B891="",0,INDEX(HPP_ENGINE!$J:$J,MATCH(B891,HPP_ENGINE!$A:$A,0))),0)</f>
        <v>0</v>
      </c>
      <c r="I891" s="114">
        <f t="shared" si="2"/>
        <v>0</v>
      </c>
      <c r="J891" s="114">
        <f t="shared" si="3"/>
        <v>0</v>
      </c>
      <c r="K891" s="133">
        <f t="shared" si="4"/>
        <v>0</v>
      </c>
    </row>
    <row r="892" ht="18.0" customHeight="1">
      <c r="A892" s="134"/>
      <c r="B892" s="77"/>
      <c r="C892" s="77"/>
      <c r="D892" s="135" t="str">
        <f t="array" ref="D892">IFERROR(IF(C892="","",INDEX(PRODUK!$B:$B,MATCH(C892,PRODUK!$A:$A,0))),"")</f>
        <v/>
      </c>
      <c r="E892" s="117"/>
      <c r="F892" s="119">
        <f t="array" ref="F892">IFERROR(IF(C892="",0,INDEX(PRODUK!$F:$F,MATCH(C892,PRODUK!$A:$A,0))),0)</f>
        <v>0</v>
      </c>
      <c r="G892" s="118">
        <f t="shared" si="1"/>
        <v>0</v>
      </c>
      <c r="H892" s="118">
        <f t="array" ref="H892">IFERROR(IF(B892="",0,INDEX(HPP_ENGINE!$J:$J,MATCH(B892,HPP_ENGINE!$A:$A,0))),0)</f>
        <v>0</v>
      </c>
      <c r="I892" s="118">
        <f t="shared" si="2"/>
        <v>0</v>
      </c>
      <c r="J892" s="118">
        <f t="shared" si="3"/>
        <v>0</v>
      </c>
      <c r="K892" s="136">
        <f t="shared" si="4"/>
        <v>0</v>
      </c>
    </row>
    <row r="893" ht="18.0" customHeight="1">
      <c r="A893" s="132"/>
      <c r="B893" s="72"/>
      <c r="C893" s="72"/>
      <c r="D893" s="137" t="str">
        <f t="array" ref="D893">IFERROR(IF(C893="","",INDEX(PRODUK!$B:$B,MATCH(C893,PRODUK!$A:$A,0))),"")</f>
        <v/>
      </c>
      <c r="E893" s="113"/>
      <c r="F893" s="115">
        <f t="array" ref="F893">IFERROR(IF(C893="",0,INDEX(PRODUK!$F:$F,MATCH(C893,PRODUK!$A:$A,0))),0)</f>
        <v>0</v>
      </c>
      <c r="G893" s="114">
        <f t="shared" si="1"/>
        <v>0</v>
      </c>
      <c r="H893" s="114">
        <f t="array" ref="H893">IFERROR(IF(B893="",0,INDEX(HPP_ENGINE!$J:$J,MATCH(B893,HPP_ENGINE!$A:$A,0))),0)</f>
        <v>0</v>
      </c>
      <c r="I893" s="114">
        <f t="shared" si="2"/>
        <v>0</v>
      </c>
      <c r="J893" s="114">
        <f t="shared" si="3"/>
        <v>0</v>
      </c>
      <c r="K893" s="133">
        <f t="shared" si="4"/>
        <v>0</v>
      </c>
    </row>
    <row r="894" ht="18.0" customHeight="1">
      <c r="A894" s="134"/>
      <c r="B894" s="77"/>
      <c r="C894" s="77"/>
      <c r="D894" s="135" t="str">
        <f t="array" ref="D894">IFERROR(IF(C894="","",INDEX(PRODUK!$B:$B,MATCH(C894,PRODUK!$A:$A,0))),"")</f>
        <v/>
      </c>
      <c r="E894" s="117"/>
      <c r="F894" s="119">
        <f t="array" ref="F894">IFERROR(IF(C894="",0,INDEX(PRODUK!$F:$F,MATCH(C894,PRODUK!$A:$A,0))),0)</f>
        <v>0</v>
      </c>
      <c r="G894" s="118">
        <f t="shared" si="1"/>
        <v>0</v>
      </c>
      <c r="H894" s="118">
        <f t="array" ref="H894">IFERROR(IF(B894="",0,INDEX(HPP_ENGINE!$J:$J,MATCH(B894,HPP_ENGINE!$A:$A,0))),0)</f>
        <v>0</v>
      </c>
      <c r="I894" s="118">
        <f t="shared" si="2"/>
        <v>0</v>
      </c>
      <c r="J894" s="118">
        <f t="shared" si="3"/>
        <v>0</v>
      </c>
      <c r="K894" s="136">
        <f t="shared" si="4"/>
        <v>0</v>
      </c>
    </row>
    <row r="895" ht="18.0" customHeight="1">
      <c r="A895" s="132"/>
      <c r="B895" s="72"/>
      <c r="C895" s="72"/>
      <c r="D895" s="137" t="str">
        <f t="array" ref="D895">IFERROR(IF(C895="","",INDEX(PRODUK!$B:$B,MATCH(C895,PRODUK!$A:$A,0))),"")</f>
        <v/>
      </c>
      <c r="E895" s="113"/>
      <c r="F895" s="115">
        <f t="array" ref="F895">IFERROR(IF(C895="",0,INDEX(PRODUK!$F:$F,MATCH(C895,PRODUK!$A:$A,0))),0)</f>
        <v>0</v>
      </c>
      <c r="G895" s="114">
        <f t="shared" si="1"/>
        <v>0</v>
      </c>
      <c r="H895" s="114">
        <f t="array" ref="H895">IFERROR(IF(B895="",0,INDEX(HPP_ENGINE!$J:$J,MATCH(B895,HPP_ENGINE!$A:$A,0))),0)</f>
        <v>0</v>
      </c>
      <c r="I895" s="114">
        <f t="shared" si="2"/>
        <v>0</v>
      </c>
      <c r="J895" s="114">
        <f t="shared" si="3"/>
        <v>0</v>
      </c>
      <c r="K895" s="133">
        <f t="shared" si="4"/>
        <v>0</v>
      </c>
    </row>
    <row r="896" ht="18.0" customHeight="1">
      <c r="A896" s="134"/>
      <c r="B896" s="77"/>
      <c r="C896" s="77"/>
      <c r="D896" s="135" t="str">
        <f t="array" ref="D896">IFERROR(IF(C896="","",INDEX(PRODUK!$B:$B,MATCH(C896,PRODUK!$A:$A,0))),"")</f>
        <v/>
      </c>
      <c r="E896" s="117"/>
      <c r="F896" s="119">
        <f t="array" ref="F896">IFERROR(IF(C896="",0,INDEX(PRODUK!$F:$F,MATCH(C896,PRODUK!$A:$A,0))),0)</f>
        <v>0</v>
      </c>
      <c r="G896" s="118">
        <f t="shared" si="1"/>
        <v>0</v>
      </c>
      <c r="H896" s="118">
        <f t="array" ref="H896">IFERROR(IF(B896="",0,INDEX(HPP_ENGINE!$J:$J,MATCH(B896,HPP_ENGINE!$A:$A,0))),0)</f>
        <v>0</v>
      </c>
      <c r="I896" s="118">
        <f t="shared" si="2"/>
        <v>0</v>
      </c>
      <c r="J896" s="118">
        <f t="shared" si="3"/>
        <v>0</v>
      </c>
      <c r="K896" s="136">
        <f t="shared" si="4"/>
        <v>0</v>
      </c>
    </row>
    <row r="897" ht="18.0" customHeight="1">
      <c r="A897" s="132"/>
      <c r="B897" s="72"/>
      <c r="C897" s="72"/>
      <c r="D897" s="137" t="str">
        <f t="array" ref="D897">IFERROR(IF(C897="","",INDEX(PRODUK!$B:$B,MATCH(C897,PRODUK!$A:$A,0))),"")</f>
        <v/>
      </c>
      <c r="E897" s="113"/>
      <c r="F897" s="115">
        <f t="array" ref="F897">IFERROR(IF(C897="",0,INDEX(PRODUK!$F:$F,MATCH(C897,PRODUK!$A:$A,0))),0)</f>
        <v>0</v>
      </c>
      <c r="G897" s="114">
        <f t="shared" si="1"/>
        <v>0</v>
      </c>
      <c r="H897" s="114">
        <f t="array" ref="H897">IFERROR(IF(B897="",0,INDEX(HPP_ENGINE!$J:$J,MATCH(B897,HPP_ENGINE!$A:$A,0))),0)</f>
        <v>0</v>
      </c>
      <c r="I897" s="114">
        <f t="shared" si="2"/>
        <v>0</v>
      </c>
      <c r="J897" s="114">
        <f t="shared" si="3"/>
        <v>0</v>
      </c>
      <c r="K897" s="133">
        <f t="shared" si="4"/>
        <v>0</v>
      </c>
    </row>
    <row r="898" ht="18.0" customHeight="1">
      <c r="A898" s="134"/>
      <c r="B898" s="77"/>
      <c r="C898" s="77"/>
      <c r="D898" s="135" t="str">
        <f t="array" ref="D898">IFERROR(IF(C898="","",INDEX(PRODUK!$B:$B,MATCH(C898,PRODUK!$A:$A,0))),"")</f>
        <v/>
      </c>
      <c r="E898" s="117"/>
      <c r="F898" s="119">
        <f t="array" ref="F898">IFERROR(IF(C898="",0,INDEX(PRODUK!$F:$F,MATCH(C898,PRODUK!$A:$A,0))),0)</f>
        <v>0</v>
      </c>
      <c r="G898" s="118">
        <f t="shared" si="1"/>
        <v>0</v>
      </c>
      <c r="H898" s="118">
        <f t="array" ref="H898">IFERROR(IF(B898="",0,INDEX(HPP_ENGINE!$J:$J,MATCH(B898,HPP_ENGINE!$A:$A,0))),0)</f>
        <v>0</v>
      </c>
      <c r="I898" s="118">
        <f t="shared" si="2"/>
        <v>0</v>
      </c>
      <c r="J898" s="118">
        <f t="shared" si="3"/>
        <v>0</v>
      </c>
      <c r="K898" s="136">
        <f t="shared" si="4"/>
        <v>0</v>
      </c>
    </row>
    <row r="899" ht="18.0" customHeight="1">
      <c r="A899" s="132"/>
      <c r="B899" s="72"/>
      <c r="C899" s="72"/>
      <c r="D899" s="137" t="str">
        <f t="array" ref="D899">IFERROR(IF(C899="","",INDEX(PRODUK!$B:$B,MATCH(C899,PRODUK!$A:$A,0))),"")</f>
        <v/>
      </c>
      <c r="E899" s="113"/>
      <c r="F899" s="115">
        <f t="array" ref="F899">IFERROR(IF(C899="",0,INDEX(PRODUK!$F:$F,MATCH(C899,PRODUK!$A:$A,0))),0)</f>
        <v>0</v>
      </c>
      <c r="G899" s="114">
        <f t="shared" si="1"/>
        <v>0</v>
      </c>
      <c r="H899" s="114">
        <f t="array" ref="H899">IFERROR(IF(B899="",0,INDEX(HPP_ENGINE!$J:$J,MATCH(B899,HPP_ENGINE!$A:$A,0))),0)</f>
        <v>0</v>
      </c>
      <c r="I899" s="114">
        <f t="shared" si="2"/>
        <v>0</v>
      </c>
      <c r="J899" s="114">
        <f t="shared" si="3"/>
        <v>0</v>
      </c>
      <c r="K899" s="133">
        <f t="shared" si="4"/>
        <v>0</v>
      </c>
    </row>
    <row r="900" ht="18.0" customHeight="1">
      <c r="A900" s="134"/>
      <c r="B900" s="77"/>
      <c r="C900" s="77"/>
      <c r="D900" s="135" t="str">
        <f t="array" ref="D900">IFERROR(IF(C900="","",INDEX(PRODUK!$B:$B,MATCH(C900,PRODUK!$A:$A,0))),"")</f>
        <v/>
      </c>
      <c r="E900" s="117"/>
      <c r="F900" s="119">
        <f t="array" ref="F900">IFERROR(IF(C900="",0,INDEX(PRODUK!$F:$F,MATCH(C900,PRODUK!$A:$A,0))),0)</f>
        <v>0</v>
      </c>
      <c r="G900" s="118">
        <f t="shared" si="1"/>
        <v>0</v>
      </c>
      <c r="H900" s="118">
        <f t="array" ref="H900">IFERROR(IF(B900="",0,INDEX(HPP_ENGINE!$J:$J,MATCH(B900,HPP_ENGINE!$A:$A,0))),0)</f>
        <v>0</v>
      </c>
      <c r="I900" s="118">
        <f t="shared" si="2"/>
        <v>0</v>
      </c>
      <c r="J900" s="118">
        <f t="shared" si="3"/>
        <v>0</v>
      </c>
      <c r="K900" s="136">
        <f t="shared" si="4"/>
        <v>0</v>
      </c>
    </row>
    <row r="901" ht="18.0" customHeight="1">
      <c r="A901" s="132"/>
      <c r="B901" s="72"/>
      <c r="C901" s="72"/>
      <c r="D901" s="137" t="str">
        <f t="array" ref="D901">IFERROR(IF(C901="","",INDEX(PRODUK!$B:$B,MATCH(C901,PRODUK!$A:$A,0))),"")</f>
        <v/>
      </c>
      <c r="E901" s="113"/>
      <c r="F901" s="115">
        <f t="array" ref="F901">IFERROR(IF(C901="",0,INDEX(PRODUK!$F:$F,MATCH(C901,PRODUK!$A:$A,0))),0)</f>
        <v>0</v>
      </c>
      <c r="G901" s="114">
        <f t="shared" si="1"/>
        <v>0</v>
      </c>
      <c r="H901" s="114">
        <f t="array" ref="H901">IFERROR(IF(B901="",0,INDEX(HPP_ENGINE!$J:$J,MATCH(B901,HPP_ENGINE!$A:$A,0))),0)</f>
        <v>0</v>
      </c>
      <c r="I901" s="114">
        <f t="shared" si="2"/>
        <v>0</v>
      </c>
      <c r="J901" s="114">
        <f t="shared" si="3"/>
        <v>0</v>
      </c>
      <c r="K901" s="133">
        <f t="shared" si="4"/>
        <v>0</v>
      </c>
    </row>
    <row r="902" ht="18.0" customHeight="1">
      <c r="A902" s="134"/>
      <c r="B902" s="77"/>
      <c r="C902" s="77"/>
      <c r="D902" s="135" t="str">
        <f t="array" ref="D902">IFERROR(IF(C902="","",INDEX(PRODUK!$B:$B,MATCH(C902,PRODUK!$A:$A,0))),"")</f>
        <v/>
      </c>
      <c r="E902" s="117"/>
      <c r="F902" s="119">
        <f t="array" ref="F902">IFERROR(IF(C902="",0,INDEX(PRODUK!$F:$F,MATCH(C902,PRODUK!$A:$A,0))),0)</f>
        <v>0</v>
      </c>
      <c r="G902" s="118">
        <f t="shared" si="1"/>
        <v>0</v>
      </c>
      <c r="H902" s="118">
        <f t="array" ref="H902">IFERROR(IF(B902="",0,INDEX(HPP_ENGINE!$J:$J,MATCH(B902,HPP_ENGINE!$A:$A,0))),0)</f>
        <v>0</v>
      </c>
      <c r="I902" s="118">
        <f t="shared" si="2"/>
        <v>0</v>
      </c>
      <c r="J902" s="118">
        <f t="shared" si="3"/>
        <v>0</v>
      </c>
      <c r="K902" s="136">
        <f t="shared" si="4"/>
        <v>0</v>
      </c>
    </row>
    <row r="903" ht="18.0" customHeight="1">
      <c r="A903" s="132"/>
      <c r="B903" s="72"/>
      <c r="C903" s="72"/>
      <c r="D903" s="137" t="str">
        <f t="array" ref="D903">IFERROR(IF(C903="","",INDEX(PRODUK!$B:$B,MATCH(C903,PRODUK!$A:$A,0))),"")</f>
        <v/>
      </c>
      <c r="E903" s="113"/>
      <c r="F903" s="115">
        <f t="array" ref="F903">IFERROR(IF(C903="",0,INDEX(PRODUK!$F:$F,MATCH(C903,PRODUK!$A:$A,0))),0)</f>
        <v>0</v>
      </c>
      <c r="G903" s="114">
        <f t="shared" si="1"/>
        <v>0</v>
      </c>
      <c r="H903" s="114">
        <f t="array" ref="H903">IFERROR(IF(B903="",0,INDEX(HPP_ENGINE!$J:$J,MATCH(B903,HPP_ENGINE!$A:$A,0))),0)</f>
        <v>0</v>
      </c>
      <c r="I903" s="114">
        <f t="shared" si="2"/>
        <v>0</v>
      </c>
      <c r="J903" s="114">
        <f t="shared" si="3"/>
        <v>0</v>
      </c>
      <c r="K903" s="133">
        <f t="shared" si="4"/>
        <v>0</v>
      </c>
    </row>
    <row r="904" ht="18.0" customHeight="1">
      <c r="A904" s="134"/>
      <c r="B904" s="77"/>
      <c r="C904" s="77"/>
      <c r="D904" s="135" t="str">
        <f t="array" ref="D904">IFERROR(IF(C904="","",INDEX(PRODUK!$B:$B,MATCH(C904,PRODUK!$A:$A,0))),"")</f>
        <v/>
      </c>
      <c r="E904" s="117"/>
      <c r="F904" s="119">
        <f t="array" ref="F904">IFERROR(IF(C904="",0,INDEX(PRODUK!$F:$F,MATCH(C904,PRODUK!$A:$A,0))),0)</f>
        <v>0</v>
      </c>
      <c r="G904" s="118">
        <f t="shared" si="1"/>
        <v>0</v>
      </c>
      <c r="H904" s="118">
        <f t="array" ref="H904">IFERROR(IF(B904="",0,INDEX(HPP_ENGINE!$J:$J,MATCH(B904,HPP_ENGINE!$A:$A,0))),0)</f>
        <v>0</v>
      </c>
      <c r="I904" s="118">
        <f t="shared" si="2"/>
        <v>0</v>
      </c>
      <c r="J904" s="118">
        <f t="shared" si="3"/>
        <v>0</v>
      </c>
      <c r="K904" s="136">
        <f t="shared" si="4"/>
        <v>0</v>
      </c>
    </row>
    <row r="905" ht="18.0" customHeight="1">
      <c r="A905" s="132"/>
      <c r="B905" s="72"/>
      <c r="C905" s="72"/>
      <c r="D905" s="137" t="str">
        <f t="array" ref="D905">IFERROR(IF(C905="","",INDEX(PRODUK!$B:$B,MATCH(C905,PRODUK!$A:$A,0))),"")</f>
        <v/>
      </c>
      <c r="E905" s="113"/>
      <c r="F905" s="115">
        <f t="array" ref="F905">IFERROR(IF(C905="",0,INDEX(PRODUK!$F:$F,MATCH(C905,PRODUK!$A:$A,0))),0)</f>
        <v>0</v>
      </c>
      <c r="G905" s="114">
        <f t="shared" si="1"/>
        <v>0</v>
      </c>
      <c r="H905" s="114">
        <f t="array" ref="H905">IFERROR(IF(B905="",0,INDEX(HPP_ENGINE!$J:$J,MATCH(B905,HPP_ENGINE!$A:$A,0))),0)</f>
        <v>0</v>
      </c>
      <c r="I905" s="114">
        <f t="shared" si="2"/>
        <v>0</v>
      </c>
      <c r="J905" s="114">
        <f t="shared" si="3"/>
        <v>0</v>
      </c>
      <c r="K905" s="133">
        <f t="shared" si="4"/>
        <v>0</v>
      </c>
    </row>
    <row r="906" ht="18.0" customHeight="1">
      <c r="A906" s="134"/>
      <c r="B906" s="77"/>
      <c r="C906" s="77"/>
      <c r="D906" s="135" t="str">
        <f t="array" ref="D906">IFERROR(IF(C906="","",INDEX(PRODUK!$B:$B,MATCH(C906,PRODUK!$A:$A,0))),"")</f>
        <v/>
      </c>
      <c r="E906" s="117"/>
      <c r="F906" s="119">
        <f t="array" ref="F906">IFERROR(IF(C906="",0,INDEX(PRODUK!$F:$F,MATCH(C906,PRODUK!$A:$A,0))),0)</f>
        <v>0</v>
      </c>
      <c r="G906" s="118">
        <f t="shared" si="1"/>
        <v>0</v>
      </c>
      <c r="H906" s="118">
        <f t="array" ref="H906">IFERROR(IF(B906="",0,INDEX(HPP_ENGINE!$J:$J,MATCH(B906,HPP_ENGINE!$A:$A,0))),0)</f>
        <v>0</v>
      </c>
      <c r="I906" s="118">
        <f t="shared" si="2"/>
        <v>0</v>
      </c>
      <c r="J906" s="118">
        <f t="shared" si="3"/>
        <v>0</v>
      </c>
      <c r="K906" s="136">
        <f t="shared" si="4"/>
        <v>0</v>
      </c>
    </row>
    <row r="907" ht="18.0" customHeight="1">
      <c r="A907" s="132"/>
      <c r="B907" s="72"/>
      <c r="C907" s="72"/>
      <c r="D907" s="137" t="str">
        <f t="array" ref="D907">IFERROR(IF(C907="","",INDEX(PRODUK!$B:$B,MATCH(C907,PRODUK!$A:$A,0))),"")</f>
        <v/>
      </c>
      <c r="E907" s="113"/>
      <c r="F907" s="115">
        <f t="array" ref="F907">IFERROR(IF(C907="",0,INDEX(PRODUK!$F:$F,MATCH(C907,PRODUK!$A:$A,0))),0)</f>
        <v>0</v>
      </c>
      <c r="G907" s="114">
        <f t="shared" si="1"/>
        <v>0</v>
      </c>
      <c r="H907" s="114">
        <f t="array" ref="H907">IFERROR(IF(B907="",0,INDEX(HPP_ENGINE!$J:$J,MATCH(B907,HPP_ENGINE!$A:$A,0))),0)</f>
        <v>0</v>
      </c>
      <c r="I907" s="114">
        <f t="shared" si="2"/>
        <v>0</v>
      </c>
      <c r="J907" s="114">
        <f t="shared" si="3"/>
        <v>0</v>
      </c>
      <c r="K907" s="133">
        <f t="shared" si="4"/>
        <v>0</v>
      </c>
    </row>
    <row r="908" ht="18.0" customHeight="1">
      <c r="A908" s="134"/>
      <c r="B908" s="77"/>
      <c r="C908" s="77"/>
      <c r="D908" s="135" t="str">
        <f t="array" ref="D908">IFERROR(IF(C908="","",INDEX(PRODUK!$B:$B,MATCH(C908,PRODUK!$A:$A,0))),"")</f>
        <v/>
      </c>
      <c r="E908" s="117"/>
      <c r="F908" s="119">
        <f t="array" ref="F908">IFERROR(IF(C908="",0,INDEX(PRODUK!$F:$F,MATCH(C908,PRODUK!$A:$A,0))),0)</f>
        <v>0</v>
      </c>
      <c r="G908" s="118">
        <f t="shared" si="1"/>
        <v>0</v>
      </c>
      <c r="H908" s="118">
        <f t="array" ref="H908">IFERROR(IF(B908="",0,INDEX(HPP_ENGINE!$J:$J,MATCH(B908,HPP_ENGINE!$A:$A,0))),0)</f>
        <v>0</v>
      </c>
      <c r="I908" s="118">
        <f t="shared" si="2"/>
        <v>0</v>
      </c>
      <c r="J908" s="118">
        <f t="shared" si="3"/>
        <v>0</v>
      </c>
      <c r="K908" s="136">
        <f t="shared" si="4"/>
        <v>0</v>
      </c>
    </row>
    <row r="909" ht="18.0" customHeight="1">
      <c r="A909" s="132"/>
      <c r="B909" s="72"/>
      <c r="C909" s="72"/>
      <c r="D909" s="137" t="str">
        <f t="array" ref="D909">IFERROR(IF(C909="","",INDEX(PRODUK!$B:$B,MATCH(C909,PRODUK!$A:$A,0))),"")</f>
        <v/>
      </c>
      <c r="E909" s="113"/>
      <c r="F909" s="115">
        <f t="array" ref="F909">IFERROR(IF(C909="",0,INDEX(PRODUK!$F:$F,MATCH(C909,PRODUK!$A:$A,0))),0)</f>
        <v>0</v>
      </c>
      <c r="G909" s="114">
        <f t="shared" si="1"/>
        <v>0</v>
      </c>
      <c r="H909" s="114">
        <f t="array" ref="H909">IFERROR(IF(B909="",0,INDEX(HPP_ENGINE!$J:$J,MATCH(B909,HPP_ENGINE!$A:$A,0))),0)</f>
        <v>0</v>
      </c>
      <c r="I909" s="114">
        <f t="shared" si="2"/>
        <v>0</v>
      </c>
      <c r="J909" s="114">
        <f t="shared" si="3"/>
        <v>0</v>
      </c>
      <c r="K909" s="133">
        <f t="shared" si="4"/>
        <v>0</v>
      </c>
    </row>
    <row r="910" ht="18.0" customHeight="1">
      <c r="A910" s="134"/>
      <c r="B910" s="77"/>
      <c r="C910" s="77"/>
      <c r="D910" s="135" t="str">
        <f t="array" ref="D910">IFERROR(IF(C910="","",INDEX(PRODUK!$B:$B,MATCH(C910,PRODUK!$A:$A,0))),"")</f>
        <v/>
      </c>
      <c r="E910" s="117"/>
      <c r="F910" s="119">
        <f t="array" ref="F910">IFERROR(IF(C910="",0,INDEX(PRODUK!$F:$F,MATCH(C910,PRODUK!$A:$A,0))),0)</f>
        <v>0</v>
      </c>
      <c r="G910" s="118">
        <f t="shared" si="1"/>
        <v>0</v>
      </c>
      <c r="H910" s="118">
        <f t="array" ref="H910">IFERROR(IF(B910="",0,INDEX(HPP_ENGINE!$J:$J,MATCH(B910,HPP_ENGINE!$A:$A,0))),0)</f>
        <v>0</v>
      </c>
      <c r="I910" s="118">
        <f t="shared" si="2"/>
        <v>0</v>
      </c>
      <c r="J910" s="118">
        <f t="shared" si="3"/>
        <v>0</v>
      </c>
      <c r="K910" s="136">
        <f t="shared" si="4"/>
        <v>0</v>
      </c>
    </row>
    <row r="911" ht="18.0" customHeight="1">
      <c r="A911" s="132"/>
      <c r="B911" s="72"/>
      <c r="C911" s="72"/>
      <c r="D911" s="137" t="str">
        <f t="array" ref="D911">IFERROR(IF(C911="","",INDEX(PRODUK!$B:$B,MATCH(C911,PRODUK!$A:$A,0))),"")</f>
        <v/>
      </c>
      <c r="E911" s="113"/>
      <c r="F911" s="115">
        <f t="array" ref="F911">IFERROR(IF(C911="",0,INDEX(PRODUK!$F:$F,MATCH(C911,PRODUK!$A:$A,0))),0)</f>
        <v>0</v>
      </c>
      <c r="G911" s="114">
        <f t="shared" si="1"/>
        <v>0</v>
      </c>
      <c r="H911" s="114">
        <f t="array" ref="H911">IFERROR(IF(B911="",0,INDEX(HPP_ENGINE!$J:$J,MATCH(B911,HPP_ENGINE!$A:$A,0))),0)</f>
        <v>0</v>
      </c>
      <c r="I911" s="114">
        <f t="shared" si="2"/>
        <v>0</v>
      </c>
      <c r="J911" s="114">
        <f t="shared" si="3"/>
        <v>0</v>
      </c>
      <c r="K911" s="133">
        <f t="shared" si="4"/>
        <v>0</v>
      </c>
    </row>
    <row r="912" ht="18.0" customHeight="1">
      <c r="A912" s="134"/>
      <c r="B912" s="77"/>
      <c r="C912" s="77"/>
      <c r="D912" s="135" t="str">
        <f t="array" ref="D912">IFERROR(IF(C912="","",INDEX(PRODUK!$B:$B,MATCH(C912,PRODUK!$A:$A,0))),"")</f>
        <v/>
      </c>
      <c r="E912" s="117"/>
      <c r="F912" s="119">
        <f t="array" ref="F912">IFERROR(IF(C912="",0,INDEX(PRODUK!$F:$F,MATCH(C912,PRODUK!$A:$A,0))),0)</f>
        <v>0</v>
      </c>
      <c r="G912" s="118">
        <f t="shared" si="1"/>
        <v>0</v>
      </c>
      <c r="H912" s="118">
        <f t="array" ref="H912">IFERROR(IF(B912="",0,INDEX(HPP_ENGINE!$J:$J,MATCH(B912,HPP_ENGINE!$A:$A,0))),0)</f>
        <v>0</v>
      </c>
      <c r="I912" s="118">
        <f t="shared" si="2"/>
        <v>0</v>
      </c>
      <c r="J912" s="118">
        <f t="shared" si="3"/>
        <v>0</v>
      </c>
      <c r="K912" s="136">
        <f t="shared" si="4"/>
        <v>0</v>
      </c>
    </row>
    <row r="913" ht="18.0" customHeight="1">
      <c r="A913" s="132"/>
      <c r="B913" s="72"/>
      <c r="C913" s="72"/>
      <c r="D913" s="137" t="str">
        <f t="array" ref="D913">IFERROR(IF(C913="","",INDEX(PRODUK!$B:$B,MATCH(C913,PRODUK!$A:$A,0))),"")</f>
        <v/>
      </c>
      <c r="E913" s="113"/>
      <c r="F913" s="115">
        <f t="array" ref="F913">IFERROR(IF(C913="",0,INDEX(PRODUK!$F:$F,MATCH(C913,PRODUK!$A:$A,0))),0)</f>
        <v>0</v>
      </c>
      <c r="G913" s="114">
        <f t="shared" si="1"/>
        <v>0</v>
      </c>
      <c r="H913" s="114">
        <f t="array" ref="H913">IFERROR(IF(B913="",0,INDEX(HPP_ENGINE!$J:$J,MATCH(B913,HPP_ENGINE!$A:$A,0))),0)</f>
        <v>0</v>
      </c>
      <c r="I913" s="114">
        <f t="shared" si="2"/>
        <v>0</v>
      </c>
      <c r="J913" s="114">
        <f t="shared" si="3"/>
        <v>0</v>
      </c>
      <c r="K913" s="133">
        <f t="shared" si="4"/>
        <v>0</v>
      </c>
    </row>
    <row r="914" ht="18.0" customHeight="1">
      <c r="A914" s="134"/>
      <c r="B914" s="77"/>
      <c r="C914" s="77"/>
      <c r="D914" s="135" t="str">
        <f t="array" ref="D914">IFERROR(IF(C914="","",INDEX(PRODUK!$B:$B,MATCH(C914,PRODUK!$A:$A,0))),"")</f>
        <v/>
      </c>
      <c r="E914" s="117"/>
      <c r="F914" s="119">
        <f t="array" ref="F914">IFERROR(IF(C914="",0,INDEX(PRODUK!$F:$F,MATCH(C914,PRODUK!$A:$A,0))),0)</f>
        <v>0</v>
      </c>
      <c r="G914" s="118">
        <f t="shared" si="1"/>
        <v>0</v>
      </c>
      <c r="H914" s="118">
        <f t="array" ref="H914">IFERROR(IF(B914="",0,INDEX(HPP_ENGINE!$J:$J,MATCH(B914,HPP_ENGINE!$A:$A,0))),0)</f>
        <v>0</v>
      </c>
      <c r="I914" s="118">
        <f t="shared" si="2"/>
        <v>0</v>
      </c>
      <c r="J914" s="118">
        <f t="shared" si="3"/>
        <v>0</v>
      </c>
      <c r="K914" s="136">
        <f t="shared" si="4"/>
        <v>0</v>
      </c>
    </row>
    <row r="915" ht="18.0" customHeight="1">
      <c r="A915" s="132"/>
      <c r="B915" s="72"/>
      <c r="C915" s="72"/>
      <c r="D915" s="137" t="str">
        <f t="array" ref="D915">IFERROR(IF(C915="","",INDEX(PRODUK!$B:$B,MATCH(C915,PRODUK!$A:$A,0))),"")</f>
        <v/>
      </c>
      <c r="E915" s="113"/>
      <c r="F915" s="115">
        <f t="array" ref="F915">IFERROR(IF(C915="",0,INDEX(PRODUK!$F:$F,MATCH(C915,PRODUK!$A:$A,0))),0)</f>
        <v>0</v>
      </c>
      <c r="G915" s="114">
        <f t="shared" si="1"/>
        <v>0</v>
      </c>
      <c r="H915" s="114">
        <f t="array" ref="H915">IFERROR(IF(B915="",0,INDEX(HPP_ENGINE!$J:$J,MATCH(B915,HPP_ENGINE!$A:$A,0))),0)</f>
        <v>0</v>
      </c>
      <c r="I915" s="114">
        <f t="shared" si="2"/>
        <v>0</v>
      </c>
      <c r="J915" s="114">
        <f t="shared" si="3"/>
        <v>0</v>
      </c>
      <c r="K915" s="133">
        <f t="shared" si="4"/>
        <v>0</v>
      </c>
    </row>
    <row r="916" ht="18.0" customHeight="1">
      <c r="A916" s="134"/>
      <c r="B916" s="77"/>
      <c r="C916" s="77"/>
      <c r="D916" s="135" t="str">
        <f t="array" ref="D916">IFERROR(IF(C916="","",INDEX(PRODUK!$B:$B,MATCH(C916,PRODUK!$A:$A,0))),"")</f>
        <v/>
      </c>
      <c r="E916" s="117"/>
      <c r="F916" s="119">
        <f t="array" ref="F916">IFERROR(IF(C916="",0,INDEX(PRODUK!$F:$F,MATCH(C916,PRODUK!$A:$A,0))),0)</f>
        <v>0</v>
      </c>
      <c r="G916" s="118">
        <f t="shared" si="1"/>
        <v>0</v>
      </c>
      <c r="H916" s="118">
        <f t="array" ref="H916">IFERROR(IF(B916="",0,INDEX(HPP_ENGINE!$J:$J,MATCH(B916,HPP_ENGINE!$A:$A,0))),0)</f>
        <v>0</v>
      </c>
      <c r="I916" s="118">
        <f t="shared" si="2"/>
        <v>0</v>
      </c>
      <c r="J916" s="118">
        <f t="shared" si="3"/>
        <v>0</v>
      </c>
      <c r="K916" s="136">
        <f t="shared" si="4"/>
        <v>0</v>
      </c>
    </row>
    <row r="917" ht="18.0" customHeight="1">
      <c r="A917" s="132"/>
      <c r="B917" s="72"/>
      <c r="C917" s="72"/>
      <c r="D917" s="137" t="str">
        <f t="array" ref="D917">IFERROR(IF(C917="","",INDEX(PRODUK!$B:$B,MATCH(C917,PRODUK!$A:$A,0))),"")</f>
        <v/>
      </c>
      <c r="E917" s="113"/>
      <c r="F917" s="115">
        <f t="array" ref="F917">IFERROR(IF(C917="",0,INDEX(PRODUK!$F:$F,MATCH(C917,PRODUK!$A:$A,0))),0)</f>
        <v>0</v>
      </c>
      <c r="G917" s="114">
        <f t="shared" si="1"/>
        <v>0</v>
      </c>
      <c r="H917" s="114">
        <f t="array" ref="H917">IFERROR(IF(B917="",0,INDEX(HPP_ENGINE!$J:$J,MATCH(B917,HPP_ENGINE!$A:$A,0))),0)</f>
        <v>0</v>
      </c>
      <c r="I917" s="114">
        <f t="shared" si="2"/>
        <v>0</v>
      </c>
      <c r="J917" s="114">
        <f t="shared" si="3"/>
        <v>0</v>
      </c>
      <c r="K917" s="133">
        <f t="shared" si="4"/>
        <v>0</v>
      </c>
    </row>
    <row r="918" ht="18.0" customHeight="1">
      <c r="A918" s="134"/>
      <c r="B918" s="77"/>
      <c r="C918" s="77"/>
      <c r="D918" s="135" t="str">
        <f t="array" ref="D918">IFERROR(IF(C918="","",INDEX(PRODUK!$B:$B,MATCH(C918,PRODUK!$A:$A,0))),"")</f>
        <v/>
      </c>
      <c r="E918" s="117"/>
      <c r="F918" s="119">
        <f t="array" ref="F918">IFERROR(IF(C918="",0,INDEX(PRODUK!$F:$F,MATCH(C918,PRODUK!$A:$A,0))),0)</f>
        <v>0</v>
      </c>
      <c r="G918" s="118">
        <f t="shared" si="1"/>
        <v>0</v>
      </c>
      <c r="H918" s="118">
        <f t="array" ref="H918">IFERROR(IF(B918="",0,INDEX(HPP_ENGINE!$J:$J,MATCH(B918,HPP_ENGINE!$A:$A,0))),0)</f>
        <v>0</v>
      </c>
      <c r="I918" s="118">
        <f t="shared" si="2"/>
        <v>0</v>
      </c>
      <c r="J918" s="118">
        <f t="shared" si="3"/>
        <v>0</v>
      </c>
      <c r="K918" s="136">
        <f t="shared" si="4"/>
        <v>0</v>
      </c>
    </row>
    <row r="919" ht="18.0" customHeight="1">
      <c r="A919" s="132"/>
      <c r="B919" s="72"/>
      <c r="C919" s="72"/>
      <c r="D919" s="137" t="str">
        <f t="array" ref="D919">IFERROR(IF(C919="","",INDEX(PRODUK!$B:$B,MATCH(C919,PRODUK!$A:$A,0))),"")</f>
        <v/>
      </c>
      <c r="E919" s="113"/>
      <c r="F919" s="115">
        <f t="array" ref="F919">IFERROR(IF(C919="",0,INDEX(PRODUK!$F:$F,MATCH(C919,PRODUK!$A:$A,0))),0)</f>
        <v>0</v>
      </c>
      <c r="G919" s="114">
        <f t="shared" si="1"/>
        <v>0</v>
      </c>
      <c r="H919" s="114">
        <f t="array" ref="H919">IFERROR(IF(B919="",0,INDEX(HPP_ENGINE!$J:$J,MATCH(B919,HPP_ENGINE!$A:$A,0))),0)</f>
        <v>0</v>
      </c>
      <c r="I919" s="114">
        <f t="shared" si="2"/>
        <v>0</v>
      </c>
      <c r="J919" s="114">
        <f t="shared" si="3"/>
        <v>0</v>
      </c>
      <c r="K919" s="133">
        <f t="shared" si="4"/>
        <v>0</v>
      </c>
    </row>
    <row r="920" ht="18.0" customHeight="1">
      <c r="A920" s="134"/>
      <c r="B920" s="77"/>
      <c r="C920" s="77"/>
      <c r="D920" s="135" t="str">
        <f t="array" ref="D920">IFERROR(IF(C920="","",INDEX(PRODUK!$B:$B,MATCH(C920,PRODUK!$A:$A,0))),"")</f>
        <v/>
      </c>
      <c r="E920" s="117"/>
      <c r="F920" s="119">
        <f t="array" ref="F920">IFERROR(IF(C920="",0,INDEX(PRODUK!$F:$F,MATCH(C920,PRODUK!$A:$A,0))),0)</f>
        <v>0</v>
      </c>
      <c r="G920" s="118">
        <f t="shared" si="1"/>
        <v>0</v>
      </c>
      <c r="H920" s="118">
        <f t="array" ref="H920">IFERROR(IF(B920="",0,INDEX(HPP_ENGINE!$J:$J,MATCH(B920,HPP_ENGINE!$A:$A,0))),0)</f>
        <v>0</v>
      </c>
      <c r="I920" s="118">
        <f t="shared" si="2"/>
        <v>0</v>
      </c>
      <c r="J920" s="118">
        <f t="shared" si="3"/>
        <v>0</v>
      </c>
      <c r="K920" s="136">
        <f t="shared" si="4"/>
        <v>0</v>
      </c>
    </row>
    <row r="921" ht="18.0" customHeight="1">
      <c r="A921" s="132"/>
      <c r="B921" s="72"/>
      <c r="C921" s="72"/>
      <c r="D921" s="137" t="str">
        <f t="array" ref="D921">IFERROR(IF(C921="","",INDEX(PRODUK!$B:$B,MATCH(C921,PRODUK!$A:$A,0))),"")</f>
        <v/>
      </c>
      <c r="E921" s="113"/>
      <c r="F921" s="115">
        <f t="array" ref="F921">IFERROR(IF(C921="",0,INDEX(PRODUK!$F:$F,MATCH(C921,PRODUK!$A:$A,0))),0)</f>
        <v>0</v>
      </c>
      <c r="G921" s="114">
        <f t="shared" si="1"/>
        <v>0</v>
      </c>
      <c r="H921" s="114">
        <f t="array" ref="H921">IFERROR(IF(B921="",0,INDEX(HPP_ENGINE!$J:$J,MATCH(B921,HPP_ENGINE!$A:$A,0))),0)</f>
        <v>0</v>
      </c>
      <c r="I921" s="114">
        <f t="shared" si="2"/>
        <v>0</v>
      </c>
      <c r="J921" s="114">
        <f t="shared" si="3"/>
        <v>0</v>
      </c>
      <c r="K921" s="133">
        <f t="shared" si="4"/>
        <v>0</v>
      </c>
    </row>
    <row r="922" ht="18.0" customHeight="1">
      <c r="A922" s="134"/>
      <c r="B922" s="77"/>
      <c r="C922" s="77"/>
      <c r="D922" s="135" t="str">
        <f t="array" ref="D922">IFERROR(IF(C922="","",INDEX(PRODUK!$B:$B,MATCH(C922,PRODUK!$A:$A,0))),"")</f>
        <v/>
      </c>
      <c r="E922" s="117"/>
      <c r="F922" s="119">
        <f t="array" ref="F922">IFERROR(IF(C922="",0,INDEX(PRODUK!$F:$F,MATCH(C922,PRODUK!$A:$A,0))),0)</f>
        <v>0</v>
      </c>
      <c r="G922" s="118">
        <f t="shared" si="1"/>
        <v>0</v>
      </c>
      <c r="H922" s="118">
        <f t="array" ref="H922">IFERROR(IF(B922="",0,INDEX(HPP_ENGINE!$J:$J,MATCH(B922,HPP_ENGINE!$A:$A,0))),0)</f>
        <v>0</v>
      </c>
      <c r="I922" s="118">
        <f t="shared" si="2"/>
        <v>0</v>
      </c>
      <c r="J922" s="118">
        <f t="shared" si="3"/>
        <v>0</v>
      </c>
      <c r="K922" s="136">
        <f t="shared" si="4"/>
        <v>0</v>
      </c>
    </row>
    <row r="923" ht="18.0" customHeight="1">
      <c r="A923" s="132"/>
      <c r="B923" s="72"/>
      <c r="C923" s="72"/>
      <c r="D923" s="137" t="str">
        <f t="array" ref="D923">IFERROR(IF(C923="","",INDEX(PRODUK!$B:$B,MATCH(C923,PRODUK!$A:$A,0))),"")</f>
        <v/>
      </c>
      <c r="E923" s="113"/>
      <c r="F923" s="115">
        <f t="array" ref="F923">IFERROR(IF(C923="",0,INDEX(PRODUK!$F:$F,MATCH(C923,PRODUK!$A:$A,0))),0)</f>
        <v>0</v>
      </c>
      <c r="G923" s="114">
        <f t="shared" si="1"/>
        <v>0</v>
      </c>
      <c r="H923" s="114">
        <f t="array" ref="H923">IFERROR(IF(B923="",0,INDEX(HPP_ENGINE!$J:$J,MATCH(B923,HPP_ENGINE!$A:$A,0))),0)</f>
        <v>0</v>
      </c>
      <c r="I923" s="114">
        <f t="shared" si="2"/>
        <v>0</v>
      </c>
      <c r="J923" s="114">
        <f t="shared" si="3"/>
        <v>0</v>
      </c>
      <c r="K923" s="133">
        <f t="shared" si="4"/>
        <v>0</v>
      </c>
    </row>
    <row r="924" ht="18.0" customHeight="1">
      <c r="A924" s="134"/>
      <c r="B924" s="77"/>
      <c r="C924" s="77"/>
      <c r="D924" s="135" t="str">
        <f t="array" ref="D924">IFERROR(IF(C924="","",INDEX(PRODUK!$B:$B,MATCH(C924,PRODUK!$A:$A,0))),"")</f>
        <v/>
      </c>
      <c r="E924" s="117"/>
      <c r="F924" s="119">
        <f t="array" ref="F924">IFERROR(IF(C924="",0,INDEX(PRODUK!$F:$F,MATCH(C924,PRODUK!$A:$A,0))),0)</f>
        <v>0</v>
      </c>
      <c r="G924" s="118">
        <f t="shared" si="1"/>
        <v>0</v>
      </c>
      <c r="H924" s="118">
        <f t="array" ref="H924">IFERROR(IF(B924="",0,INDEX(HPP_ENGINE!$J:$J,MATCH(B924,HPP_ENGINE!$A:$A,0))),0)</f>
        <v>0</v>
      </c>
      <c r="I924" s="118">
        <f t="shared" si="2"/>
        <v>0</v>
      </c>
      <c r="J924" s="118">
        <f t="shared" si="3"/>
        <v>0</v>
      </c>
      <c r="K924" s="136">
        <f t="shared" si="4"/>
        <v>0</v>
      </c>
    </row>
    <row r="925" ht="18.0" customHeight="1">
      <c r="A925" s="132"/>
      <c r="B925" s="72"/>
      <c r="C925" s="72"/>
      <c r="D925" s="137" t="str">
        <f t="array" ref="D925">IFERROR(IF(C925="","",INDEX(PRODUK!$B:$B,MATCH(C925,PRODUK!$A:$A,0))),"")</f>
        <v/>
      </c>
      <c r="E925" s="113"/>
      <c r="F925" s="115">
        <f t="array" ref="F925">IFERROR(IF(C925="",0,INDEX(PRODUK!$F:$F,MATCH(C925,PRODUK!$A:$A,0))),0)</f>
        <v>0</v>
      </c>
      <c r="G925" s="114">
        <f t="shared" si="1"/>
        <v>0</v>
      </c>
      <c r="H925" s="114">
        <f t="array" ref="H925">IFERROR(IF(B925="",0,INDEX(HPP_ENGINE!$J:$J,MATCH(B925,HPP_ENGINE!$A:$A,0))),0)</f>
        <v>0</v>
      </c>
      <c r="I925" s="114">
        <f t="shared" si="2"/>
        <v>0</v>
      </c>
      <c r="J925" s="114">
        <f t="shared" si="3"/>
        <v>0</v>
      </c>
      <c r="K925" s="133">
        <f t="shared" si="4"/>
        <v>0</v>
      </c>
    </row>
    <row r="926" ht="18.0" customHeight="1">
      <c r="A926" s="134"/>
      <c r="B926" s="77"/>
      <c r="C926" s="77"/>
      <c r="D926" s="135" t="str">
        <f t="array" ref="D926">IFERROR(IF(C926="","",INDEX(PRODUK!$B:$B,MATCH(C926,PRODUK!$A:$A,0))),"")</f>
        <v/>
      </c>
      <c r="E926" s="117"/>
      <c r="F926" s="119">
        <f t="array" ref="F926">IFERROR(IF(C926="",0,INDEX(PRODUK!$F:$F,MATCH(C926,PRODUK!$A:$A,0))),0)</f>
        <v>0</v>
      </c>
      <c r="G926" s="118">
        <f t="shared" si="1"/>
        <v>0</v>
      </c>
      <c r="H926" s="118">
        <f t="array" ref="H926">IFERROR(IF(B926="",0,INDEX(HPP_ENGINE!$J:$J,MATCH(B926,HPP_ENGINE!$A:$A,0))),0)</f>
        <v>0</v>
      </c>
      <c r="I926" s="118">
        <f t="shared" si="2"/>
        <v>0</v>
      </c>
      <c r="J926" s="118">
        <f t="shared" si="3"/>
        <v>0</v>
      </c>
      <c r="K926" s="136">
        <f t="shared" si="4"/>
        <v>0</v>
      </c>
    </row>
    <row r="927" ht="18.0" customHeight="1">
      <c r="A927" s="132"/>
      <c r="B927" s="72"/>
      <c r="C927" s="72"/>
      <c r="D927" s="137" t="str">
        <f t="array" ref="D927">IFERROR(IF(C927="","",INDEX(PRODUK!$B:$B,MATCH(C927,PRODUK!$A:$A,0))),"")</f>
        <v/>
      </c>
      <c r="E927" s="113"/>
      <c r="F927" s="115">
        <f t="array" ref="F927">IFERROR(IF(C927="",0,INDEX(PRODUK!$F:$F,MATCH(C927,PRODUK!$A:$A,0))),0)</f>
        <v>0</v>
      </c>
      <c r="G927" s="114">
        <f t="shared" si="1"/>
        <v>0</v>
      </c>
      <c r="H927" s="114">
        <f t="array" ref="H927">IFERROR(IF(B927="",0,INDEX(HPP_ENGINE!$J:$J,MATCH(B927,HPP_ENGINE!$A:$A,0))),0)</f>
        <v>0</v>
      </c>
      <c r="I927" s="114">
        <f t="shared" si="2"/>
        <v>0</v>
      </c>
      <c r="J927" s="114">
        <f t="shared" si="3"/>
        <v>0</v>
      </c>
      <c r="K927" s="133">
        <f t="shared" si="4"/>
        <v>0</v>
      </c>
    </row>
    <row r="928" ht="18.0" customHeight="1">
      <c r="A928" s="134"/>
      <c r="B928" s="77"/>
      <c r="C928" s="77"/>
      <c r="D928" s="135" t="str">
        <f t="array" ref="D928">IFERROR(IF(C928="","",INDEX(PRODUK!$B:$B,MATCH(C928,PRODUK!$A:$A,0))),"")</f>
        <v/>
      </c>
      <c r="E928" s="117"/>
      <c r="F928" s="119">
        <f t="array" ref="F928">IFERROR(IF(C928="",0,INDEX(PRODUK!$F:$F,MATCH(C928,PRODUK!$A:$A,0))),0)</f>
        <v>0</v>
      </c>
      <c r="G928" s="118">
        <f t="shared" si="1"/>
        <v>0</v>
      </c>
      <c r="H928" s="118">
        <f t="array" ref="H928">IFERROR(IF(B928="",0,INDEX(HPP_ENGINE!$J:$J,MATCH(B928,HPP_ENGINE!$A:$A,0))),0)</f>
        <v>0</v>
      </c>
      <c r="I928" s="118">
        <f t="shared" si="2"/>
        <v>0</v>
      </c>
      <c r="J928" s="118">
        <f t="shared" si="3"/>
        <v>0</v>
      </c>
      <c r="K928" s="136">
        <f t="shared" si="4"/>
        <v>0</v>
      </c>
    </row>
    <row r="929" ht="18.0" customHeight="1">
      <c r="A929" s="132"/>
      <c r="B929" s="72"/>
      <c r="C929" s="72"/>
      <c r="D929" s="137" t="str">
        <f t="array" ref="D929">IFERROR(IF(C929="","",INDEX(PRODUK!$B:$B,MATCH(C929,PRODUK!$A:$A,0))),"")</f>
        <v/>
      </c>
      <c r="E929" s="113"/>
      <c r="F929" s="115">
        <f t="array" ref="F929">IFERROR(IF(C929="",0,INDEX(PRODUK!$F:$F,MATCH(C929,PRODUK!$A:$A,0))),0)</f>
        <v>0</v>
      </c>
      <c r="G929" s="114">
        <f t="shared" si="1"/>
        <v>0</v>
      </c>
      <c r="H929" s="114">
        <f t="array" ref="H929">IFERROR(IF(B929="",0,INDEX(HPP_ENGINE!$J:$J,MATCH(B929,HPP_ENGINE!$A:$A,0))),0)</f>
        <v>0</v>
      </c>
      <c r="I929" s="114">
        <f t="shared" si="2"/>
        <v>0</v>
      </c>
      <c r="J929" s="114">
        <f t="shared" si="3"/>
        <v>0</v>
      </c>
      <c r="K929" s="133">
        <f t="shared" si="4"/>
        <v>0</v>
      </c>
    </row>
    <row r="930" ht="18.0" customHeight="1">
      <c r="A930" s="134"/>
      <c r="B930" s="77"/>
      <c r="C930" s="77"/>
      <c r="D930" s="135" t="str">
        <f t="array" ref="D930">IFERROR(IF(C930="","",INDEX(PRODUK!$B:$B,MATCH(C930,PRODUK!$A:$A,0))),"")</f>
        <v/>
      </c>
      <c r="E930" s="117"/>
      <c r="F930" s="119">
        <f t="array" ref="F930">IFERROR(IF(C930="",0,INDEX(PRODUK!$F:$F,MATCH(C930,PRODUK!$A:$A,0))),0)</f>
        <v>0</v>
      </c>
      <c r="G930" s="118">
        <f t="shared" si="1"/>
        <v>0</v>
      </c>
      <c r="H930" s="118">
        <f t="array" ref="H930">IFERROR(IF(B930="",0,INDEX(HPP_ENGINE!$J:$J,MATCH(B930,HPP_ENGINE!$A:$A,0))),0)</f>
        <v>0</v>
      </c>
      <c r="I930" s="118">
        <f t="shared" si="2"/>
        <v>0</v>
      </c>
      <c r="J930" s="118">
        <f t="shared" si="3"/>
        <v>0</v>
      </c>
      <c r="K930" s="136">
        <f t="shared" si="4"/>
        <v>0</v>
      </c>
    </row>
    <row r="931" ht="18.0" customHeight="1">
      <c r="A931" s="132"/>
      <c r="B931" s="72"/>
      <c r="C931" s="72"/>
      <c r="D931" s="137" t="str">
        <f t="array" ref="D931">IFERROR(IF(C931="","",INDEX(PRODUK!$B:$B,MATCH(C931,PRODUK!$A:$A,0))),"")</f>
        <v/>
      </c>
      <c r="E931" s="113"/>
      <c r="F931" s="115">
        <f t="array" ref="F931">IFERROR(IF(C931="",0,INDEX(PRODUK!$F:$F,MATCH(C931,PRODUK!$A:$A,0))),0)</f>
        <v>0</v>
      </c>
      <c r="G931" s="114">
        <f t="shared" si="1"/>
        <v>0</v>
      </c>
      <c r="H931" s="114">
        <f t="array" ref="H931">IFERROR(IF(B931="",0,INDEX(HPP_ENGINE!$J:$J,MATCH(B931,HPP_ENGINE!$A:$A,0))),0)</f>
        <v>0</v>
      </c>
      <c r="I931" s="114">
        <f t="shared" si="2"/>
        <v>0</v>
      </c>
      <c r="J931" s="114">
        <f t="shared" si="3"/>
        <v>0</v>
      </c>
      <c r="K931" s="133">
        <f t="shared" si="4"/>
        <v>0</v>
      </c>
    </row>
    <row r="932" ht="18.0" customHeight="1">
      <c r="A932" s="134"/>
      <c r="B932" s="77"/>
      <c r="C932" s="77"/>
      <c r="D932" s="135" t="str">
        <f t="array" ref="D932">IFERROR(IF(C932="","",INDEX(PRODUK!$B:$B,MATCH(C932,PRODUK!$A:$A,0))),"")</f>
        <v/>
      </c>
      <c r="E932" s="117"/>
      <c r="F932" s="119">
        <f t="array" ref="F932">IFERROR(IF(C932="",0,INDEX(PRODUK!$F:$F,MATCH(C932,PRODUK!$A:$A,0))),0)</f>
        <v>0</v>
      </c>
      <c r="G932" s="118">
        <f t="shared" si="1"/>
        <v>0</v>
      </c>
      <c r="H932" s="118">
        <f t="array" ref="H932">IFERROR(IF(B932="",0,INDEX(HPP_ENGINE!$J:$J,MATCH(B932,HPP_ENGINE!$A:$A,0))),0)</f>
        <v>0</v>
      </c>
      <c r="I932" s="118">
        <f t="shared" si="2"/>
        <v>0</v>
      </c>
      <c r="J932" s="118">
        <f t="shared" si="3"/>
        <v>0</v>
      </c>
      <c r="K932" s="136">
        <f t="shared" si="4"/>
        <v>0</v>
      </c>
    </row>
    <row r="933" ht="18.0" customHeight="1">
      <c r="A933" s="132"/>
      <c r="B933" s="72"/>
      <c r="C933" s="72"/>
      <c r="D933" s="137" t="str">
        <f t="array" ref="D933">IFERROR(IF(C933="","",INDEX(PRODUK!$B:$B,MATCH(C933,PRODUK!$A:$A,0))),"")</f>
        <v/>
      </c>
      <c r="E933" s="113"/>
      <c r="F933" s="115">
        <f t="array" ref="F933">IFERROR(IF(C933="",0,INDEX(PRODUK!$F:$F,MATCH(C933,PRODUK!$A:$A,0))),0)</f>
        <v>0</v>
      </c>
      <c r="G933" s="114">
        <f t="shared" si="1"/>
        <v>0</v>
      </c>
      <c r="H933" s="114">
        <f t="array" ref="H933">IFERROR(IF(B933="",0,INDEX(HPP_ENGINE!$J:$J,MATCH(B933,HPP_ENGINE!$A:$A,0))),0)</f>
        <v>0</v>
      </c>
      <c r="I933" s="114">
        <f t="shared" si="2"/>
        <v>0</v>
      </c>
      <c r="J933" s="114">
        <f t="shared" si="3"/>
        <v>0</v>
      </c>
      <c r="K933" s="133">
        <f t="shared" si="4"/>
        <v>0</v>
      </c>
    </row>
    <row r="934" ht="18.0" customHeight="1">
      <c r="A934" s="134"/>
      <c r="B934" s="77"/>
      <c r="C934" s="77"/>
      <c r="D934" s="135" t="str">
        <f t="array" ref="D934">IFERROR(IF(C934="","",INDEX(PRODUK!$B:$B,MATCH(C934,PRODUK!$A:$A,0))),"")</f>
        <v/>
      </c>
      <c r="E934" s="117"/>
      <c r="F934" s="119">
        <f t="array" ref="F934">IFERROR(IF(C934="",0,INDEX(PRODUK!$F:$F,MATCH(C934,PRODUK!$A:$A,0))),0)</f>
        <v>0</v>
      </c>
      <c r="G934" s="118">
        <f t="shared" si="1"/>
        <v>0</v>
      </c>
      <c r="H934" s="118">
        <f t="array" ref="H934">IFERROR(IF(B934="",0,INDEX(HPP_ENGINE!$J:$J,MATCH(B934,HPP_ENGINE!$A:$A,0))),0)</f>
        <v>0</v>
      </c>
      <c r="I934" s="118">
        <f t="shared" si="2"/>
        <v>0</v>
      </c>
      <c r="J934" s="118">
        <f t="shared" si="3"/>
        <v>0</v>
      </c>
      <c r="K934" s="136">
        <f t="shared" si="4"/>
        <v>0</v>
      </c>
    </row>
    <row r="935" ht="18.0" customHeight="1">
      <c r="A935" s="132"/>
      <c r="B935" s="72"/>
      <c r="C935" s="72"/>
      <c r="D935" s="137" t="str">
        <f t="array" ref="D935">IFERROR(IF(C935="","",INDEX(PRODUK!$B:$B,MATCH(C935,PRODUK!$A:$A,0))),"")</f>
        <v/>
      </c>
      <c r="E935" s="113"/>
      <c r="F935" s="115">
        <f t="array" ref="F935">IFERROR(IF(C935="",0,INDEX(PRODUK!$F:$F,MATCH(C935,PRODUK!$A:$A,0))),0)</f>
        <v>0</v>
      </c>
      <c r="G935" s="114">
        <f t="shared" si="1"/>
        <v>0</v>
      </c>
      <c r="H935" s="114">
        <f t="array" ref="H935">IFERROR(IF(B935="",0,INDEX(HPP_ENGINE!$J:$J,MATCH(B935,HPP_ENGINE!$A:$A,0))),0)</f>
        <v>0</v>
      </c>
      <c r="I935" s="114">
        <f t="shared" si="2"/>
        <v>0</v>
      </c>
      <c r="J935" s="114">
        <f t="shared" si="3"/>
        <v>0</v>
      </c>
      <c r="K935" s="133">
        <f t="shared" si="4"/>
        <v>0</v>
      </c>
    </row>
    <row r="936" ht="18.0" customHeight="1">
      <c r="A936" s="134"/>
      <c r="B936" s="77"/>
      <c r="C936" s="77"/>
      <c r="D936" s="135" t="str">
        <f t="array" ref="D936">IFERROR(IF(C936="","",INDEX(PRODUK!$B:$B,MATCH(C936,PRODUK!$A:$A,0))),"")</f>
        <v/>
      </c>
      <c r="E936" s="117"/>
      <c r="F936" s="119">
        <f t="array" ref="F936">IFERROR(IF(C936="",0,INDEX(PRODUK!$F:$F,MATCH(C936,PRODUK!$A:$A,0))),0)</f>
        <v>0</v>
      </c>
      <c r="G936" s="118">
        <f t="shared" si="1"/>
        <v>0</v>
      </c>
      <c r="H936" s="118">
        <f t="array" ref="H936">IFERROR(IF(B936="",0,INDEX(HPP_ENGINE!$J:$J,MATCH(B936,HPP_ENGINE!$A:$A,0))),0)</f>
        <v>0</v>
      </c>
      <c r="I936" s="118">
        <f t="shared" si="2"/>
        <v>0</v>
      </c>
      <c r="J936" s="118">
        <f t="shared" si="3"/>
        <v>0</v>
      </c>
      <c r="K936" s="136">
        <f t="shared" si="4"/>
        <v>0</v>
      </c>
    </row>
    <row r="937" ht="18.0" customHeight="1">
      <c r="A937" s="132"/>
      <c r="B937" s="72"/>
      <c r="C937" s="72"/>
      <c r="D937" s="137" t="str">
        <f t="array" ref="D937">IFERROR(IF(C937="","",INDEX(PRODUK!$B:$B,MATCH(C937,PRODUK!$A:$A,0))),"")</f>
        <v/>
      </c>
      <c r="E937" s="113"/>
      <c r="F937" s="115">
        <f t="array" ref="F937">IFERROR(IF(C937="",0,INDEX(PRODUK!$F:$F,MATCH(C937,PRODUK!$A:$A,0))),0)</f>
        <v>0</v>
      </c>
      <c r="G937" s="114">
        <f t="shared" si="1"/>
        <v>0</v>
      </c>
      <c r="H937" s="114">
        <f t="array" ref="H937">IFERROR(IF(B937="",0,INDEX(HPP_ENGINE!$J:$J,MATCH(B937,HPP_ENGINE!$A:$A,0))),0)</f>
        <v>0</v>
      </c>
      <c r="I937" s="114">
        <f t="shared" si="2"/>
        <v>0</v>
      </c>
      <c r="J937" s="114">
        <f t="shared" si="3"/>
        <v>0</v>
      </c>
      <c r="K937" s="133">
        <f t="shared" si="4"/>
        <v>0</v>
      </c>
    </row>
    <row r="938" ht="18.0" customHeight="1">
      <c r="A938" s="134"/>
      <c r="B938" s="77"/>
      <c r="C938" s="77"/>
      <c r="D938" s="135" t="str">
        <f t="array" ref="D938">IFERROR(IF(C938="","",INDEX(PRODUK!$B:$B,MATCH(C938,PRODUK!$A:$A,0))),"")</f>
        <v/>
      </c>
      <c r="E938" s="117"/>
      <c r="F938" s="119">
        <f t="array" ref="F938">IFERROR(IF(C938="",0,INDEX(PRODUK!$F:$F,MATCH(C938,PRODUK!$A:$A,0))),0)</f>
        <v>0</v>
      </c>
      <c r="G938" s="118">
        <f t="shared" si="1"/>
        <v>0</v>
      </c>
      <c r="H938" s="118">
        <f t="array" ref="H938">IFERROR(IF(B938="",0,INDEX(HPP_ENGINE!$J:$J,MATCH(B938,HPP_ENGINE!$A:$A,0))),0)</f>
        <v>0</v>
      </c>
      <c r="I938" s="118">
        <f t="shared" si="2"/>
        <v>0</v>
      </c>
      <c r="J938" s="118">
        <f t="shared" si="3"/>
        <v>0</v>
      </c>
      <c r="K938" s="136">
        <f t="shared" si="4"/>
        <v>0</v>
      </c>
    </row>
    <row r="939" ht="18.0" customHeight="1">
      <c r="A939" s="132"/>
      <c r="B939" s="72"/>
      <c r="C939" s="72"/>
      <c r="D939" s="137" t="str">
        <f t="array" ref="D939">IFERROR(IF(C939="","",INDEX(PRODUK!$B:$B,MATCH(C939,PRODUK!$A:$A,0))),"")</f>
        <v/>
      </c>
      <c r="E939" s="113"/>
      <c r="F939" s="115">
        <f t="array" ref="F939">IFERROR(IF(C939="",0,INDEX(PRODUK!$F:$F,MATCH(C939,PRODUK!$A:$A,0))),0)</f>
        <v>0</v>
      </c>
      <c r="G939" s="114">
        <f t="shared" si="1"/>
        <v>0</v>
      </c>
      <c r="H939" s="114">
        <f t="array" ref="H939">IFERROR(IF(B939="",0,INDEX(HPP_ENGINE!$J:$J,MATCH(B939,HPP_ENGINE!$A:$A,0))),0)</f>
        <v>0</v>
      </c>
      <c r="I939" s="114">
        <f t="shared" si="2"/>
        <v>0</v>
      </c>
      <c r="J939" s="114">
        <f t="shared" si="3"/>
        <v>0</v>
      </c>
      <c r="K939" s="133">
        <f t="shared" si="4"/>
        <v>0</v>
      </c>
    </row>
    <row r="940" ht="18.0" customHeight="1">
      <c r="A940" s="134"/>
      <c r="B940" s="77"/>
      <c r="C940" s="77"/>
      <c r="D940" s="135" t="str">
        <f t="array" ref="D940">IFERROR(IF(C940="","",INDEX(PRODUK!$B:$B,MATCH(C940,PRODUK!$A:$A,0))),"")</f>
        <v/>
      </c>
      <c r="E940" s="117"/>
      <c r="F940" s="119">
        <f t="array" ref="F940">IFERROR(IF(C940="",0,INDEX(PRODUK!$F:$F,MATCH(C940,PRODUK!$A:$A,0))),0)</f>
        <v>0</v>
      </c>
      <c r="G940" s="118">
        <f t="shared" si="1"/>
        <v>0</v>
      </c>
      <c r="H940" s="118">
        <f t="array" ref="H940">IFERROR(IF(B940="",0,INDEX(HPP_ENGINE!$J:$J,MATCH(B940,HPP_ENGINE!$A:$A,0))),0)</f>
        <v>0</v>
      </c>
      <c r="I940" s="118">
        <f t="shared" si="2"/>
        <v>0</v>
      </c>
      <c r="J940" s="118">
        <f t="shared" si="3"/>
        <v>0</v>
      </c>
      <c r="K940" s="136">
        <f t="shared" si="4"/>
        <v>0</v>
      </c>
    </row>
    <row r="941" ht="18.0" customHeight="1">
      <c r="A941" s="132"/>
      <c r="B941" s="72"/>
      <c r="C941" s="72"/>
      <c r="D941" s="137" t="str">
        <f t="array" ref="D941">IFERROR(IF(C941="","",INDEX(PRODUK!$B:$B,MATCH(C941,PRODUK!$A:$A,0))),"")</f>
        <v/>
      </c>
      <c r="E941" s="113"/>
      <c r="F941" s="115">
        <f t="array" ref="F941">IFERROR(IF(C941="",0,INDEX(PRODUK!$F:$F,MATCH(C941,PRODUK!$A:$A,0))),0)</f>
        <v>0</v>
      </c>
      <c r="G941" s="114">
        <f t="shared" si="1"/>
        <v>0</v>
      </c>
      <c r="H941" s="114">
        <f t="array" ref="H941">IFERROR(IF(B941="",0,INDEX(HPP_ENGINE!$J:$J,MATCH(B941,HPP_ENGINE!$A:$A,0))),0)</f>
        <v>0</v>
      </c>
      <c r="I941" s="114">
        <f t="shared" si="2"/>
        <v>0</v>
      </c>
      <c r="J941" s="114">
        <f t="shared" si="3"/>
        <v>0</v>
      </c>
      <c r="K941" s="133">
        <f t="shared" si="4"/>
        <v>0</v>
      </c>
    </row>
    <row r="942" ht="18.0" customHeight="1">
      <c r="A942" s="134"/>
      <c r="B942" s="77"/>
      <c r="C942" s="77"/>
      <c r="D942" s="135" t="str">
        <f t="array" ref="D942">IFERROR(IF(C942="","",INDEX(PRODUK!$B:$B,MATCH(C942,PRODUK!$A:$A,0))),"")</f>
        <v/>
      </c>
      <c r="E942" s="117"/>
      <c r="F942" s="119">
        <f t="array" ref="F942">IFERROR(IF(C942="",0,INDEX(PRODUK!$F:$F,MATCH(C942,PRODUK!$A:$A,0))),0)</f>
        <v>0</v>
      </c>
      <c r="G942" s="118">
        <f t="shared" si="1"/>
        <v>0</v>
      </c>
      <c r="H942" s="118">
        <f t="array" ref="H942">IFERROR(IF(B942="",0,INDEX(HPP_ENGINE!$J:$J,MATCH(B942,HPP_ENGINE!$A:$A,0))),0)</f>
        <v>0</v>
      </c>
      <c r="I942" s="118">
        <f t="shared" si="2"/>
        <v>0</v>
      </c>
      <c r="J942" s="118">
        <f t="shared" si="3"/>
        <v>0</v>
      </c>
      <c r="K942" s="136">
        <f t="shared" si="4"/>
        <v>0</v>
      </c>
    </row>
    <row r="943" ht="18.0" customHeight="1">
      <c r="A943" s="132"/>
      <c r="B943" s="72"/>
      <c r="C943" s="72"/>
      <c r="D943" s="137" t="str">
        <f t="array" ref="D943">IFERROR(IF(C943="","",INDEX(PRODUK!$B:$B,MATCH(C943,PRODUK!$A:$A,0))),"")</f>
        <v/>
      </c>
      <c r="E943" s="113"/>
      <c r="F943" s="115">
        <f t="array" ref="F943">IFERROR(IF(C943="",0,INDEX(PRODUK!$F:$F,MATCH(C943,PRODUK!$A:$A,0))),0)</f>
        <v>0</v>
      </c>
      <c r="G943" s="114">
        <f t="shared" si="1"/>
        <v>0</v>
      </c>
      <c r="H943" s="114">
        <f t="array" ref="H943">IFERROR(IF(B943="",0,INDEX(HPP_ENGINE!$J:$J,MATCH(B943,HPP_ENGINE!$A:$A,0))),0)</f>
        <v>0</v>
      </c>
      <c r="I943" s="114">
        <f t="shared" si="2"/>
        <v>0</v>
      </c>
      <c r="J943" s="114">
        <f t="shared" si="3"/>
        <v>0</v>
      </c>
      <c r="K943" s="133">
        <f t="shared" si="4"/>
        <v>0</v>
      </c>
    </row>
    <row r="944" ht="18.0" customHeight="1">
      <c r="A944" s="134"/>
      <c r="B944" s="77"/>
      <c r="C944" s="77"/>
      <c r="D944" s="135" t="str">
        <f t="array" ref="D944">IFERROR(IF(C944="","",INDEX(PRODUK!$B:$B,MATCH(C944,PRODUK!$A:$A,0))),"")</f>
        <v/>
      </c>
      <c r="E944" s="117"/>
      <c r="F944" s="119">
        <f t="array" ref="F944">IFERROR(IF(C944="",0,INDEX(PRODUK!$F:$F,MATCH(C944,PRODUK!$A:$A,0))),0)</f>
        <v>0</v>
      </c>
      <c r="G944" s="118">
        <f t="shared" si="1"/>
        <v>0</v>
      </c>
      <c r="H944" s="118">
        <f t="array" ref="H944">IFERROR(IF(B944="",0,INDEX(HPP_ENGINE!$J:$J,MATCH(B944,HPP_ENGINE!$A:$A,0))),0)</f>
        <v>0</v>
      </c>
      <c r="I944" s="118">
        <f t="shared" si="2"/>
        <v>0</v>
      </c>
      <c r="J944" s="118">
        <f t="shared" si="3"/>
        <v>0</v>
      </c>
      <c r="K944" s="136">
        <f t="shared" si="4"/>
        <v>0</v>
      </c>
    </row>
    <row r="945" ht="18.0" customHeight="1">
      <c r="A945" s="132"/>
      <c r="B945" s="72"/>
      <c r="C945" s="72"/>
      <c r="D945" s="137" t="str">
        <f t="array" ref="D945">IFERROR(IF(C945="","",INDEX(PRODUK!$B:$B,MATCH(C945,PRODUK!$A:$A,0))),"")</f>
        <v/>
      </c>
      <c r="E945" s="113"/>
      <c r="F945" s="115">
        <f t="array" ref="F945">IFERROR(IF(C945="",0,INDEX(PRODUK!$F:$F,MATCH(C945,PRODUK!$A:$A,0))),0)</f>
        <v>0</v>
      </c>
      <c r="G945" s="114">
        <f t="shared" si="1"/>
        <v>0</v>
      </c>
      <c r="H945" s="114">
        <f t="array" ref="H945">IFERROR(IF(B945="",0,INDEX(HPP_ENGINE!$J:$J,MATCH(B945,HPP_ENGINE!$A:$A,0))),0)</f>
        <v>0</v>
      </c>
      <c r="I945" s="114">
        <f t="shared" si="2"/>
        <v>0</v>
      </c>
      <c r="J945" s="114">
        <f t="shared" si="3"/>
        <v>0</v>
      </c>
      <c r="K945" s="133">
        <f t="shared" si="4"/>
        <v>0</v>
      </c>
    </row>
    <row r="946" ht="18.0" customHeight="1">
      <c r="A946" s="134"/>
      <c r="B946" s="77"/>
      <c r="C946" s="77"/>
      <c r="D946" s="135" t="str">
        <f t="array" ref="D946">IFERROR(IF(C946="","",INDEX(PRODUK!$B:$B,MATCH(C946,PRODUK!$A:$A,0))),"")</f>
        <v/>
      </c>
      <c r="E946" s="117"/>
      <c r="F946" s="119">
        <f t="array" ref="F946">IFERROR(IF(C946="",0,INDEX(PRODUK!$F:$F,MATCH(C946,PRODUK!$A:$A,0))),0)</f>
        <v>0</v>
      </c>
      <c r="G946" s="118">
        <f t="shared" si="1"/>
        <v>0</v>
      </c>
      <c r="H946" s="118">
        <f t="array" ref="H946">IFERROR(IF(B946="",0,INDEX(HPP_ENGINE!$J:$J,MATCH(B946,HPP_ENGINE!$A:$A,0))),0)</f>
        <v>0</v>
      </c>
      <c r="I946" s="118">
        <f t="shared" si="2"/>
        <v>0</v>
      </c>
      <c r="J946" s="118">
        <f t="shared" si="3"/>
        <v>0</v>
      </c>
      <c r="K946" s="136">
        <f t="shared" si="4"/>
        <v>0</v>
      </c>
    </row>
    <row r="947" ht="18.0" customHeight="1">
      <c r="A947" s="132"/>
      <c r="B947" s="72"/>
      <c r="C947" s="72"/>
      <c r="D947" s="137" t="str">
        <f t="array" ref="D947">IFERROR(IF(C947="","",INDEX(PRODUK!$B:$B,MATCH(C947,PRODUK!$A:$A,0))),"")</f>
        <v/>
      </c>
      <c r="E947" s="113"/>
      <c r="F947" s="115">
        <f t="array" ref="F947">IFERROR(IF(C947="",0,INDEX(PRODUK!$F:$F,MATCH(C947,PRODUK!$A:$A,0))),0)</f>
        <v>0</v>
      </c>
      <c r="G947" s="114">
        <f t="shared" si="1"/>
        <v>0</v>
      </c>
      <c r="H947" s="114">
        <f t="array" ref="H947">IFERROR(IF(B947="",0,INDEX(HPP_ENGINE!$J:$J,MATCH(B947,HPP_ENGINE!$A:$A,0))),0)</f>
        <v>0</v>
      </c>
      <c r="I947" s="114">
        <f t="shared" si="2"/>
        <v>0</v>
      </c>
      <c r="J947" s="114">
        <f t="shared" si="3"/>
        <v>0</v>
      </c>
      <c r="K947" s="133">
        <f t="shared" si="4"/>
        <v>0</v>
      </c>
    </row>
    <row r="948" ht="18.0" customHeight="1">
      <c r="A948" s="134"/>
      <c r="B948" s="77"/>
      <c r="C948" s="77"/>
      <c r="D948" s="135" t="str">
        <f t="array" ref="D948">IFERROR(IF(C948="","",INDEX(PRODUK!$B:$B,MATCH(C948,PRODUK!$A:$A,0))),"")</f>
        <v/>
      </c>
      <c r="E948" s="117"/>
      <c r="F948" s="119">
        <f t="array" ref="F948">IFERROR(IF(C948="",0,INDEX(PRODUK!$F:$F,MATCH(C948,PRODUK!$A:$A,0))),0)</f>
        <v>0</v>
      </c>
      <c r="G948" s="118">
        <f t="shared" si="1"/>
        <v>0</v>
      </c>
      <c r="H948" s="118">
        <f t="array" ref="H948">IFERROR(IF(B948="",0,INDEX(HPP_ENGINE!$J:$J,MATCH(B948,HPP_ENGINE!$A:$A,0))),0)</f>
        <v>0</v>
      </c>
      <c r="I948" s="118">
        <f t="shared" si="2"/>
        <v>0</v>
      </c>
      <c r="J948" s="118">
        <f t="shared" si="3"/>
        <v>0</v>
      </c>
      <c r="K948" s="136">
        <f t="shared" si="4"/>
        <v>0</v>
      </c>
    </row>
    <row r="949" ht="18.0" customHeight="1">
      <c r="A949" s="132"/>
      <c r="B949" s="72"/>
      <c r="C949" s="72"/>
      <c r="D949" s="137" t="str">
        <f t="array" ref="D949">IFERROR(IF(C949="","",INDEX(PRODUK!$B:$B,MATCH(C949,PRODUK!$A:$A,0))),"")</f>
        <v/>
      </c>
      <c r="E949" s="113"/>
      <c r="F949" s="115">
        <f t="array" ref="F949">IFERROR(IF(C949="",0,INDEX(PRODUK!$F:$F,MATCH(C949,PRODUK!$A:$A,0))),0)</f>
        <v>0</v>
      </c>
      <c r="G949" s="114">
        <f t="shared" si="1"/>
        <v>0</v>
      </c>
      <c r="H949" s="114">
        <f t="array" ref="H949">IFERROR(IF(B949="",0,INDEX(HPP_ENGINE!$J:$J,MATCH(B949,HPP_ENGINE!$A:$A,0))),0)</f>
        <v>0</v>
      </c>
      <c r="I949" s="114">
        <f t="shared" si="2"/>
        <v>0</v>
      </c>
      <c r="J949" s="114">
        <f t="shared" si="3"/>
        <v>0</v>
      </c>
      <c r="K949" s="133">
        <f t="shared" si="4"/>
        <v>0</v>
      </c>
    </row>
    <row r="950" ht="18.0" customHeight="1">
      <c r="A950" s="134"/>
      <c r="B950" s="77"/>
      <c r="C950" s="77"/>
      <c r="D950" s="135" t="str">
        <f t="array" ref="D950">IFERROR(IF(C950="","",INDEX(PRODUK!$B:$B,MATCH(C950,PRODUK!$A:$A,0))),"")</f>
        <v/>
      </c>
      <c r="E950" s="117"/>
      <c r="F950" s="119">
        <f t="array" ref="F950">IFERROR(IF(C950="",0,INDEX(PRODUK!$F:$F,MATCH(C950,PRODUK!$A:$A,0))),0)</f>
        <v>0</v>
      </c>
      <c r="G950" s="118">
        <f t="shared" si="1"/>
        <v>0</v>
      </c>
      <c r="H950" s="118">
        <f t="array" ref="H950">IFERROR(IF(B950="",0,INDEX(HPP_ENGINE!$J:$J,MATCH(B950,HPP_ENGINE!$A:$A,0))),0)</f>
        <v>0</v>
      </c>
      <c r="I950" s="118">
        <f t="shared" si="2"/>
        <v>0</v>
      </c>
      <c r="J950" s="118">
        <f t="shared" si="3"/>
        <v>0</v>
      </c>
      <c r="K950" s="136">
        <f t="shared" si="4"/>
        <v>0</v>
      </c>
    </row>
    <row r="951" ht="18.0" customHeight="1">
      <c r="A951" s="132"/>
      <c r="B951" s="72"/>
      <c r="C951" s="72"/>
      <c r="D951" s="137" t="str">
        <f t="array" ref="D951">IFERROR(IF(C951="","",INDEX(PRODUK!$B:$B,MATCH(C951,PRODUK!$A:$A,0))),"")</f>
        <v/>
      </c>
      <c r="E951" s="113"/>
      <c r="F951" s="115">
        <f t="array" ref="F951">IFERROR(IF(C951="",0,INDEX(PRODUK!$F:$F,MATCH(C951,PRODUK!$A:$A,0))),0)</f>
        <v>0</v>
      </c>
      <c r="G951" s="114">
        <f t="shared" si="1"/>
        <v>0</v>
      </c>
      <c r="H951" s="114">
        <f t="array" ref="H951">IFERROR(IF(B951="",0,INDEX(HPP_ENGINE!$J:$J,MATCH(B951,HPP_ENGINE!$A:$A,0))),0)</f>
        <v>0</v>
      </c>
      <c r="I951" s="114">
        <f t="shared" si="2"/>
        <v>0</v>
      </c>
      <c r="J951" s="114">
        <f t="shared" si="3"/>
        <v>0</v>
      </c>
      <c r="K951" s="133">
        <f t="shared" si="4"/>
        <v>0</v>
      </c>
    </row>
    <row r="952" ht="18.0" customHeight="1">
      <c r="A952" s="134"/>
      <c r="B952" s="77"/>
      <c r="C952" s="77"/>
      <c r="D952" s="135" t="str">
        <f t="array" ref="D952">IFERROR(IF(C952="","",INDEX(PRODUK!$B:$B,MATCH(C952,PRODUK!$A:$A,0))),"")</f>
        <v/>
      </c>
      <c r="E952" s="117"/>
      <c r="F952" s="119">
        <f t="array" ref="F952">IFERROR(IF(C952="",0,INDEX(PRODUK!$F:$F,MATCH(C952,PRODUK!$A:$A,0))),0)</f>
        <v>0</v>
      </c>
      <c r="G952" s="118">
        <f t="shared" si="1"/>
        <v>0</v>
      </c>
      <c r="H952" s="118">
        <f t="array" ref="H952">IFERROR(IF(B952="",0,INDEX(HPP_ENGINE!$J:$J,MATCH(B952,HPP_ENGINE!$A:$A,0))),0)</f>
        <v>0</v>
      </c>
      <c r="I952" s="118">
        <f t="shared" si="2"/>
        <v>0</v>
      </c>
      <c r="J952" s="118">
        <f t="shared" si="3"/>
        <v>0</v>
      </c>
      <c r="K952" s="136">
        <f t="shared" si="4"/>
        <v>0</v>
      </c>
    </row>
    <row r="953" ht="18.0" customHeight="1">
      <c r="A953" s="132"/>
      <c r="B953" s="72"/>
      <c r="C953" s="72"/>
      <c r="D953" s="137" t="str">
        <f t="array" ref="D953">IFERROR(IF(C953="","",INDEX(PRODUK!$B:$B,MATCH(C953,PRODUK!$A:$A,0))),"")</f>
        <v/>
      </c>
      <c r="E953" s="113"/>
      <c r="F953" s="115">
        <f t="array" ref="F953">IFERROR(IF(C953="",0,INDEX(PRODUK!$F:$F,MATCH(C953,PRODUK!$A:$A,0))),0)</f>
        <v>0</v>
      </c>
      <c r="G953" s="114">
        <f t="shared" si="1"/>
        <v>0</v>
      </c>
      <c r="H953" s="114">
        <f t="array" ref="H953">IFERROR(IF(B953="",0,INDEX(HPP_ENGINE!$J:$J,MATCH(B953,HPP_ENGINE!$A:$A,0))),0)</f>
        <v>0</v>
      </c>
      <c r="I953" s="114">
        <f t="shared" si="2"/>
        <v>0</v>
      </c>
      <c r="J953" s="114">
        <f t="shared" si="3"/>
        <v>0</v>
      </c>
      <c r="K953" s="133">
        <f t="shared" si="4"/>
        <v>0</v>
      </c>
    </row>
    <row r="954" ht="18.0" customHeight="1">
      <c r="A954" s="134"/>
      <c r="B954" s="77"/>
      <c r="C954" s="77"/>
      <c r="D954" s="135" t="str">
        <f t="array" ref="D954">IFERROR(IF(C954="","",INDEX(PRODUK!$B:$B,MATCH(C954,PRODUK!$A:$A,0))),"")</f>
        <v/>
      </c>
      <c r="E954" s="117"/>
      <c r="F954" s="119">
        <f t="array" ref="F954">IFERROR(IF(C954="",0,INDEX(PRODUK!$F:$F,MATCH(C954,PRODUK!$A:$A,0))),0)</f>
        <v>0</v>
      </c>
      <c r="G954" s="118">
        <f t="shared" si="1"/>
        <v>0</v>
      </c>
      <c r="H954" s="118">
        <f t="array" ref="H954">IFERROR(IF(B954="",0,INDEX(HPP_ENGINE!$J:$J,MATCH(B954,HPP_ENGINE!$A:$A,0))),0)</f>
        <v>0</v>
      </c>
      <c r="I954" s="118">
        <f t="shared" si="2"/>
        <v>0</v>
      </c>
      <c r="J954" s="118">
        <f t="shared" si="3"/>
        <v>0</v>
      </c>
      <c r="K954" s="136">
        <f t="shared" si="4"/>
        <v>0</v>
      </c>
    </row>
    <row r="955" ht="18.0" customHeight="1">
      <c r="A955" s="132"/>
      <c r="B955" s="72"/>
      <c r="C955" s="72"/>
      <c r="D955" s="137" t="str">
        <f t="array" ref="D955">IFERROR(IF(C955="","",INDEX(PRODUK!$B:$B,MATCH(C955,PRODUK!$A:$A,0))),"")</f>
        <v/>
      </c>
      <c r="E955" s="113"/>
      <c r="F955" s="115">
        <f t="array" ref="F955">IFERROR(IF(C955="",0,INDEX(PRODUK!$F:$F,MATCH(C955,PRODUK!$A:$A,0))),0)</f>
        <v>0</v>
      </c>
      <c r="G955" s="114">
        <f t="shared" si="1"/>
        <v>0</v>
      </c>
      <c r="H955" s="114">
        <f t="array" ref="H955">IFERROR(IF(B955="",0,INDEX(HPP_ENGINE!$J:$J,MATCH(B955,HPP_ENGINE!$A:$A,0))),0)</f>
        <v>0</v>
      </c>
      <c r="I955" s="114">
        <f t="shared" si="2"/>
        <v>0</v>
      </c>
      <c r="J955" s="114">
        <f t="shared" si="3"/>
        <v>0</v>
      </c>
      <c r="K955" s="133">
        <f t="shared" si="4"/>
        <v>0</v>
      </c>
    </row>
    <row r="956" ht="18.0" customHeight="1">
      <c r="A956" s="134"/>
      <c r="B956" s="77"/>
      <c r="C956" s="77"/>
      <c r="D956" s="135" t="str">
        <f t="array" ref="D956">IFERROR(IF(C956="","",INDEX(PRODUK!$B:$B,MATCH(C956,PRODUK!$A:$A,0))),"")</f>
        <v/>
      </c>
      <c r="E956" s="117"/>
      <c r="F956" s="119">
        <f t="array" ref="F956">IFERROR(IF(C956="",0,INDEX(PRODUK!$F:$F,MATCH(C956,PRODUK!$A:$A,0))),0)</f>
        <v>0</v>
      </c>
      <c r="G956" s="118">
        <f t="shared" si="1"/>
        <v>0</v>
      </c>
      <c r="H956" s="118">
        <f t="array" ref="H956">IFERROR(IF(B956="",0,INDEX(HPP_ENGINE!$J:$J,MATCH(B956,HPP_ENGINE!$A:$A,0))),0)</f>
        <v>0</v>
      </c>
      <c r="I956" s="118">
        <f t="shared" si="2"/>
        <v>0</v>
      </c>
      <c r="J956" s="118">
        <f t="shared" si="3"/>
        <v>0</v>
      </c>
      <c r="K956" s="136">
        <f t="shared" si="4"/>
        <v>0</v>
      </c>
    </row>
    <row r="957" ht="18.0" customHeight="1">
      <c r="A957" s="132"/>
      <c r="B957" s="72"/>
      <c r="C957" s="72"/>
      <c r="D957" s="137" t="str">
        <f t="array" ref="D957">IFERROR(IF(C957="","",INDEX(PRODUK!$B:$B,MATCH(C957,PRODUK!$A:$A,0))),"")</f>
        <v/>
      </c>
      <c r="E957" s="113"/>
      <c r="F957" s="115">
        <f t="array" ref="F957">IFERROR(IF(C957="",0,INDEX(PRODUK!$F:$F,MATCH(C957,PRODUK!$A:$A,0))),0)</f>
        <v>0</v>
      </c>
      <c r="G957" s="114">
        <f t="shared" si="1"/>
        <v>0</v>
      </c>
      <c r="H957" s="114">
        <f t="array" ref="H957">IFERROR(IF(B957="",0,INDEX(HPP_ENGINE!$J:$J,MATCH(B957,HPP_ENGINE!$A:$A,0))),0)</f>
        <v>0</v>
      </c>
      <c r="I957" s="114">
        <f t="shared" si="2"/>
        <v>0</v>
      </c>
      <c r="J957" s="114">
        <f t="shared" si="3"/>
        <v>0</v>
      </c>
      <c r="K957" s="133">
        <f t="shared" si="4"/>
        <v>0</v>
      </c>
    </row>
    <row r="958" ht="18.0" customHeight="1">
      <c r="A958" s="134"/>
      <c r="B958" s="77"/>
      <c r="C958" s="77"/>
      <c r="D958" s="135" t="str">
        <f t="array" ref="D958">IFERROR(IF(C958="","",INDEX(PRODUK!$B:$B,MATCH(C958,PRODUK!$A:$A,0))),"")</f>
        <v/>
      </c>
      <c r="E958" s="117"/>
      <c r="F958" s="119">
        <f t="array" ref="F958">IFERROR(IF(C958="",0,INDEX(PRODUK!$F:$F,MATCH(C958,PRODUK!$A:$A,0))),0)</f>
        <v>0</v>
      </c>
      <c r="G958" s="118">
        <f t="shared" si="1"/>
        <v>0</v>
      </c>
      <c r="H958" s="118">
        <f t="array" ref="H958">IFERROR(IF(B958="",0,INDEX(HPP_ENGINE!$J:$J,MATCH(B958,HPP_ENGINE!$A:$A,0))),0)</f>
        <v>0</v>
      </c>
      <c r="I958" s="118">
        <f t="shared" si="2"/>
        <v>0</v>
      </c>
      <c r="J958" s="118">
        <f t="shared" si="3"/>
        <v>0</v>
      </c>
      <c r="K958" s="136">
        <f t="shared" si="4"/>
        <v>0</v>
      </c>
    </row>
    <row r="959" ht="18.0" customHeight="1">
      <c r="A959" s="132"/>
      <c r="B959" s="72"/>
      <c r="C959" s="72"/>
      <c r="D959" s="137" t="str">
        <f t="array" ref="D959">IFERROR(IF(C959="","",INDEX(PRODUK!$B:$B,MATCH(C959,PRODUK!$A:$A,0))),"")</f>
        <v/>
      </c>
      <c r="E959" s="113"/>
      <c r="F959" s="115">
        <f t="array" ref="F959">IFERROR(IF(C959="",0,INDEX(PRODUK!$F:$F,MATCH(C959,PRODUK!$A:$A,0))),0)</f>
        <v>0</v>
      </c>
      <c r="G959" s="114">
        <f t="shared" si="1"/>
        <v>0</v>
      </c>
      <c r="H959" s="114">
        <f t="array" ref="H959">IFERROR(IF(B959="",0,INDEX(HPP_ENGINE!$J:$J,MATCH(B959,HPP_ENGINE!$A:$A,0))),0)</f>
        <v>0</v>
      </c>
      <c r="I959" s="114">
        <f t="shared" si="2"/>
        <v>0</v>
      </c>
      <c r="J959" s="114">
        <f t="shared" si="3"/>
        <v>0</v>
      </c>
      <c r="K959" s="133">
        <f t="shared" si="4"/>
        <v>0</v>
      </c>
    </row>
    <row r="960" ht="18.0" customHeight="1">
      <c r="A960" s="134"/>
      <c r="B960" s="77"/>
      <c r="C960" s="77"/>
      <c r="D960" s="135" t="str">
        <f t="array" ref="D960">IFERROR(IF(C960="","",INDEX(PRODUK!$B:$B,MATCH(C960,PRODUK!$A:$A,0))),"")</f>
        <v/>
      </c>
      <c r="E960" s="117"/>
      <c r="F960" s="119">
        <f t="array" ref="F960">IFERROR(IF(C960="",0,INDEX(PRODUK!$F:$F,MATCH(C960,PRODUK!$A:$A,0))),0)</f>
        <v>0</v>
      </c>
      <c r="G960" s="118">
        <f t="shared" si="1"/>
        <v>0</v>
      </c>
      <c r="H960" s="118">
        <f t="array" ref="H960">IFERROR(IF(B960="",0,INDEX(HPP_ENGINE!$J:$J,MATCH(B960,HPP_ENGINE!$A:$A,0))),0)</f>
        <v>0</v>
      </c>
      <c r="I960" s="118">
        <f t="shared" si="2"/>
        <v>0</v>
      </c>
      <c r="J960" s="118">
        <f t="shared" si="3"/>
        <v>0</v>
      </c>
      <c r="K960" s="136">
        <f t="shared" si="4"/>
        <v>0</v>
      </c>
    </row>
    <row r="961" ht="18.0" customHeight="1">
      <c r="A961" s="132"/>
      <c r="B961" s="72"/>
      <c r="C961" s="72"/>
      <c r="D961" s="137" t="str">
        <f t="array" ref="D961">IFERROR(IF(C961="","",INDEX(PRODUK!$B:$B,MATCH(C961,PRODUK!$A:$A,0))),"")</f>
        <v/>
      </c>
      <c r="E961" s="113"/>
      <c r="F961" s="115">
        <f t="array" ref="F961">IFERROR(IF(C961="",0,INDEX(PRODUK!$F:$F,MATCH(C961,PRODUK!$A:$A,0))),0)</f>
        <v>0</v>
      </c>
      <c r="G961" s="114">
        <f t="shared" si="1"/>
        <v>0</v>
      </c>
      <c r="H961" s="114">
        <f t="array" ref="H961">IFERROR(IF(B961="",0,INDEX(HPP_ENGINE!$J:$J,MATCH(B961,HPP_ENGINE!$A:$A,0))),0)</f>
        <v>0</v>
      </c>
      <c r="I961" s="114">
        <f t="shared" si="2"/>
        <v>0</v>
      </c>
      <c r="J961" s="114">
        <f t="shared" si="3"/>
        <v>0</v>
      </c>
      <c r="K961" s="133">
        <f t="shared" si="4"/>
        <v>0</v>
      </c>
    </row>
    <row r="962" ht="18.0" customHeight="1">
      <c r="A962" s="134"/>
      <c r="B962" s="77"/>
      <c r="C962" s="77"/>
      <c r="D962" s="135" t="str">
        <f t="array" ref="D962">IFERROR(IF(C962="","",INDEX(PRODUK!$B:$B,MATCH(C962,PRODUK!$A:$A,0))),"")</f>
        <v/>
      </c>
      <c r="E962" s="117"/>
      <c r="F962" s="119">
        <f t="array" ref="F962">IFERROR(IF(C962="",0,INDEX(PRODUK!$F:$F,MATCH(C962,PRODUK!$A:$A,0))),0)</f>
        <v>0</v>
      </c>
      <c r="G962" s="118">
        <f t="shared" si="1"/>
        <v>0</v>
      </c>
      <c r="H962" s="118">
        <f t="array" ref="H962">IFERROR(IF(B962="",0,INDEX(HPP_ENGINE!$J:$J,MATCH(B962,HPP_ENGINE!$A:$A,0))),0)</f>
        <v>0</v>
      </c>
      <c r="I962" s="118">
        <f t="shared" si="2"/>
        <v>0</v>
      </c>
      <c r="J962" s="118">
        <f t="shared" si="3"/>
        <v>0</v>
      </c>
      <c r="K962" s="136">
        <f t="shared" si="4"/>
        <v>0</v>
      </c>
    </row>
    <row r="963" ht="18.0" customHeight="1">
      <c r="A963" s="132"/>
      <c r="B963" s="72"/>
      <c r="C963" s="72"/>
      <c r="D963" s="137" t="str">
        <f t="array" ref="D963">IFERROR(IF(C963="","",INDEX(PRODUK!$B:$B,MATCH(C963,PRODUK!$A:$A,0))),"")</f>
        <v/>
      </c>
      <c r="E963" s="113"/>
      <c r="F963" s="115">
        <f t="array" ref="F963">IFERROR(IF(C963="",0,INDEX(PRODUK!$F:$F,MATCH(C963,PRODUK!$A:$A,0))),0)</f>
        <v>0</v>
      </c>
      <c r="G963" s="114">
        <f t="shared" si="1"/>
        <v>0</v>
      </c>
      <c r="H963" s="114">
        <f t="array" ref="H963">IFERROR(IF(B963="",0,INDEX(HPP_ENGINE!$J:$J,MATCH(B963,HPP_ENGINE!$A:$A,0))),0)</f>
        <v>0</v>
      </c>
      <c r="I963" s="114">
        <f t="shared" si="2"/>
        <v>0</v>
      </c>
      <c r="J963" s="114">
        <f t="shared" si="3"/>
        <v>0</v>
      </c>
      <c r="K963" s="133">
        <f t="shared" si="4"/>
        <v>0</v>
      </c>
    </row>
    <row r="964" ht="18.0" customHeight="1">
      <c r="A964" s="134"/>
      <c r="B964" s="77"/>
      <c r="C964" s="77"/>
      <c r="D964" s="135" t="str">
        <f t="array" ref="D964">IFERROR(IF(C964="","",INDEX(PRODUK!$B:$B,MATCH(C964,PRODUK!$A:$A,0))),"")</f>
        <v/>
      </c>
      <c r="E964" s="117"/>
      <c r="F964" s="119">
        <f t="array" ref="F964">IFERROR(IF(C964="",0,INDEX(PRODUK!$F:$F,MATCH(C964,PRODUK!$A:$A,0))),0)</f>
        <v>0</v>
      </c>
      <c r="G964" s="118">
        <f t="shared" si="1"/>
        <v>0</v>
      </c>
      <c r="H964" s="118">
        <f t="array" ref="H964">IFERROR(IF(B964="",0,INDEX(HPP_ENGINE!$J:$J,MATCH(B964,HPP_ENGINE!$A:$A,0))),0)</f>
        <v>0</v>
      </c>
      <c r="I964" s="118">
        <f t="shared" si="2"/>
        <v>0</v>
      </c>
      <c r="J964" s="118">
        <f t="shared" si="3"/>
        <v>0</v>
      </c>
      <c r="K964" s="136">
        <f t="shared" si="4"/>
        <v>0</v>
      </c>
    </row>
    <row r="965" ht="18.0" customHeight="1">
      <c r="A965" s="132"/>
      <c r="B965" s="72"/>
      <c r="C965" s="72"/>
      <c r="D965" s="137" t="str">
        <f t="array" ref="D965">IFERROR(IF(C965="","",INDEX(PRODUK!$B:$B,MATCH(C965,PRODUK!$A:$A,0))),"")</f>
        <v/>
      </c>
      <c r="E965" s="113"/>
      <c r="F965" s="115">
        <f t="array" ref="F965">IFERROR(IF(C965="",0,INDEX(PRODUK!$F:$F,MATCH(C965,PRODUK!$A:$A,0))),0)</f>
        <v>0</v>
      </c>
      <c r="G965" s="114">
        <f t="shared" si="1"/>
        <v>0</v>
      </c>
      <c r="H965" s="114">
        <f t="array" ref="H965">IFERROR(IF(B965="",0,INDEX(HPP_ENGINE!$J:$J,MATCH(B965,HPP_ENGINE!$A:$A,0))),0)</f>
        <v>0</v>
      </c>
      <c r="I965" s="114">
        <f t="shared" si="2"/>
        <v>0</v>
      </c>
      <c r="J965" s="114">
        <f t="shared" si="3"/>
        <v>0</v>
      </c>
      <c r="K965" s="133">
        <f t="shared" si="4"/>
        <v>0</v>
      </c>
    </row>
    <row r="966" ht="18.0" customHeight="1">
      <c r="A966" s="134"/>
      <c r="B966" s="77"/>
      <c r="C966" s="77"/>
      <c r="D966" s="135" t="str">
        <f t="array" ref="D966">IFERROR(IF(C966="","",INDEX(PRODUK!$B:$B,MATCH(C966,PRODUK!$A:$A,0))),"")</f>
        <v/>
      </c>
      <c r="E966" s="117"/>
      <c r="F966" s="119">
        <f t="array" ref="F966">IFERROR(IF(C966="",0,INDEX(PRODUK!$F:$F,MATCH(C966,PRODUK!$A:$A,0))),0)</f>
        <v>0</v>
      </c>
      <c r="G966" s="118">
        <f t="shared" si="1"/>
        <v>0</v>
      </c>
      <c r="H966" s="118">
        <f t="array" ref="H966">IFERROR(IF(B966="",0,INDEX(HPP_ENGINE!$J:$J,MATCH(B966,HPP_ENGINE!$A:$A,0))),0)</f>
        <v>0</v>
      </c>
      <c r="I966" s="118">
        <f t="shared" si="2"/>
        <v>0</v>
      </c>
      <c r="J966" s="118">
        <f t="shared" si="3"/>
        <v>0</v>
      </c>
      <c r="K966" s="136">
        <f t="shared" si="4"/>
        <v>0</v>
      </c>
    </row>
    <row r="967" ht="18.0" customHeight="1">
      <c r="A967" s="132"/>
      <c r="B967" s="72"/>
      <c r="C967" s="72"/>
      <c r="D967" s="137" t="str">
        <f t="array" ref="D967">IFERROR(IF(C967="","",INDEX(PRODUK!$B:$B,MATCH(C967,PRODUK!$A:$A,0))),"")</f>
        <v/>
      </c>
      <c r="E967" s="113"/>
      <c r="F967" s="115">
        <f t="array" ref="F967">IFERROR(IF(C967="",0,INDEX(PRODUK!$F:$F,MATCH(C967,PRODUK!$A:$A,0))),0)</f>
        <v>0</v>
      </c>
      <c r="G967" s="114">
        <f t="shared" si="1"/>
        <v>0</v>
      </c>
      <c r="H967" s="114">
        <f t="array" ref="H967">IFERROR(IF(B967="",0,INDEX(HPP_ENGINE!$J:$J,MATCH(B967,HPP_ENGINE!$A:$A,0))),0)</f>
        <v>0</v>
      </c>
      <c r="I967" s="114">
        <f t="shared" si="2"/>
        <v>0</v>
      </c>
      <c r="J967" s="114">
        <f t="shared" si="3"/>
        <v>0</v>
      </c>
      <c r="K967" s="133">
        <f t="shared" si="4"/>
        <v>0</v>
      </c>
    </row>
    <row r="968" ht="18.0" customHeight="1">
      <c r="A968" s="134"/>
      <c r="B968" s="77"/>
      <c r="C968" s="77"/>
      <c r="D968" s="135" t="str">
        <f t="array" ref="D968">IFERROR(IF(C968="","",INDEX(PRODUK!$B:$B,MATCH(C968,PRODUK!$A:$A,0))),"")</f>
        <v/>
      </c>
      <c r="E968" s="117"/>
      <c r="F968" s="119">
        <f t="array" ref="F968">IFERROR(IF(C968="",0,INDEX(PRODUK!$F:$F,MATCH(C968,PRODUK!$A:$A,0))),0)</f>
        <v>0</v>
      </c>
      <c r="G968" s="118">
        <f t="shared" si="1"/>
        <v>0</v>
      </c>
      <c r="H968" s="118">
        <f t="array" ref="H968">IFERROR(IF(B968="",0,INDEX(HPP_ENGINE!$J:$J,MATCH(B968,HPP_ENGINE!$A:$A,0))),0)</f>
        <v>0</v>
      </c>
      <c r="I968" s="118">
        <f t="shared" si="2"/>
        <v>0</v>
      </c>
      <c r="J968" s="118">
        <f t="shared" si="3"/>
        <v>0</v>
      </c>
      <c r="K968" s="136">
        <f t="shared" si="4"/>
        <v>0</v>
      </c>
    </row>
    <row r="969" ht="18.0" customHeight="1">
      <c r="A969" s="132"/>
      <c r="B969" s="72"/>
      <c r="C969" s="72"/>
      <c r="D969" s="137" t="str">
        <f t="array" ref="D969">IFERROR(IF(C969="","",INDEX(PRODUK!$B:$B,MATCH(C969,PRODUK!$A:$A,0))),"")</f>
        <v/>
      </c>
      <c r="E969" s="113"/>
      <c r="F969" s="115">
        <f t="array" ref="F969">IFERROR(IF(C969="",0,INDEX(PRODUK!$F:$F,MATCH(C969,PRODUK!$A:$A,0))),0)</f>
        <v>0</v>
      </c>
      <c r="G969" s="114">
        <f t="shared" si="1"/>
        <v>0</v>
      </c>
      <c r="H969" s="114">
        <f t="array" ref="H969">IFERROR(IF(B969="",0,INDEX(HPP_ENGINE!$J:$J,MATCH(B969,HPP_ENGINE!$A:$A,0))),0)</f>
        <v>0</v>
      </c>
      <c r="I969" s="114">
        <f t="shared" si="2"/>
        <v>0</v>
      </c>
      <c r="J969" s="114">
        <f t="shared" si="3"/>
        <v>0</v>
      </c>
      <c r="K969" s="133">
        <f t="shared" si="4"/>
        <v>0</v>
      </c>
    </row>
    <row r="970" ht="18.0" customHeight="1">
      <c r="A970" s="134"/>
      <c r="B970" s="77"/>
      <c r="C970" s="77"/>
      <c r="D970" s="135" t="str">
        <f t="array" ref="D970">IFERROR(IF(C970="","",INDEX(PRODUK!$B:$B,MATCH(C970,PRODUK!$A:$A,0))),"")</f>
        <v/>
      </c>
      <c r="E970" s="117"/>
      <c r="F970" s="119">
        <f t="array" ref="F970">IFERROR(IF(C970="",0,INDEX(PRODUK!$F:$F,MATCH(C970,PRODUK!$A:$A,0))),0)</f>
        <v>0</v>
      </c>
      <c r="G970" s="118">
        <f t="shared" si="1"/>
        <v>0</v>
      </c>
      <c r="H970" s="118">
        <f t="array" ref="H970">IFERROR(IF(B970="",0,INDEX(HPP_ENGINE!$J:$J,MATCH(B970,HPP_ENGINE!$A:$A,0))),0)</f>
        <v>0</v>
      </c>
      <c r="I970" s="118">
        <f t="shared" si="2"/>
        <v>0</v>
      </c>
      <c r="J970" s="118">
        <f t="shared" si="3"/>
        <v>0</v>
      </c>
      <c r="K970" s="136">
        <f t="shared" si="4"/>
        <v>0</v>
      </c>
    </row>
    <row r="971" ht="18.0" customHeight="1">
      <c r="A971" s="132"/>
      <c r="B971" s="72"/>
      <c r="C971" s="72"/>
      <c r="D971" s="137" t="str">
        <f t="array" ref="D971">IFERROR(IF(C971="","",INDEX(PRODUK!$B:$B,MATCH(C971,PRODUK!$A:$A,0))),"")</f>
        <v/>
      </c>
      <c r="E971" s="113"/>
      <c r="F971" s="115">
        <f t="array" ref="F971">IFERROR(IF(C971="",0,INDEX(PRODUK!$F:$F,MATCH(C971,PRODUK!$A:$A,0))),0)</f>
        <v>0</v>
      </c>
      <c r="G971" s="114">
        <f t="shared" si="1"/>
        <v>0</v>
      </c>
      <c r="H971" s="114">
        <f t="array" ref="H971">IFERROR(IF(B971="",0,INDEX(HPP_ENGINE!$J:$J,MATCH(B971,HPP_ENGINE!$A:$A,0))),0)</f>
        <v>0</v>
      </c>
      <c r="I971" s="114">
        <f t="shared" si="2"/>
        <v>0</v>
      </c>
      <c r="J971" s="114">
        <f t="shared" si="3"/>
        <v>0</v>
      </c>
      <c r="K971" s="133">
        <f t="shared" si="4"/>
        <v>0</v>
      </c>
    </row>
    <row r="972" ht="18.0" customHeight="1">
      <c r="A972" s="134"/>
      <c r="B972" s="77"/>
      <c r="C972" s="77"/>
      <c r="D972" s="135" t="str">
        <f t="array" ref="D972">IFERROR(IF(C972="","",INDEX(PRODUK!$B:$B,MATCH(C972,PRODUK!$A:$A,0))),"")</f>
        <v/>
      </c>
      <c r="E972" s="117"/>
      <c r="F972" s="119">
        <f t="array" ref="F972">IFERROR(IF(C972="",0,INDEX(PRODUK!$F:$F,MATCH(C972,PRODUK!$A:$A,0))),0)</f>
        <v>0</v>
      </c>
      <c r="G972" s="118">
        <f t="shared" si="1"/>
        <v>0</v>
      </c>
      <c r="H972" s="118">
        <f t="array" ref="H972">IFERROR(IF(B972="",0,INDEX(HPP_ENGINE!$J:$J,MATCH(B972,HPP_ENGINE!$A:$A,0))),0)</f>
        <v>0</v>
      </c>
      <c r="I972" s="118">
        <f t="shared" si="2"/>
        <v>0</v>
      </c>
      <c r="J972" s="118">
        <f t="shared" si="3"/>
        <v>0</v>
      </c>
      <c r="K972" s="136">
        <f t="shared" si="4"/>
        <v>0</v>
      </c>
    </row>
    <row r="973" ht="18.0" customHeight="1">
      <c r="A973" s="132"/>
      <c r="B973" s="72"/>
      <c r="C973" s="72"/>
      <c r="D973" s="137" t="str">
        <f t="array" ref="D973">IFERROR(IF(C973="","",INDEX(PRODUK!$B:$B,MATCH(C973,PRODUK!$A:$A,0))),"")</f>
        <v/>
      </c>
      <c r="E973" s="113"/>
      <c r="F973" s="115">
        <f t="array" ref="F973">IFERROR(IF(C973="",0,INDEX(PRODUK!$F:$F,MATCH(C973,PRODUK!$A:$A,0))),0)</f>
        <v>0</v>
      </c>
      <c r="G973" s="114">
        <f t="shared" si="1"/>
        <v>0</v>
      </c>
      <c r="H973" s="114">
        <f t="array" ref="H973">IFERROR(IF(B973="",0,INDEX(HPP_ENGINE!$J:$J,MATCH(B973,HPP_ENGINE!$A:$A,0))),0)</f>
        <v>0</v>
      </c>
      <c r="I973" s="114">
        <f t="shared" si="2"/>
        <v>0</v>
      </c>
      <c r="J973" s="114">
        <f t="shared" si="3"/>
        <v>0</v>
      </c>
      <c r="K973" s="133">
        <f t="shared" si="4"/>
        <v>0</v>
      </c>
    </row>
    <row r="974" ht="18.0" customHeight="1">
      <c r="A974" s="134"/>
      <c r="B974" s="77"/>
      <c r="C974" s="77"/>
      <c r="D974" s="135" t="str">
        <f t="array" ref="D974">IFERROR(IF(C974="","",INDEX(PRODUK!$B:$B,MATCH(C974,PRODUK!$A:$A,0))),"")</f>
        <v/>
      </c>
      <c r="E974" s="117"/>
      <c r="F974" s="119">
        <f t="array" ref="F974">IFERROR(IF(C974="",0,INDEX(PRODUK!$F:$F,MATCH(C974,PRODUK!$A:$A,0))),0)</f>
        <v>0</v>
      </c>
      <c r="G974" s="118">
        <f t="shared" si="1"/>
        <v>0</v>
      </c>
      <c r="H974" s="118">
        <f t="array" ref="H974">IFERROR(IF(B974="",0,INDEX(HPP_ENGINE!$J:$J,MATCH(B974,HPP_ENGINE!$A:$A,0))),0)</f>
        <v>0</v>
      </c>
      <c r="I974" s="118">
        <f t="shared" si="2"/>
        <v>0</v>
      </c>
      <c r="J974" s="118">
        <f t="shared" si="3"/>
        <v>0</v>
      </c>
      <c r="K974" s="136">
        <f t="shared" si="4"/>
        <v>0</v>
      </c>
    </row>
    <row r="975" ht="18.0" customHeight="1">
      <c r="A975" s="132"/>
      <c r="B975" s="72"/>
      <c r="C975" s="72"/>
      <c r="D975" s="137" t="str">
        <f t="array" ref="D975">IFERROR(IF(C975="","",INDEX(PRODUK!$B:$B,MATCH(C975,PRODUK!$A:$A,0))),"")</f>
        <v/>
      </c>
      <c r="E975" s="113"/>
      <c r="F975" s="115">
        <f t="array" ref="F975">IFERROR(IF(C975="",0,INDEX(PRODUK!$F:$F,MATCH(C975,PRODUK!$A:$A,0))),0)</f>
        <v>0</v>
      </c>
      <c r="G975" s="114">
        <f t="shared" si="1"/>
        <v>0</v>
      </c>
      <c r="H975" s="114">
        <f t="array" ref="H975">IFERROR(IF(B975="",0,INDEX(HPP_ENGINE!$J:$J,MATCH(B975,HPP_ENGINE!$A:$A,0))),0)</f>
        <v>0</v>
      </c>
      <c r="I975" s="114">
        <f t="shared" si="2"/>
        <v>0</v>
      </c>
      <c r="J975" s="114">
        <f t="shared" si="3"/>
        <v>0</v>
      </c>
      <c r="K975" s="133">
        <f t="shared" si="4"/>
        <v>0</v>
      </c>
    </row>
    <row r="976" ht="18.0" customHeight="1">
      <c r="A976" s="134"/>
      <c r="B976" s="77"/>
      <c r="C976" s="77"/>
      <c r="D976" s="135" t="str">
        <f t="array" ref="D976">IFERROR(IF(C976="","",INDEX(PRODUK!$B:$B,MATCH(C976,PRODUK!$A:$A,0))),"")</f>
        <v/>
      </c>
      <c r="E976" s="117"/>
      <c r="F976" s="119">
        <f t="array" ref="F976">IFERROR(IF(C976="",0,INDEX(PRODUK!$F:$F,MATCH(C976,PRODUK!$A:$A,0))),0)</f>
        <v>0</v>
      </c>
      <c r="G976" s="118">
        <f t="shared" si="1"/>
        <v>0</v>
      </c>
      <c r="H976" s="118">
        <f t="array" ref="H976">IFERROR(IF(B976="",0,INDEX(HPP_ENGINE!$J:$J,MATCH(B976,HPP_ENGINE!$A:$A,0))),0)</f>
        <v>0</v>
      </c>
      <c r="I976" s="118">
        <f t="shared" si="2"/>
        <v>0</v>
      </c>
      <c r="J976" s="118">
        <f t="shared" si="3"/>
        <v>0</v>
      </c>
      <c r="K976" s="136">
        <f t="shared" si="4"/>
        <v>0</v>
      </c>
    </row>
    <row r="977" ht="18.0" customHeight="1">
      <c r="A977" s="132"/>
      <c r="B977" s="72"/>
      <c r="C977" s="72"/>
      <c r="D977" s="137" t="str">
        <f t="array" ref="D977">IFERROR(IF(C977="","",INDEX(PRODUK!$B:$B,MATCH(C977,PRODUK!$A:$A,0))),"")</f>
        <v/>
      </c>
      <c r="E977" s="113"/>
      <c r="F977" s="115">
        <f t="array" ref="F977">IFERROR(IF(C977="",0,INDEX(PRODUK!$F:$F,MATCH(C977,PRODUK!$A:$A,0))),0)</f>
        <v>0</v>
      </c>
      <c r="G977" s="114">
        <f t="shared" si="1"/>
        <v>0</v>
      </c>
      <c r="H977" s="114">
        <f t="array" ref="H977">IFERROR(IF(B977="",0,INDEX(HPP_ENGINE!$J:$J,MATCH(B977,HPP_ENGINE!$A:$A,0))),0)</f>
        <v>0</v>
      </c>
      <c r="I977" s="114">
        <f t="shared" si="2"/>
        <v>0</v>
      </c>
      <c r="J977" s="114">
        <f t="shared" si="3"/>
        <v>0</v>
      </c>
      <c r="K977" s="133">
        <f t="shared" si="4"/>
        <v>0</v>
      </c>
    </row>
    <row r="978" ht="18.0" customHeight="1">
      <c r="A978" s="134"/>
      <c r="B978" s="77"/>
      <c r="C978" s="77"/>
      <c r="D978" s="135" t="str">
        <f t="array" ref="D978">IFERROR(IF(C978="","",INDEX(PRODUK!$B:$B,MATCH(C978,PRODUK!$A:$A,0))),"")</f>
        <v/>
      </c>
      <c r="E978" s="117"/>
      <c r="F978" s="119">
        <f t="array" ref="F978">IFERROR(IF(C978="",0,INDEX(PRODUK!$F:$F,MATCH(C978,PRODUK!$A:$A,0))),0)</f>
        <v>0</v>
      </c>
      <c r="G978" s="118">
        <f t="shared" si="1"/>
        <v>0</v>
      </c>
      <c r="H978" s="118">
        <f t="array" ref="H978">IFERROR(IF(B978="",0,INDEX(HPP_ENGINE!$J:$J,MATCH(B978,HPP_ENGINE!$A:$A,0))),0)</f>
        <v>0</v>
      </c>
      <c r="I978" s="118">
        <f t="shared" si="2"/>
        <v>0</v>
      </c>
      <c r="J978" s="118">
        <f t="shared" si="3"/>
        <v>0</v>
      </c>
      <c r="K978" s="136">
        <f t="shared" si="4"/>
        <v>0</v>
      </c>
    </row>
    <row r="979" ht="18.0" customHeight="1">
      <c r="A979" s="132"/>
      <c r="B979" s="72"/>
      <c r="C979" s="72"/>
      <c r="D979" s="137" t="str">
        <f t="array" ref="D979">IFERROR(IF(C979="","",INDEX(PRODUK!$B:$B,MATCH(C979,PRODUK!$A:$A,0))),"")</f>
        <v/>
      </c>
      <c r="E979" s="113"/>
      <c r="F979" s="115">
        <f t="array" ref="F979">IFERROR(IF(C979="",0,INDEX(PRODUK!$F:$F,MATCH(C979,PRODUK!$A:$A,0))),0)</f>
        <v>0</v>
      </c>
      <c r="G979" s="114">
        <f t="shared" si="1"/>
        <v>0</v>
      </c>
      <c r="H979" s="114">
        <f t="array" ref="H979">IFERROR(IF(B979="",0,INDEX(HPP_ENGINE!$J:$J,MATCH(B979,HPP_ENGINE!$A:$A,0))),0)</f>
        <v>0</v>
      </c>
      <c r="I979" s="114">
        <f t="shared" si="2"/>
        <v>0</v>
      </c>
      <c r="J979" s="114">
        <f t="shared" si="3"/>
        <v>0</v>
      </c>
      <c r="K979" s="133">
        <f t="shared" si="4"/>
        <v>0</v>
      </c>
    </row>
    <row r="980" ht="18.0" customHeight="1">
      <c r="A980" s="134"/>
      <c r="B980" s="77"/>
      <c r="C980" s="77"/>
      <c r="D980" s="135" t="str">
        <f t="array" ref="D980">IFERROR(IF(C980="","",INDEX(PRODUK!$B:$B,MATCH(C980,PRODUK!$A:$A,0))),"")</f>
        <v/>
      </c>
      <c r="E980" s="117"/>
      <c r="F980" s="119">
        <f t="array" ref="F980">IFERROR(IF(C980="",0,INDEX(PRODUK!$F:$F,MATCH(C980,PRODUK!$A:$A,0))),0)</f>
        <v>0</v>
      </c>
      <c r="G980" s="118">
        <f t="shared" si="1"/>
        <v>0</v>
      </c>
      <c r="H980" s="118">
        <f t="array" ref="H980">IFERROR(IF(B980="",0,INDEX(HPP_ENGINE!$J:$J,MATCH(B980,HPP_ENGINE!$A:$A,0))),0)</f>
        <v>0</v>
      </c>
      <c r="I980" s="118">
        <f t="shared" si="2"/>
        <v>0</v>
      </c>
      <c r="J980" s="118">
        <f t="shared" si="3"/>
        <v>0</v>
      </c>
      <c r="K980" s="136">
        <f t="shared" si="4"/>
        <v>0</v>
      </c>
    </row>
    <row r="981" ht="18.0" customHeight="1">
      <c r="A981" s="132"/>
      <c r="B981" s="72"/>
      <c r="C981" s="72"/>
      <c r="D981" s="137" t="str">
        <f t="array" ref="D981">IFERROR(IF(C981="","",INDEX(PRODUK!$B:$B,MATCH(C981,PRODUK!$A:$A,0))),"")</f>
        <v/>
      </c>
      <c r="E981" s="113"/>
      <c r="F981" s="115">
        <f t="array" ref="F981">IFERROR(IF(C981="",0,INDEX(PRODUK!$F:$F,MATCH(C981,PRODUK!$A:$A,0))),0)</f>
        <v>0</v>
      </c>
      <c r="G981" s="114">
        <f t="shared" si="1"/>
        <v>0</v>
      </c>
      <c r="H981" s="114">
        <f t="array" ref="H981">IFERROR(IF(B981="",0,INDEX(HPP_ENGINE!$J:$J,MATCH(B981,HPP_ENGINE!$A:$A,0))),0)</f>
        <v>0</v>
      </c>
      <c r="I981" s="114">
        <f t="shared" si="2"/>
        <v>0</v>
      </c>
      <c r="J981" s="114">
        <f t="shared" si="3"/>
        <v>0</v>
      </c>
      <c r="K981" s="133">
        <f t="shared" si="4"/>
        <v>0</v>
      </c>
    </row>
    <row r="982" ht="18.0" customHeight="1">
      <c r="A982" s="134"/>
      <c r="B982" s="77"/>
      <c r="C982" s="77"/>
      <c r="D982" s="135" t="str">
        <f t="array" ref="D982">IFERROR(IF(C982="","",INDEX(PRODUK!$B:$B,MATCH(C982,PRODUK!$A:$A,0))),"")</f>
        <v/>
      </c>
      <c r="E982" s="117"/>
      <c r="F982" s="119">
        <f t="array" ref="F982">IFERROR(IF(C982="",0,INDEX(PRODUK!$F:$F,MATCH(C982,PRODUK!$A:$A,0))),0)</f>
        <v>0</v>
      </c>
      <c r="G982" s="118">
        <f t="shared" si="1"/>
        <v>0</v>
      </c>
      <c r="H982" s="118">
        <f t="array" ref="H982">IFERROR(IF(B982="",0,INDEX(HPP_ENGINE!$J:$J,MATCH(B982,HPP_ENGINE!$A:$A,0))),0)</f>
        <v>0</v>
      </c>
      <c r="I982" s="118">
        <f t="shared" si="2"/>
        <v>0</v>
      </c>
      <c r="J982" s="118">
        <f t="shared" si="3"/>
        <v>0</v>
      </c>
      <c r="K982" s="136">
        <f t="shared" si="4"/>
        <v>0</v>
      </c>
    </row>
    <row r="983" ht="18.0" customHeight="1">
      <c r="A983" s="132"/>
      <c r="B983" s="72"/>
      <c r="C983" s="72"/>
      <c r="D983" s="137" t="str">
        <f t="array" ref="D983">IFERROR(IF(C983="","",INDEX(PRODUK!$B:$B,MATCH(C983,PRODUK!$A:$A,0))),"")</f>
        <v/>
      </c>
      <c r="E983" s="113"/>
      <c r="F983" s="115">
        <f t="array" ref="F983">IFERROR(IF(C983="",0,INDEX(PRODUK!$F:$F,MATCH(C983,PRODUK!$A:$A,0))),0)</f>
        <v>0</v>
      </c>
      <c r="G983" s="114">
        <f t="shared" si="1"/>
        <v>0</v>
      </c>
      <c r="H983" s="114">
        <f t="array" ref="H983">IFERROR(IF(B983="",0,INDEX(HPP_ENGINE!$J:$J,MATCH(B983,HPP_ENGINE!$A:$A,0))),0)</f>
        <v>0</v>
      </c>
      <c r="I983" s="114">
        <f t="shared" si="2"/>
        <v>0</v>
      </c>
      <c r="J983" s="114">
        <f t="shared" si="3"/>
        <v>0</v>
      </c>
      <c r="K983" s="133">
        <f t="shared" si="4"/>
        <v>0</v>
      </c>
    </row>
    <row r="984" ht="18.0" customHeight="1">
      <c r="A984" s="134"/>
      <c r="B984" s="77"/>
      <c r="C984" s="77"/>
      <c r="D984" s="135" t="str">
        <f t="array" ref="D984">IFERROR(IF(C984="","",INDEX(PRODUK!$B:$B,MATCH(C984,PRODUK!$A:$A,0))),"")</f>
        <v/>
      </c>
      <c r="E984" s="117"/>
      <c r="F984" s="119">
        <f t="array" ref="F984">IFERROR(IF(C984="",0,INDEX(PRODUK!$F:$F,MATCH(C984,PRODUK!$A:$A,0))),0)</f>
        <v>0</v>
      </c>
      <c r="G984" s="118">
        <f t="shared" si="1"/>
        <v>0</v>
      </c>
      <c r="H984" s="118">
        <f t="array" ref="H984">IFERROR(IF(B984="",0,INDEX(HPP_ENGINE!$J:$J,MATCH(B984,HPP_ENGINE!$A:$A,0))),0)</f>
        <v>0</v>
      </c>
      <c r="I984" s="118">
        <f t="shared" si="2"/>
        <v>0</v>
      </c>
      <c r="J984" s="118">
        <f t="shared" si="3"/>
        <v>0</v>
      </c>
      <c r="K984" s="136">
        <f t="shared" si="4"/>
        <v>0</v>
      </c>
    </row>
    <row r="985" ht="18.0" customHeight="1">
      <c r="A985" s="132"/>
      <c r="B985" s="72"/>
      <c r="C985" s="72"/>
      <c r="D985" s="137" t="str">
        <f t="array" ref="D985">IFERROR(IF(C985="","",INDEX(PRODUK!$B:$B,MATCH(C985,PRODUK!$A:$A,0))),"")</f>
        <v/>
      </c>
      <c r="E985" s="113"/>
      <c r="F985" s="115">
        <f t="array" ref="F985">IFERROR(IF(C985="",0,INDEX(PRODUK!$F:$F,MATCH(C985,PRODUK!$A:$A,0))),0)</f>
        <v>0</v>
      </c>
      <c r="G985" s="114">
        <f t="shared" si="1"/>
        <v>0</v>
      </c>
      <c r="H985" s="114">
        <f t="array" ref="H985">IFERROR(IF(B985="",0,INDEX(HPP_ENGINE!$J:$J,MATCH(B985,HPP_ENGINE!$A:$A,0))),0)</f>
        <v>0</v>
      </c>
      <c r="I985" s="114">
        <f t="shared" si="2"/>
        <v>0</v>
      </c>
      <c r="J985" s="114">
        <f t="shared" si="3"/>
        <v>0</v>
      </c>
      <c r="K985" s="133">
        <f t="shared" si="4"/>
        <v>0</v>
      </c>
    </row>
    <row r="986" ht="18.0" customHeight="1">
      <c r="A986" s="134"/>
      <c r="B986" s="77"/>
      <c r="C986" s="77"/>
      <c r="D986" s="135" t="str">
        <f t="array" ref="D986">IFERROR(IF(C986="","",INDEX(PRODUK!$B:$B,MATCH(C986,PRODUK!$A:$A,0))),"")</f>
        <v/>
      </c>
      <c r="E986" s="117"/>
      <c r="F986" s="119">
        <f t="array" ref="F986">IFERROR(IF(C986="",0,INDEX(PRODUK!$F:$F,MATCH(C986,PRODUK!$A:$A,0))),0)</f>
        <v>0</v>
      </c>
      <c r="G986" s="118">
        <f t="shared" si="1"/>
        <v>0</v>
      </c>
      <c r="H986" s="118">
        <f t="array" ref="H986">IFERROR(IF(B986="",0,INDEX(HPP_ENGINE!$J:$J,MATCH(B986,HPP_ENGINE!$A:$A,0))),0)</f>
        <v>0</v>
      </c>
      <c r="I986" s="118">
        <f t="shared" si="2"/>
        <v>0</v>
      </c>
      <c r="J986" s="118">
        <f t="shared" si="3"/>
        <v>0</v>
      </c>
      <c r="K986" s="136">
        <f t="shared" si="4"/>
        <v>0</v>
      </c>
    </row>
    <row r="987" ht="18.0" customHeight="1">
      <c r="A987" s="132"/>
      <c r="B987" s="72"/>
      <c r="C987" s="72"/>
      <c r="D987" s="137" t="str">
        <f t="array" ref="D987">IFERROR(IF(C987="","",INDEX(PRODUK!$B:$B,MATCH(C987,PRODUK!$A:$A,0))),"")</f>
        <v/>
      </c>
      <c r="E987" s="113"/>
      <c r="F987" s="115">
        <f t="array" ref="F987">IFERROR(IF(C987="",0,INDEX(PRODUK!$F:$F,MATCH(C987,PRODUK!$A:$A,0))),0)</f>
        <v>0</v>
      </c>
      <c r="G987" s="114">
        <f t="shared" si="1"/>
        <v>0</v>
      </c>
      <c r="H987" s="114">
        <f t="array" ref="H987">IFERROR(IF(B987="",0,INDEX(HPP_ENGINE!$J:$J,MATCH(B987,HPP_ENGINE!$A:$A,0))),0)</f>
        <v>0</v>
      </c>
      <c r="I987" s="114">
        <f t="shared" si="2"/>
        <v>0</v>
      </c>
      <c r="J987" s="114">
        <f t="shared" si="3"/>
        <v>0</v>
      </c>
      <c r="K987" s="133">
        <f t="shared" si="4"/>
        <v>0</v>
      </c>
    </row>
    <row r="988" ht="18.0" customHeight="1">
      <c r="A988" s="134"/>
      <c r="B988" s="77"/>
      <c r="C988" s="77"/>
      <c r="D988" s="135" t="str">
        <f t="array" ref="D988">IFERROR(IF(C988="","",INDEX(PRODUK!$B:$B,MATCH(C988,PRODUK!$A:$A,0))),"")</f>
        <v/>
      </c>
      <c r="E988" s="117"/>
      <c r="F988" s="119">
        <f t="array" ref="F988">IFERROR(IF(C988="",0,INDEX(PRODUK!$F:$F,MATCH(C988,PRODUK!$A:$A,0))),0)</f>
        <v>0</v>
      </c>
      <c r="G988" s="118">
        <f t="shared" si="1"/>
        <v>0</v>
      </c>
      <c r="H988" s="118">
        <f t="array" ref="H988">IFERROR(IF(B988="",0,INDEX(HPP_ENGINE!$J:$J,MATCH(B988,HPP_ENGINE!$A:$A,0))),0)</f>
        <v>0</v>
      </c>
      <c r="I988" s="118">
        <f t="shared" si="2"/>
        <v>0</v>
      </c>
      <c r="J988" s="118">
        <f t="shared" si="3"/>
        <v>0</v>
      </c>
      <c r="K988" s="136">
        <f t="shared" si="4"/>
        <v>0</v>
      </c>
    </row>
    <row r="989" ht="18.0" customHeight="1">
      <c r="A989" s="132"/>
      <c r="B989" s="72"/>
      <c r="C989" s="72"/>
      <c r="D989" s="137" t="str">
        <f t="array" ref="D989">IFERROR(IF(C989="","",INDEX(PRODUK!$B:$B,MATCH(C989,PRODUK!$A:$A,0))),"")</f>
        <v/>
      </c>
      <c r="E989" s="113"/>
      <c r="F989" s="115">
        <f t="array" ref="F989">IFERROR(IF(C989="",0,INDEX(PRODUK!$F:$F,MATCH(C989,PRODUK!$A:$A,0))),0)</f>
        <v>0</v>
      </c>
      <c r="G989" s="114">
        <f t="shared" si="1"/>
        <v>0</v>
      </c>
      <c r="H989" s="114">
        <f t="array" ref="H989">IFERROR(IF(B989="",0,INDEX(HPP_ENGINE!$J:$J,MATCH(B989,HPP_ENGINE!$A:$A,0))),0)</f>
        <v>0</v>
      </c>
      <c r="I989" s="114">
        <f t="shared" si="2"/>
        <v>0</v>
      </c>
      <c r="J989" s="114">
        <f t="shared" si="3"/>
        <v>0</v>
      </c>
      <c r="K989" s="133">
        <f t="shared" si="4"/>
        <v>0</v>
      </c>
    </row>
    <row r="990" ht="18.0" customHeight="1">
      <c r="A990" s="134"/>
      <c r="B990" s="77"/>
      <c r="C990" s="77"/>
      <c r="D990" s="135" t="str">
        <f t="array" ref="D990">IFERROR(IF(C990="","",INDEX(PRODUK!$B:$B,MATCH(C990,PRODUK!$A:$A,0))),"")</f>
        <v/>
      </c>
      <c r="E990" s="117"/>
      <c r="F990" s="119">
        <f t="array" ref="F990">IFERROR(IF(C990="",0,INDEX(PRODUK!$F:$F,MATCH(C990,PRODUK!$A:$A,0))),0)</f>
        <v>0</v>
      </c>
      <c r="G990" s="118">
        <f t="shared" si="1"/>
        <v>0</v>
      </c>
      <c r="H990" s="118">
        <f t="array" ref="H990">IFERROR(IF(B990="",0,INDEX(HPP_ENGINE!$J:$J,MATCH(B990,HPP_ENGINE!$A:$A,0))),0)</f>
        <v>0</v>
      </c>
      <c r="I990" s="118">
        <f t="shared" si="2"/>
        <v>0</v>
      </c>
      <c r="J990" s="118">
        <f t="shared" si="3"/>
        <v>0</v>
      </c>
      <c r="K990" s="136">
        <f t="shared" si="4"/>
        <v>0</v>
      </c>
    </row>
    <row r="991" ht="18.0" customHeight="1">
      <c r="A991" s="132"/>
      <c r="B991" s="72"/>
      <c r="C991" s="72"/>
      <c r="D991" s="137" t="str">
        <f t="array" ref="D991">IFERROR(IF(C991="","",INDEX(PRODUK!$B:$B,MATCH(C991,PRODUK!$A:$A,0))),"")</f>
        <v/>
      </c>
      <c r="E991" s="113"/>
      <c r="F991" s="115">
        <f t="array" ref="F991">IFERROR(IF(C991="",0,INDEX(PRODUK!$F:$F,MATCH(C991,PRODUK!$A:$A,0))),0)</f>
        <v>0</v>
      </c>
      <c r="G991" s="114">
        <f t="shared" si="1"/>
        <v>0</v>
      </c>
      <c r="H991" s="114">
        <f t="array" ref="H991">IFERROR(IF(B991="",0,INDEX(HPP_ENGINE!$J:$J,MATCH(B991,HPP_ENGINE!$A:$A,0))),0)</f>
        <v>0</v>
      </c>
      <c r="I991" s="114">
        <f t="shared" si="2"/>
        <v>0</v>
      </c>
      <c r="J991" s="114">
        <f t="shared" si="3"/>
        <v>0</v>
      </c>
      <c r="K991" s="133">
        <f t="shared" si="4"/>
        <v>0</v>
      </c>
    </row>
    <row r="992" ht="18.0" customHeight="1">
      <c r="A992" s="134"/>
      <c r="B992" s="77"/>
      <c r="C992" s="77"/>
      <c r="D992" s="135" t="str">
        <f t="array" ref="D992">IFERROR(IF(C992="","",INDEX(PRODUK!$B:$B,MATCH(C992,PRODUK!$A:$A,0))),"")</f>
        <v/>
      </c>
      <c r="E992" s="117"/>
      <c r="F992" s="119">
        <f t="array" ref="F992">IFERROR(IF(C992="",0,INDEX(PRODUK!$F:$F,MATCH(C992,PRODUK!$A:$A,0))),0)</f>
        <v>0</v>
      </c>
      <c r="G992" s="118">
        <f t="shared" si="1"/>
        <v>0</v>
      </c>
      <c r="H992" s="118">
        <f t="array" ref="H992">IFERROR(IF(B992="",0,INDEX(HPP_ENGINE!$J:$J,MATCH(B992,HPP_ENGINE!$A:$A,0))),0)</f>
        <v>0</v>
      </c>
      <c r="I992" s="118">
        <f t="shared" si="2"/>
        <v>0</v>
      </c>
      <c r="J992" s="118">
        <f t="shared" si="3"/>
        <v>0</v>
      </c>
      <c r="K992" s="136">
        <f t="shared" si="4"/>
        <v>0</v>
      </c>
    </row>
    <row r="993" ht="18.0" customHeight="1">
      <c r="A993" s="132"/>
      <c r="B993" s="72"/>
      <c r="C993" s="72"/>
      <c r="D993" s="137" t="str">
        <f t="array" ref="D993">IFERROR(IF(C993="","",INDEX(PRODUK!$B:$B,MATCH(C993,PRODUK!$A:$A,0))),"")</f>
        <v/>
      </c>
      <c r="E993" s="113"/>
      <c r="F993" s="115">
        <f t="array" ref="F993">IFERROR(IF(C993="",0,INDEX(PRODUK!$F:$F,MATCH(C993,PRODUK!$A:$A,0))),0)</f>
        <v>0</v>
      </c>
      <c r="G993" s="114">
        <f t="shared" si="1"/>
        <v>0</v>
      </c>
      <c r="H993" s="114">
        <f t="array" ref="H993">IFERROR(IF(B993="",0,INDEX(HPP_ENGINE!$J:$J,MATCH(B993,HPP_ENGINE!$A:$A,0))),0)</f>
        <v>0</v>
      </c>
      <c r="I993" s="114">
        <f t="shared" si="2"/>
        <v>0</v>
      </c>
      <c r="J993" s="114">
        <f t="shared" si="3"/>
        <v>0</v>
      </c>
      <c r="K993" s="133">
        <f t="shared" si="4"/>
        <v>0</v>
      </c>
    </row>
    <row r="994" ht="18.0" customHeight="1">
      <c r="A994" s="134"/>
      <c r="B994" s="77"/>
      <c r="C994" s="77"/>
      <c r="D994" s="135" t="str">
        <f t="array" ref="D994">IFERROR(IF(C994="","",INDEX(PRODUK!$B:$B,MATCH(C994,PRODUK!$A:$A,0))),"")</f>
        <v/>
      </c>
      <c r="E994" s="117"/>
      <c r="F994" s="119">
        <f t="array" ref="F994">IFERROR(IF(C994="",0,INDEX(PRODUK!$F:$F,MATCH(C994,PRODUK!$A:$A,0))),0)</f>
        <v>0</v>
      </c>
      <c r="G994" s="118">
        <f t="shared" si="1"/>
        <v>0</v>
      </c>
      <c r="H994" s="118">
        <f t="array" ref="H994">IFERROR(IF(B994="",0,INDEX(HPP_ENGINE!$J:$J,MATCH(B994,HPP_ENGINE!$A:$A,0))),0)</f>
        <v>0</v>
      </c>
      <c r="I994" s="118">
        <f t="shared" si="2"/>
        <v>0</v>
      </c>
      <c r="J994" s="118">
        <f t="shared" si="3"/>
        <v>0</v>
      </c>
      <c r="K994" s="136">
        <f t="shared" si="4"/>
        <v>0</v>
      </c>
    </row>
    <row r="995" ht="18.0" customHeight="1">
      <c r="A995" s="132"/>
      <c r="B995" s="72"/>
      <c r="C995" s="72"/>
      <c r="D995" s="137" t="str">
        <f t="array" ref="D995">IFERROR(IF(C995="","",INDEX(PRODUK!$B:$B,MATCH(C995,PRODUK!$A:$A,0))),"")</f>
        <v/>
      </c>
      <c r="E995" s="113"/>
      <c r="F995" s="115">
        <f t="array" ref="F995">IFERROR(IF(C995="",0,INDEX(PRODUK!$F:$F,MATCH(C995,PRODUK!$A:$A,0))),0)</f>
        <v>0</v>
      </c>
      <c r="G995" s="114">
        <f t="shared" si="1"/>
        <v>0</v>
      </c>
      <c r="H995" s="114">
        <f t="array" ref="H995">IFERROR(IF(B995="",0,INDEX(HPP_ENGINE!$J:$J,MATCH(B995,HPP_ENGINE!$A:$A,0))),0)</f>
        <v>0</v>
      </c>
      <c r="I995" s="114">
        <f t="shared" si="2"/>
        <v>0</v>
      </c>
      <c r="J995" s="114">
        <f t="shared" si="3"/>
        <v>0</v>
      </c>
      <c r="K995" s="133">
        <f t="shared" si="4"/>
        <v>0</v>
      </c>
    </row>
    <row r="996" ht="18.0" customHeight="1">
      <c r="A996" s="134"/>
      <c r="B996" s="77"/>
      <c r="C996" s="77"/>
      <c r="D996" s="135" t="str">
        <f t="array" ref="D996">IFERROR(IF(C996="","",INDEX(PRODUK!$B:$B,MATCH(C996,PRODUK!$A:$A,0))),"")</f>
        <v/>
      </c>
      <c r="E996" s="117"/>
      <c r="F996" s="119">
        <f t="array" ref="F996">IFERROR(IF(C996="",0,INDEX(PRODUK!$F:$F,MATCH(C996,PRODUK!$A:$A,0))),0)</f>
        <v>0</v>
      </c>
      <c r="G996" s="118">
        <f t="shared" si="1"/>
        <v>0</v>
      </c>
      <c r="H996" s="118">
        <f t="array" ref="H996">IFERROR(IF(B996="",0,INDEX(HPP_ENGINE!$J:$J,MATCH(B996,HPP_ENGINE!$A:$A,0))),0)</f>
        <v>0</v>
      </c>
      <c r="I996" s="118">
        <f t="shared" si="2"/>
        <v>0</v>
      </c>
      <c r="J996" s="118">
        <f t="shared" si="3"/>
        <v>0</v>
      </c>
      <c r="K996" s="136">
        <f t="shared" si="4"/>
        <v>0</v>
      </c>
    </row>
    <row r="997" ht="18.0" customHeight="1">
      <c r="A997" s="132"/>
      <c r="B997" s="72"/>
      <c r="C997" s="72"/>
      <c r="D997" s="137" t="str">
        <f t="array" ref="D997">IFERROR(IF(C997="","",INDEX(PRODUK!$B:$B,MATCH(C997,PRODUK!$A:$A,0))),"")</f>
        <v/>
      </c>
      <c r="E997" s="113"/>
      <c r="F997" s="115">
        <f t="array" ref="F997">IFERROR(IF(C997="",0,INDEX(PRODUK!$F:$F,MATCH(C997,PRODUK!$A:$A,0))),0)</f>
        <v>0</v>
      </c>
      <c r="G997" s="114">
        <f t="shared" si="1"/>
        <v>0</v>
      </c>
      <c r="H997" s="114">
        <f t="array" ref="H997">IFERROR(IF(B997="",0,INDEX(HPP_ENGINE!$J:$J,MATCH(B997,HPP_ENGINE!$A:$A,0))),0)</f>
        <v>0</v>
      </c>
      <c r="I997" s="114">
        <f t="shared" si="2"/>
        <v>0</v>
      </c>
      <c r="J997" s="114">
        <f t="shared" si="3"/>
        <v>0</v>
      </c>
      <c r="K997" s="133">
        <f t="shared" si="4"/>
        <v>0</v>
      </c>
    </row>
    <row r="998" ht="18.0" customHeight="1">
      <c r="A998" s="134"/>
      <c r="B998" s="77"/>
      <c r="C998" s="77"/>
      <c r="D998" s="135" t="str">
        <f t="array" ref="D998">IFERROR(IF(C998="","",INDEX(PRODUK!$B:$B,MATCH(C998,PRODUK!$A:$A,0))),"")</f>
        <v/>
      </c>
      <c r="E998" s="117"/>
      <c r="F998" s="119">
        <f t="array" ref="F998">IFERROR(IF(C998="",0,INDEX(PRODUK!$F:$F,MATCH(C998,PRODUK!$A:$A,0))),0)</f>
        <v>0</v>
      </c>
      <c r="G998" s="118">
        <f t="shared" si="1"/>
        <v>0</v>
      </c>
      <c r="H998" s="118">
        <f t="array" ref="H998">IFERROR(IF(B998="",0,INDEX(HPP_ENGINE!$J:$J,MATCH(B998,HPP_ENGINE!$A:$A,0))),0)</f>
        <v>0</v>
      </c>
      <c r="I998" s="118">
        <f t="shared" si="2"/>
        <v>0</v>
      </c>
      <c r="J998" s="118">
        <f t="shared" si="3"/>
        <v>0</v>
      </c>
      <c r="K998" s="136">
        <f t="shared" si="4"/>
        <v>0</v>
      </c>
    </row>
    <row r="999" ht="18.0" customHeight="1">
      <c r="A999" s="132"/>
      <c r="B999" s="72"/>
      <c r="C999" s="72"/>
      <c r="D999" s="137" t="str">
        <f t="array" ref="D999">IFERROR(IF(C999="","",INDEX(PRODUK!$B:$B,MATCH(C999,PRODUK!$A:$A,0))),"")</f>
        <v/>
      </c>
      <c r="E999" s="113"/>
      <c r="F999" s="115">
        <f t="array" ref="F999">IFERROR(IF(C999="",0,INDEX(PRODUK!$F:$F,MATCH(C999,PRODUK!$A:$A,0))),0)</f>
        <v>0</v>
      </c>
      <c r="G999" s="114">
        <f t="shared" si="1"/>
        <v>0</v>
      </c>
      <c r="H999" s="114">
        <f t="array" ref="H999">IFERROR(IF(B999="",0,INDEX(HPP_ENGINE!$J:$J,MATCH(B999,HPP_ENGINE!$A:$A,0))),0)</f>
        <v>0</v>
      </c>
      <c r="I999" s="114">
        <f t="shared" si="2"/>
        <v>0</v>
      </c>
      <c r="J999" s="114">
        <f t="shared" si="3"/>
        <v>0</v>
      </c>
      <c r="K999" s="133">
        <f t="shared" si="4"/>
        <v>0</v>
      </c>
    </row>
    <row r="1000" ht="18.0" customHeight="1">
      <c r="A1000" s="134"/>
      <c r="B1000" s="77"/>
      <c r="C1000" s="77"/>
      <c r="D1000" s="135" t="str">
        <f t="array" ref="D1000">IFERROR(IF(C1000="","",INDEX(PRODUK!$B:$B,MATCH(C1000,PRODUK!$A:$A,0))),"")</f>
        <v/>
      </c>
      <c r="E1000" s="117"/>
      <c r="F1000" s="119">
        <f t="array" ref="F1000">IFERROR(IF(C1000="",0,INDEX(PRODUK!$F:$F,MATCH(C1000,PRODUK!$A:$A,0))),0)</f>
        <v>0</v>
      </c>
      <c r="G1000" s="118">
        <f t="shared" si="1"/>
        <v>0</v>
      </c>
      <c r="H1000" s="118">
        <f t="array" ref="H1000">IFERROR(IF(B1000="",0,INDEX(HPP_ENGINE!$J:$J,MATCH(B1000,HPP_ENGINE!$A:$A,0))),0)</f>
        <v>0</v>
      </c>
      <c r="I1000" s="118">
        <f t="shared" si="2"/>
        <v>0</v>
      </c>
      <c r="J1000" s="118">
        <f t="shared" si="3"/>
        <v>0</v>
      </c>
      <c r="K1000" s="136">
        <f t="shared" si="4"/>
        <v>0</v>
      </c>
    </row>
    <row r="1001" ht="18.0" customHeight="1">
      <c r="A1001" s="132"/>
      <c r="B1001" s="72"/>
      <c r="C1001" s="72"/>
      <c r="D1001" s="137" t="str">
        <f t="array" ref="D1001">IFERROR(IF(C1001="","",INDEX(PRODUK!$B:$B,MATCH(C1001,PRODUK!$A:$A,0))),"")</f>
        <v/>
      </c>
      <c r="E1001" s="113"/>
      <c r="F1001" s="115">
        <f t="array" ref="F1001">IFERROR(IF(C1001="",0,INDEX(PRODUK!$F:$F,MATCH(C1001,PRODUK!$A:$A,0))),0)</f>
        <v>0</v>
      </c>
      <c r="G1001" s="114">
        <f t="shared" si="1"/>
        <v>0</v>
      </c>
      <c r="H1001" s="114">
        <f t="array" ref="H1001">IFERROR(IF(B1001="",0,INDEX(HPP_ENGINE!$J:$J,MATCH(B1001,HPP_ENGINE!$A:$A,0))),0)</f>
        <v>0</v>
      </c>
      <c r="I1001" s="114">
        <f t="shared" si="2"/>
        <v>0</v>
      </c>
      <c r="J1001" s="114">
        <f t="shared" si="3"/>
        <v>0</v>
      </c>
      <c r="K1001" s="133">
        <f t="shared" si="4"/>
        <v>0</v>
      </c>
    </row>
    <row r="1002" ht="18.0" customHeight="1">
      <c r="A1002" s="134"/>
      <c r="B1002" s="77"/>
      <c r="C1002" s="77"/>
      <c r="D1002" s="135" t="str">
        <f t="array" ref="D1002">IFERROR(IF(C1002="","",INDEX(PRODUK!$B:$B,MATCH(C1002,PRODUK!$A:$A,0))),"")</f>
        <v/>
      </c>
      <c r="E1002" s="117"/>
      <c r="F1002" s="119">
        <f t="array" ref="F1002">IFERROR(IF(C1002="",0,INDEX(PRODUK!$F:$F,MATCH(C1002,PRODUK!$A:$A,0))),0)</f>
        <v>0</v>
      </c>
      <c r="G1002" s="118">
        <f t="shared" si="1"/>
        <v>0</v>
      </c>
      <c r="H1002" s="118">
        <f t="array" ref="H1002">IFERROR(IF(B1002="",0,INDEX(HPP_ENGINE!$J:$J,MATCH(B1002,HPP_ENGINE!$A:$A,0))),0)</f>
        <v>0</v>
      </c>
      <c r="I1002" s="118">
        <f t="shared" si="2"/>
        <v>0</v>
      </c>
      <c r="J1002" s="118">
        <f t="shared" si="3"/>
        <v>0</v>
      </c>
      <c r="K1002" s="136">
        <f t="shared" si="4"/>
        <v>0</v>
      </c>
    </row>
    <row r="1003" ht="18.0" customHeight="1">
      <c r="A1003" s="138"/>
      <c r="B1003" s="96"/>
      <c r="C1003" s="96"/>
      <c r="D1003" s="139" t="str">
        <f>IFERROR(IF(C1003="","",VLOOKUP(C1003,PRODUK!A:B,2,0)),"")</f>
        <v/>
      </c>
      <c r="E1003" s="127"/>
      <c r="F1003" s="61">
        <f>IFERROR(IF(C1003="",0,VLOOKUP(C1003,PRODUK!A:F,6,0)),0)</f>
        <v>0</v>
      </c>
      <c r="G1003" s="140">
        <f t="shared" si="1"/>
        <v>0</v>
      </c>
      <c r="H1003" s="141">
        <f>IFERROR(IF(B1003="",0,VLOOKUP(B1003,HPP_ENGINE!A:J,10,0)),0)</f>
        <v>0</v>
      </c>
      <c r="I1003" s="140">
        <f t="shared" si="2"/>
        <v>0</v>
      </c>
      <c r="J1003" s="63">
        <f t="shared" si="3"/>
        <v>0</v>
      </c>
      <c r="K1003" s="130">
        <f t="shared" si="4"/>
        <v>0</v>
      </c>
    </row>
  </sheetData>
  <mergeCells count="2">
    <mergeCell ref="A1:K1"/>
    <mergeCell ref="A2:K2"/>
  </mergeCells>
  <dataValidations>
    <dataValidation type="list" allowBlank="1" showInputMessage="1" showErrorMessage="1" prompt="Input Tidak Valid - Pilih dari daftar yang tersedia" sqref="C4:C1002">
      <formula1>PRODUK!$A$4:$A$52</formula1>
    </dataValidation>
    <dataValidation type="date" operator="greaterThan" allowBlank="1" showInputMessage="1" showErrorMessage="1" prompt="Tanggal Tidak Valid - Masukkan tanggal yang valid (format: YYYY-MM-DD)" sqref="A3:A1002">
      <formula1>"2020-01-01"</formula1>
    </dataValidation>
    <dataValidation type="decimal" allowBlank="1" showInputMessage="1" showErrorMessage="1" prompt="Angka Tidak Valid - QTY Terjual harus antara 1 - 100.000" sqref="E3:E1002">
      <formula1>1.0</formula1>
      <formula2>100000.0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6D7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7.71"/>
    <col customWidth="1" min="3" max="3" width="22.0"/>
    <col customWidth="1" min="4" max="4" width="11.0"/>
    <col customWidth="1" min="5" max="5" width="16.71"/>
    <col customWidth="1" min="6" max="6" width="12.0"/>
    <col customWidth="1" min="7" max="7" width="11.0"/>
    <col customWidth="1" min="8" max="8" width="18.0"/>
    <col customWidth="1" min="9" max="10" width="20.0"/>
    <col customWidth="1" min="11" max="11" width="11.71"/>
    <col customWidth="1" min="12" max="12" width="10.0"/>
    <col customWidth="1" min="13" max="13" width="12.0"/>
    <col customWidth="1" min="14" max="14" width="23.29"/>
    <col customWidth="1" min="15" max="26" width="8.71"/>
  </cols>
  <sheetData>
    <row r="1" ht="36.0" customHeight="1">
      <c r="A1" s="1" t="s">
        <v>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5" t="s">
        <v>416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7.75" customHeight="1">
      <c r="A3" s="7" t="s">
        <v>144</v>
      </c>
      <c r="B3" s="7" t="s">
        <v>166</v>
      </c>
      <c r="C3" s="7" t="s">
        <v>167</v>
      </c>
      <c r="D3" s="7" t="s">
        <v>371</v>
      </c>
      <c r="E3" s="7" t="s">
        <v>417</v>
      </c>
      <c r="F3" s="7" t="s">
        <v>408</v>
      </c>
      <c r="G3" s="7" t="s">
        <v>418</v>
      </c>
      <c r="H3" s="7" t="s">
        <v>357</v>
      </c>
      <c r="I3" s="7" t="s">
        <v>409</v>
      </c>
      <c r="J3" s="7" t="s">
        <v>411</v>
      </c>
      <c r="K3" s="7" t="s">
        <v>150</v>
      </c>
      <c r="L3" s="7" t="s">
        <v>419</v>
      </c>
      <c r="M3" s="7" t="s">
        <v>151</v>
      </c>
      <c r="N3" s="7" t="s">
        <v>375</v>
      </c>
    </row>
    <row r="4" ht="18.75" customHeight="1">
      <c r="A4" s="77" t="s">
        <v>361</v>
      </c>
      <c r="B4" s="116" t="str">
        <f t="array" ref="B4">IFERROR(IF(A4="","",INDEX(HPP_ENGINE!$B:$B,MATCH(A4,HPP_ENGINE!$A:$A,0))),"")</f>
        <v>PRD-001</v>
      </c>
      <c r="C4" s="135" t="str">
        <f t="array" ref="C4">IFERROR(IF(A4="","",INDEX(HPP_ENGINE!$C:$C,MATCH(A4,HPP_ENGINE!$A:$A,0))),"")</f>
        <v>Abaya Premium Linen</v>
      </c>
      <c r="D4" s="119">
        <f t="array" ref="D4">IFERROR(IF(A4="",0,INDEX(PRODUCTION_PLAN!$D:$D,MATCH(A4,PRODUCTION_PLAN!$A:$A,0))),0)</f>
        <v>150</v>
      </c>
      <c r="E4" s="119">
        <f t="array" ref="E4">IFERROR(IF(A4="",0,INDEX(HPP_ENGINE!$D:$D,MATCH(A4,HPP_ENGINE!$A:$A,0))),0)</f>
        <v>148</v>
      </c>
      <c r="F4" s="119">
        <f>IFERROR(IF(A4="",0,SUMIFS(SALES_TRACKER!$E$4:$E$1003,SALES_TRACKER!$B$4:$B$1003,A4)),0)</f>
        <v>148</v>
      </c>
      <c r="G4" s="119">
        <f t="shared" ref="G4:G203" si="1">IFERROR(IF(A4="",0,E4-F4),0)</f>
        <v>0</v>
      </c>
      <c r="H4" s="119">
        <f t="array" ref="H4">IFERROR(IF(A4="",0,INDEX(HPP_ENGINE!$I:$I,MATCH(A4,HPP_ENGINE!$A:$A,0))),0)</f>
        <v>28753000</v>
      </c>
      <c r="I4" s="119">
        <f>IFERROR(IF(A4="",0,SUMIFS(SALES_TRACKER!$G$4:$G$1003,SALES_TRACKER!$B$4:$B$1003,A4)),0)</f>
        <v>51800000</v>
      </c>
      <c r="J4" s="118">
        <f t="shared" ref="J4:J203" si="2">IFERROR(IF(A4="",0,I4-H4),0)</f>
        <v>23047000</v>
      </c>
      <c r="K4" s="136">
        <f t="shared" ref="K4:K203" si="3">IFERROR(IF(A4="",0,IF(I4=0,IF(H4&gt;0,-1,0),J4/I4)),0)</f>
        <v>0.4449227799</v>
      </c>
      <c r="L4" s="136">
        <f t="shared" ref="L4:L203" si="4">IFERROR(IF(OR(A4="",H4=0),0,J4/H4),0)</f>
        <v>0.8015511425</v>
      </c>
      <c r="M4" s="136">
        <f t="shared" ref="M4:M203" si="5">IFERROR(IF(OR(A4="",E4=0),0,F4/E4),0)</f>
        <v>1</v>
      </c>
      <c r="N4" s="81" t="str">
        <f>IFERROR(IF(A4="","—",IF(COUNTIF(HPP_ENGINE!$A$4:$A$203,A4)=0,"⚠ BELUM DI HPP",IF(E4=0,"PLANNING",IF(M4&gt;=1,"SOLD OUT",IF(M4&gt;=0.7,"ON TRACK",IF(M4&gt;=0.3,"SLOW MOVE",IF(M4&gt;0,"STUCK","BELUM TERJUAL"))))))),"—")</f>
        <v>SOLD OUT</v>
      </c>
    </row>
    <row r="5" ht="18.75" customHeight="1">
      <c r="A5" s="72" t="s">
        <v>362</v>
      </c>
      <c r="B5" s="112" t="str">
        <f t="array" ref="B5">IFERROR(IF(A5="","",INDEX(HPP_ENGINE!$B:$B,MATCH(A5,HPP_ENGINE!$A:$A,0))),"")</f>
        <v>PRD-002</v>
      </c>
      <c r="C5" s="137" t="str">
        <f t="array" ref="C5">IFERROR(IF(A5="","",INDEX(HPP_ENGINE!$C:$C,MATCH(A5,HPP_ENGINE!$A:$A,0))),"")</f>
        <v>Gamis Velvet Bordir</v>
      </c>
      <c r="D5" s="115">
        <f t="array" ref="D5">IFERROR(IF(A5="",0,INDEX(PRODUCTION_PLAN!$D:$D,MATCH(A5,PRODUCTION_PLAN!$A:$A,0))),0)</f>
        <v>200</v>
      </c>
      <c r="E5" s="115">
        <f t="array" ref="E5">IFERROR(IF(A5="",0,INDEX(HPP_ENGINE!$D:$D,MATCH(A5,HPP_ENGINE!$A:$A,0))),0)</f>
        <v>185</v>
      </c>
      <c r="F5" s="115">
        <f>IFERROR(IF(A5="",0,SUMIFS(SALES_TRACKER!$E$4:$E$1003,SALES_TRACKER!$B$4:$B$1003,A5)),0)</f>
        <v>0</v>
      </c>
      <c r="G5" s="115">
        <f t="shared" si="1"/>
        <v>185</v>
      </c>
      <c r="H5" s="115">
        <f t="array" ref="H5">IFERROR(IF(A5="",0,INDEX(HPP_ENGINE!$I:$I,MATCH(A5,HPP_ENGINE!$A:$A,0))),0)</f>
        <v>45628000</v>
      </c>
      <c r="I5" s="115">
        <f>IFERROR(IF(A5="",0,SUMIFS(SALES_TRACKER!$G$4:$G$1003,SALES_TRACKER!$B$4:$B$1003,A5)),0)</f>
        <v>0</v>
      </c>
      <c r="J5" s="114">
        <f t="shared" si="2"/>
        <v>-45628000</v>
      </c>
      <c r="K5" s="133">
        <f t="shared" si="3"/>
        <v>-1</v>
      </c>
      <c r="L5" s="133">
        <f t="shared" si="4"/>
        <v>-1</v>
      </c>
      <c r="M5" s="133">
        <f t="shared" si="5"/>
        <v>0</v>
      </c>
      <c r="N5" s="76" t="str">
        <f>IFERROR(IF(A5="","—",IF(COUNTIF(HPP_ENGINE!$A$4:$A$203,A5)=0,"⚠ BELUM DI HPP",IF(E5=0,"PLANNING",IF(M5&gt;=1,"SOLD OUT",IF(M5&gt;=0.7,"ON TRACK",IF(M5&gt;=0.3,"SLOW MOVE",IF(M5&gt;0,"STUCK","BELUM TERJUAL"))))))),"—")</f>
        <v>BELUM TERJUAL</v>
      </c>
    </row>
    <row r="6" ht="18.75" customHeight="1">
      <c r="A6" s="77" t="s">
        <v>363</v>
      </c>
      <c r="B6" s="116" t="str">
        <f t="array" ref="B6">IFERROR(IF(A6="","",INDEX(HPP_ENGINE!$B:$B,MATCH(A6,HPP_ENGINE!$A:$A,0))),"")</f>
        <v>PRD-003</v>
      </c>
      <c r="C6" s="135" t="str">
        <f t="array" ref="C6">IFERROR(IF(A6="","",INDEX(HPP_ENGINE!$C:$C,MATCH(A6,HPP_ENGINE!$A:$A,0))),"")</f>
        <v>Kaftan Silk Premium</v>
      </c>
      <c r="D6" s="119">
        <f t="array" ref="D6">IFERROR(IF(A6="",0,INDEX(PRODUCTION_PLAN!$D:$D,MATCH(A6,PRODUCTION_PLAN!$A:$A,0))),0)</f>
        <v>80</v>
      </c>
      <c r="E6" s="119">
        <f t="array" ref="E6">IFERROR(IF(A6="",0,INDEX(HPP_ENGINE!$D:$D,MATCH(A6,HPP_ENGINE!$A:$A,0))),0)</f>
        <v>80</v>
      </c>
      <c r="F6" s="119">
        <f>IFERROR(IF(A6="",0,SUMIFS(SALES_TRACKER!$E$4:$E$1003,SALES_TRACKER!$B$4:$B$1003,A6)),0)</f>
        <v>0</v>
      </c>
      <c r="G6" s="119">
        <f t="shared" si="1"/>
        <v>80</v>
      </c>
      <c r="H6" s="119">
        <f t="array" ref="H6">IFERROR(IF(A6="",0,INDEX(HPP_ENGINE!$I:$I,MATCH(A6,HPP_ENGINE!$A:$A,0))),0)</f>
        <v>22152000</v>
      </c>
      <c r="I6" s="119">
        <f>IFERROR(IF(A6="",0,SUMIFS(SALES_TRACKER!$G$4:$G$1003,SALES_TRACKER!$B$4:$B$1003,A6)),0)</f>
        <v>0</v>
      </c>
      <c r="J6" s="118">
        <f t="shared" si="2"/>
        <v>-22152000</v>
      </c>
      <c r="K6" s="136">
        <f t="shared" si="3"/>
        <v>-1</v>
      </c>
      <c r="L6" s="136">
        <f t="shared" si="4"/>
        <v>-1</v>
      </c>
      <c r="M6" s="136">
        <f t="shared" si="5"/>
        <v>0</v>
      </c>
      <c r="N6" s="81" t="str">
        <f>IFERROR(IF(A6="","—",IF(COUNTIF(HPP_ENGINE!$A$4:$A$203,A6)=0,"⚠ BELUM DI HPP",IF(E6=0,"PLANNING",IF(M6&gt;=1,"SOLD OUT",IF(M6&gt;=0.7,"ON TRACK",IF(M6&gt;=0.3,"SLOW MOVE",IF(M6&gt;0,"STUCK","BELUM TERJUAL"))))))),"—")</f>
        <v>BELUM TERJUAL</v>
      </c>
    </row>
    <row r="7" ht="18.75" customHeight="1">
      <c r="A7" s="72" t="s">
        <v>364</v>
      </c>
      <c r="B7" s="112" t="str">
        <f t="array" ref="B7">IFERROR(IF(A7="","",INDEX(HPP_ENGINE!$B:$B,MATCH(A7,HPP_ENGINE!$A:$A,0))),"")</f>
        <v>PRD-004</v>
      </c>
      <c r="C7" s="137" t="str">
        <f t="array" ref="C7">IFERROR(IF(A7="","",INDEX(HPP_ENGINE!$C:$C,MATCH(A7,HPP_ENGINE!$A:$A,0))),"")</f>
        <v>Tunik Casual Linen</v>
      </c>
      <c r="D7" s="115">
        <f t="array" ref="D7">IFERROR(IF(A7="",0,INDEX(PRODUCTION_PLAN!$D:$D,MATCH(A7,PRODUCTION_PLAN!$A:$A,0))),0)</f>
        <v>120</v>
      </c>
      <c r="E7" s="115">
        <f t="array" ref="E7">IFERROR(IF(A7="",0,INDEX(HPP_ENGINE!$D:$D,MATCH(A7,HPP_ENGINE!$A:$A,0))),0)</f>
        <v>120</v>
      </c>
      <c r="F7" s="115">
        <f>IFERROR(IF(A7="",0,SUMIFS(SALES_TRACKER!$E$4:$E$1003,SALES_TRACKER!$B$4:$B$1003,A7)),0)</f>
        <v>120</v>
      </c>
      <c r="G7" s="115">
        <f t="shared" si="1"/>
        <v>0</v>
      </c>
      <c r="H7" s="115">
        <f t="array" ref="H7">IFERROR(IF(A7="",0,INDEX(HPP_ENGINE!$I:$I,MATCH(A7,HPP_ENGINE!$A:$A,0))),0)</f>
        <v>14898000</v>
      </c>
      <c r="I7" s="115">
        <f>IFERROR(IF(A7="",0,SUMIFS(SALES_TRACKER!$G$4:$G$1003,SALES_TRACKER!$B$4:$B$1003,A7)),0)</f>
        <v>27000000</v>
      </c>
      <c r="J7" s="114">
        <f t="shared" si="2"/>
        <v>12102000</v>
      </c>
      <c r="K7" s="133">
        <f t="shared" si="3"/>
        <v>0.4482222222</v>
      </c>
      <c r="L7" s="133">
        <f t="shared" si="4"/>
        <v>0.8123238019</v>
      </c>
      <c r="M7" s="133">
        <f t="shared" si="5"/>
        <v>1</v>
      </c>
      <c r="N7" s="76" t="str">
        <f>IFERROR(IF(A7="","—",IF(COUNTIF(HPP_ENGINE!$A$4:$A$203,A7)=0,"⚠ BELUM DI HPP",IF(E7=0,"PLANNING",IF(M7&gt;=1,"SOLD OUT",IF(M7&gt;=0.7,"ON TRACK",IF(M7&gt;=0.3,"SLOW MOVE",IF(M7&gt;0,"STUCK","BELUM TERJUAL"))))))),"—")</f>
        <v>SOLD OUT</v>
      </c>
    </row>
    <row r="8" ht="18.75" customHeight="1">
      <c r="A8" s="77" t="s">
        <v>365</v>
      </c>
      <c r="B8" s="116" t="str">
        <f t="array" ref="B8">IFERROR(IF(A8="","",INDEX(HPP_ENGINE!$B:$B,MATCH(A8,HPP_ENGINE!$A:$A,0))),"")</f>
        <v>PRD-005</v>
      </c>
      <c r="C8" s="135" t="str">
        <f t="array" ref="C8">IFERROR(IF(A8="","",INDEX(HPP_ENGINE!$C:$C,MATCH(A8,HPP_ENGINE!$A:$A,0))),"")</f>
        <v>Dress Batik Modern</v>
      </c>
      <c r="D8" s="119">
        <f t="array" ref="D8">IFERROR(IF(A8="",0,INDEX(PRODUCTION_PLAN!$D:$D,MATCH(A8,PRODUCTION_PLAN!$A:$A,0))),0)</f>
        <v>100</v>
      </c>
      <c r="E8" s="119">
        <f t="array" ref="E8">IFERROR(IF(A8="",0,INDEX(HPP_ENGINE!$D:$D,MATCH(A8,HPP_ENGINE!$A:$A,0))),0)</f>
        <v>50</v>
      </c>
      <c r="F8" s="119">
        <f>IFERROR(IF(A8="",0,SUMIFS(SALES_TRACKER!$E$4:$E$1003,SALES_TRACKER!$B$4:$B$1003,A8)),0)</f>
        <v>0</v>
      </c>
      <c r="G8" s="119">
        <f t="shared" si="1"/>
        <v>50</v>
      </c>
      <c r="H8" s="119">
        <f t="array" ref="H8">IFERROR(IF(A8="",0,INDEX(HPP_ENGINE!$I:$I,MATCH(A8,HPP_ENGINE!$A:$A,0))),0)</f>
        <v>15800000</v>
      </c>
      <c r="I8" s="119">
        <f>IFERROR(IF(A8="",0,SUMIFS(SALES_TRACKER!$G$4:$G$1003,SALES_TRACKER!$B$4:$B$1003,A8)),0)</f>
        <v>0</v>
      </c>
      <c r="J8" s="118">
        <f t="shared" si="2"/>
        <v>-15800000</v>
      </c>
      <c r="K8" s="136">
        <f t="shared" si="3"/>
        <v>-1</v>
      </c>
      <c r="L8" s="136">
        <f t="shared" si="4"/>
        <v>-1</v>
      </c>
      <c r="M8" s="136">
        <f t="shared" si="5"/>
        <v>0</v>
      </c>
      <c r="N8" s="81" t="str">
        <f>IFERROR(IF(A8="","—",IF(COUNTIF(HPP_ENGINE!$A$4:$A$203,A8)=0,"⚠ BELUM DI HPP",IF(E8=0,"PLANNING",IF(M8&gt;=1,"SOLD OUT",IF(M8&gt;=0.7,"ON TRACK",IF(M8&gt;=0.3,"SLOW MOVE",IF(M8&gt;0,"STUCK","BELUM TERJUAL"))))))),"—")</f>
        <v>BELUM TERJUAL</v>
      </c>
    </row>
    <row r="9" ht="18.75" customHeight="1">
      <c r="A9" s="72" t="s">
        <v>366</v>
      </c>
      <c r="B9" s="112" t="str">
        <f t="array" ref="B9">IFERROR(IF(A9="","",INDEX(HPP_ENGINE!$B:$B,MATCH(A9,HPP_ENGINE!$A:$A,0))),"")</f>
        <v>PRD-001</v>
      </c>
      <c r="C9" s="137" t="str">
        <f t="array" ref="C9">IFERROR(IF(A9="","",INDEX(HPP_ENGINE!$C:$C,MATCH(A9,HPP_ENGINE!$A:$A,0))),"")</f>
        <v>Abaya Premium Linen</v>
      </c>
      <c r="D9" s="115">
        <f t="array" ref="D9">IFERROR(IF(A9="",0,INDEX(PRODUCTION_PLAN!$D:$D,MATCH(A9,PRODUCTION_PLAN!$A:$A,0))),0)</f>
        <v>250</v>
      </c>
      <c r="E9" s="115">
        <f t="array" ref="E9">IFERROR(IF(A9="",0,INDEX(HPP_ENGINE!$D:$D,MATCH(A9,HPP_ENGINE!$A:$A,0))),0)</f>
        <v>240</v>
      </c>
      <c r="F9" s="115">
        <f>IFERROR(IF(A9="",0,SUMIFS(SALES_TRACKER!$E$4:$E$1003,SALES_TRACKER!$B$4:$B$1003,A9)),0)</f>
        <v>100</v>
      </c>
      <c r="G9" s="115">
        <f t="shared" si="1"/>
        <v>140</v>
      </c>
      <c r="H9" s="115">
        <f t="array" ref="H9">IFERROR(IF(A9="",0,INDEX(HPP_ENGINE!$I:$I,MATCH(A9,HPP_ENGINE!$A:$A,0))),0)</f>
        <v>47715000</v>
      </c>
      <c r="I9" s="115">
        <f>IFERROR(IF(A9="",0,SUMIFS(SALES_TRACKER!$G$4:$G$1003,SALES_TRACKER!$B$4:$B$1003,A9)),0)</f>
        <v>35000000</v>
      </c>
      <c r="J9" s="114">
        <f t="shared" si="2"/>
        <v>-12715000</v>
      </c>
      <c r="K9" s="133">
        <f t="shared" si="3"/>
        <v>-0.3632857143</v>
      </c>
      <c r="L9" s="133">
        <f t="shared" si="4"/>
        <v>-0.2664780467</v>
      </c>
      <c r="M9" s="133">
        <f t="shared" si="5"/>
        <v>0.4166666667</v>
      </c>
      <c r="N9" s="76" t="str">
        <f>IFERROR(IF(A9="","—",IF(COUNTIF(HPP_ENGINE!$A$4:$A$203,A9)=0,"⚠ BELUM DI HPP",IF(E9=0,"PLANNING",IF(M9&gt;=1,"SOLD OUT",IF(M9&gt;=0.7,"ON TRACK",IF(M9&gt;=0.3,"SLOW MOVE",IF(M9&gt;0,"STUCK","BELUM TERJUAL"))))))),"—")</f>
        <v>SLOW MOVE</v>
      </c>
    </row>
    <row r="10" ht="18.75" customHeight="1">
      <c r="A10" s="77" t="s">
        <v>367</v>
      </c>
      <c r="B10" s="116" t="str">
        <f t="array" ref="B10">IFERROR(IF(A10="","",INDEX(HPP_ENGINE!$B:$B,MATCH(A10,HPP_ENGINE!$A:$A,0))),"")</f>
        <v>PRD-002</v>
      </c>
      <c r="C10" s="135" t="str">
        <f t="array" ref="C10">IFERROR(IF(A10="","",INDEX(HPP_ENGINE!$C:$C,MATCH(A10,HPP_ENGINE!$A:$A,0))),"")</f>
        <v>Gamis Velvet Bordir</v>
      </c>
      <c r="D10" s="119">
        <f t="array" ref="D10">IFERROR(IF(A10="",0,INDEX(PRODUCTION_PLAN!$D:$D,MATCH(A10,PRODUCTION_PLAN!$A:$A,0))),0)</f>
        <v>180</v>
      </c>
      <c r="E10" s="119">
        <f t="array" ref="E10">IFERROR(IF(A10="",0,INDEX(HPP_ENGINE!$D:$D,MATCH(A10,HPP_ENGINE!$A:$A,0))),0)</f>
        <v>170</v>
      </c>
      <c r="F10" s="119">
        <f>IFERROR(IF(A10="",0,SUMIFS(SALES_TRACKER!$E$4:$E$1003,SALES_TRACKER!$B$4:$B$1003,A10)),0)</f>
        <v>0</v>
      </c>
      <c r="G10" s="119">
        <f t="shared" si="1"/>
        <v>170</v>
      </c>
      <c r="H10" s="119">
        <f t="array" ref="H10">IFERROR(IF(A10="",0,INDEX(HPP_ENGINE!$I:$I,MATCH(A10,HPP_ENGINE!$A:$A,0))),0)</f>
        <v>41021000</v>
      </c>
      <c r="I10" s="119">
        <f>IFERROR(IF(A10="",0,SUMIFS(SALES_TRACKER!$G$4:$G$1003,SALES_TRACKER!$B$4:$B$1003,A10)),0)</f>
        <v>0</v>
      </c>
      <c r="J10" s="118">
        <f t="shared" si="2"/>
        <v>-41021000</v>
      </c>
      <c r="K10" s="136">
        <f t="shared" si="3"/>
        <v>-1</v>
      </c>
      <c r="L10" s="136">
        <f t="shared" si="4"/>
        <v>-1</v>
      </c>
      <c r="M10" s="136">
        <f t="shared" si="5"/>
        <v>0</v>
      </c>
      <c r="N10" s="81" t="str">
        <f>IFERROR(IF(A10="","—",IF(COUNTIF(HPP_ENGINE!$A$4:$A$203,A10)=0,"⚠ BELUM DI HPP",IF(E10=0,"PLANNING",IF(M10&gt;=1,"SOLD OUT",IF(M10&gt;=0.7,"ON TRACK",IF(M10&gt;=0.3,"SLOW MOVE",IF(M10&gt;0,"STUCK","BELUM TERJUAL"))))))),"—")</f>
        <v>BELUM TERJUAL</v>
      </c>
    </row>
    <row r="11" ht="18.75" customHeight="1">
      <c r="A11" s="72"/>
      <c r="B11" s="112" t="str">
        <f t="array" ref="B11">IFERROR(IF(A11="","",INDEX(HPP_ENGINE!$B:$B,MATCH(A11,HPP_ENGINE!$A:$A,0))),"")</f>
        <v/>
      </c>
      <c r="C11" s="137" t="str">
        <f t="array" ref="C11">IFERROR(IF(A11="","",INDEX(HPP_ENGINE!$C:$C,MATCH(A11,HPP_ENGINE!$A:$A,0))),"")</f>
        <v/>
      </c>
      <c r="D11" s="115">
        <f t="array" ref="D11">IFERROR(IF(A11="",0,INDEX(PRODUCTION_PLAN!$D:$D,MATCH(A11,PRODUCTION_PLAN!$A:$A,0))),0)</f>
        <v>0</v>
      </c>
      <c r="E11" s="115">
        <f t="array" ref="E11">IFERROR(IF(A11="",0,INDEX(HPP_ENGINE!$D:$D,MATCH(A11,HPP_ENGINE!$A:$A,0))),0)</f>
        <v>0</v>
      </c>
      <c r="F11" s="115">
        <f>IFERROR(IF(A11="",0,SUMIFS(SALES_TRACKER!$E$4:$E$1003,SALES_TRACKER!$B$4:$B$1003,A11)),0)</f>
        <v>0</v>
      </c>
      <c r="G11" s="115">
        <f t="shared" si="1"/>
        <v>0</v>
      </c>
      <c r="H11" s="115">
        <f t="array" ref="H11">IFERROR(IF(A11="",0,INDEX(HPP_ENGINE!$I:$I,MATCH(A11,HPP_ENGINE!$A:$A,0))),0)</f>
        <v>0</v>
      </c>
      <c r="I11" s="115">
        <f>IFERROR(IF(A11="",0,SUMIFS(SALES_TRACKER!$G$4:$G$1003,SALES_TRACKER!$B$4:$B$1003,A11)),0)</f>
        <v>0</v>
      </c>
      <c r="J11" s="114">
        <f t="shared" si="2"/>
        <v>0</v>
      </c>
      <c r="K11" s="133">
        <f t="shared" si="3"/>
        <v>0</v>
      </c>
      <c r="L11" s="133">
        <f t="shared" si="4"/>
        <v>0</v>
      </c>
      <c r="M11" s="133">
        <f t="shared" si="5"/>
        <v>0</v>
      </c>
      <c r="N11" s="76" t="str">
        <f>IFERROR(IF(A11="","—",IF(COUNTIF(HPP_ENGINE!$A$4:$A$203,A11)=0,"⚠ BELUM DI HPP",IF(E11=0,"PLANNING",IF(M11&gt;=1,"SOLD OUT",IF(M11&gt;=0.7,"ON TRACK",IF(M11&gt;=0.3,"SLOW MOVE",IF(M11&gt;0,"STUCK","BELUM TERJUAL"))))))),"—")</f>
        <v>—</v>
      </c>
    </row>
    <row r="12" ht="18.75" customHeight="1">
      <c r="A12" s="77"/>
      <c r="B12" s="116" t="str">
        <f t="array" ref="B12">IFERROR(IF(A12="","",INDEX(HPP_ENGINE!$B:$B,MATCH(A12,HPP_ENGINE!$A:$A,0))),"")</f>
        <v/>
      </c>
      <c r="C12" s="135" t="str">
        <f t="array" ref="C12">IFERROR(IF(A12="","",INDEX(HPP_ENGINE!$C:$C,MATCH(A12,HPP_ENGINE!$A:$A,0))),"")</f>
        <v/>
      </c>
      <c r="D12" s="119">
        <f t="array" ref="D12">IFERROR(IF(A12="",0,INDEX(PRODUCTION_PLAN!$D:$D,MATCH(A12,PRODUCTION_PLAN!$A:$A,0))),0)</f>
        <v>0</v>
      </c>
      <c r="E12" s="119">
        <f t="array" ref="E12">IFERROR(IF(A12="",0,INDEX(HPP_ENGINE!$D:$D,MATCH(A12,HPP_ENGINE!$A:$A,0))),0)</f>
        <v>0</v>
      </c>
      <c r="F12" s="119">
        <f>IFERROR(IF(A12="",0,SUMIFS(SALES_TRACKER!$E$4:$E$1003,SALES_TRACKER!$B$4:$B$1003,A12)),0)</f>
        <v>0</v>
      </c>
      <c r="G12" s="119">
        <f t="shared" si="1"/>
        <v>0</v>
      </c>
      <c r="H12" s="119">
        <f t="array" ref="H12">IFERROR(IF(A12="",0,INDEX(HPP_ENGINE!$I:$I,MATCH(A12,HPP_ENGINE!$A:$A,0))),0)</f>
        <v>0</v>
      </c>
      <c r="I12" s="119">
        <f>IFERROR(IF(A12="",0,SUMIFS(SALES_TRACKER!$G$4:$G$1003,SALES_TRACKER!$B$4:$B$1003,A12)),0)</f>
        <v>0</v>
      </c>
      <c r="J12" s="118">
        <f t="shared" si="2"/>
        <v>0</v>
      </c>
      <c r="K12" s="136">
        <f t="shared" si="3"/>
        <v>0</v>
      </c>
      <c r="L12" s="136">
        <f t="shared" si="4"/>
        <v>0</v>
      </c>
      <c r="M12" s="136">
        <f t="shared" si="5"/>
        <v>0</v>
      </c>
      <c r="N12" s="81" t="str">
        <f>IFERROR(IF(A12="","—",IF(COUNTIF(HPP_ENGINE!$A$4:$A$203,A12)=0,"⚠ BELUM DI HPP",IF(E12=0,"PLANNING",IF(M12&gt;=1,"SOLD OUT",IF(M12&gt;=0.7,"ON TRACK",IF(M12&gt;=0.3,"SLOW MOVE",IF(M12&gt;0,"STUCK","BELUM TERJUAL"))))))),"—")</f>
        <v>—</v>
      </c>
    </row>
    <row r="13" ht="18.75" customHeight="1">
      <c r="A13" s="72"/>
      <c r="B13" s="112" t="str">
        <f t="array" ref="B13">IFERROR(IF(A13="","",INDEX(HPP_ENGINE!$B:$B,MATCH(A13,HPP_ENGINE!$A:$A,0))),"")</f>
        <v/>
      </c>
      <c r="C13" s="137" t="str">
        <f t="array" ref="C13">IFERROR(IF(A13="","",INDEX(HPP_ENGINE!$C:$C,MATCH(A13,HPP_ENGINE!$A:$A,0))),"")</f>
        <v/>
      </c>
      <c r="D13" s="115">
        <f t="array" ref="D13">IFERROR(IF(A13="",0,INDEX(PRODUCTION_PLAN!$D:$D,MATCH(A13,PRODUCTION_PLAN!$A:$A,0))),0)</f>
        <v>0</v>
      </c>
      <c r="E13" s="115">
        <f t="array" ref="E13">IFERROR(IF(A13="",0,INDEX(HPP_ENGINE!$D:$D,MATCH(A13,HPP_ENGINE!$A:$A,0))),0)</f>
        <v>0</v>
      </c>
      <c r="F13" s="115">
        <f>IFERROR(IF(A13="",0,SUMIFS(SALES_TRACKER!$E$4:$E$1003,SALES_TRACKER!$B$4:$B$1003,A13)),0)</f>
        <v>0</v>
      </c>
      <c r="G13" s="115">
        <f t="shared" si="1"/>
        <v>0</v>
      </c>
      <c r="H13" s="115">
        <f t="array" ref="H13">IFERROR(IF(A13="",0,INDEX(HPP_ENGINE!$I:$I,MATCH(A13,HPP_ENGINE!$A:$A,0))),0)</f>
        <v>0</v>
      </c>
      <c r="I13" s="115">
        <f>IFERROR(IF(A13="",0,SUMIFS(SALES_TRACKER!$G$4:$G$1003,SALES_TRACKER!$B$4:$B$1003,A13)),0)</f>
        <v>0</v>
      </c>
      <c r="J13" s="114">
        <f t="shared" si="2"/>
        <v>0</v>
      </c>
      <c r="K13" s="133">
        <f t="shared" si="3"/>
        <v>0</v>
      </c>
      <c r="L13" s="133">
        <f t="shared" si="4"/>
        <v>0</v>
      </c>
      <c r="M13" s="133">
        <f t="shared" si="5"/>
        <v>0</v>
      </c>
      <c r="N13" s="76" t="str">
        <f>IFERROR(IF(A13="","—",IF(COUNTIF(HPP_ENGINE!$A$4:$A$203,A13)=0,"⚠ BELUM DI HPP",IF(E13=0,"PLANNING",IF(M13&gt;=1,"SOLD OUT",IF(M13&gt;=0.7,"ON TRACK",IF(M13&gt;=0.3,"SLOW MOVE",IF(M13&gt;0,"STUCK","BELUM TERJUAL"))))))),"—")</f>
        <v>—</v>
      </c>
    </row>
    <row r="14" ht="18.75" customHeight="1">
      <c r="A14" s="77"/>
      <c r="B14" s="116" t="str">
        <f t="array" ref="B14">IFERROR(IF(A14="","",INDEX(HPP_ENGINE!$B:$B,MATCH(A14,HPP_ENGINE!$A:$A,0))),"")</f>
        <v/>
      </c>
      <c r="C14" s="135" t="str">
        <f t="array" ref="C14">IFERROR(IF(A14="","",INDEX(HPP_ENGINE!$C:$C,MATCH(A14,HPP_ENGINE!$A:$A,0))),"")</f>
        <v/>
      </c>
      <c r="D14" s="119">
        <f t="array" ref="D14">IFERROR(IF(A14="",0,INDEX(PRODUCTION_PLAN!$D:$D,MATCH(A14,PRODUCTION_PLAN!$A:$A,0))),0)</f>
        <v>0</v>
      </c>
      <c r="E14" s="119">
        <f t="array" ref="E14">IFERROR(IF(A14="",0,INDEX(HPP_ENGINE!$D:$D,MATCH(A14,HPP_ENGINE!$A:$A,0))),0)</f>
        <v>0</v>
      </c>
      <c r="F14" s="119">
        <f>IFERROR(IF(A14="",0,SUMIFS(SALES_TRACKER!$E$4:$E$1003,SALES_TRACKER!$B$4:$B$1003,A14)),0)</f>
        <v>0</v>
      </c>
      <c r="G14" s="119">
        <f t="shared" si="1"/>
        <v>0</v>
      </c>
      <c r="H14" s="119">
        <f t="array" ref="H14">IFERROR(IF(A14="",0,INDEX(HPP_ENGINE!$I:$I,MATCH(A14,HPP_ENGINE!$A:$A,0))),0)</f>
        <v>0</v>
      </c>
      <c r="I14" s="119">
        <f>IFERROR(IF(A14="",0,SUMIFS(SALES_TRACKER!$G$4:$G$1003,SALES_TRACKER!$B$4:$B$1003,A14)),0)</f>
        <v>0</v>
      </c>
      <c r="J14" s="118">
        <f t="shared" si="2"/>
        <v>0</v>
      </c>
      <c r="K14" s="136">
        <f t="shared" si="3"/>
        <v>0</v>
      </c>
      <c r="L14" s="136">
        <f t="shared" si="4"/>
        <v>0</v>
      </c>
      <c r="M14" s="136">
        <f t="shared" si="5"/>
        <v>0</v>
      </c>
      <c r="N14" s="81" t="str">
        <f>IFERROR(IF(A14="","—",IF(COUNTIF(HPP_ENGINE!$A$4:$A$203,A14)=0,"⚠ BELUM DI HPP",IF(E14=0,"PLANNING",IF(M14&gt;=1,"SOLD OUT",IF(M14&gt;=0.7,"ON TRACK",IF(M14&gt;=0.3,"SLOW MOVE",IF(M14&gt;0,"STUCK","BELUM TERJUAL"))))))),"—")</f>
        <v>—</v>
      </c>
    </row>
    <row r="15" ht="18.75" customHeight="1">
      <c r="A15" s="72"/>
      <c r="B15" s="112" t="str">
        <f t="array" ref="B15">IFERROR(IF(A15="","",INDEX(HPP_ENGINE!$B:$B,MATCH(A15,HPP_ENGINE!$A:$A,0))),"")</f>
        <v/>
      </c>
      <c r="C15" s="137" t="str">
        <f t="array" ref="C15">IFERROR(IF(A15="","",INDEX(HPP_ENGINE!$C:$C,MATCH(A15,HPP_ENGINE!$A:$A,0))),"")</f>
        <v/>
      </c>
      <c r="D15" s="115">
        <f t="array" ref="D15">IFERROR(IF(A15="",0,INDEX(PRODUCTION_PLAN!$D:$D,MATCH(A15,PRODUCTION_PLAN!$A:$A,0))),0)</f>
        <v>0</v>
      </c>
      <c r="E15" s="115">
        <f t="array" ref="E15">IFERROR(IF(A15="",0,INDEX(HPP_ENGINE!$D:$D,MATCH(A15,HPP_ENGINE!$A:$A,0))),0)</f>
        <v>0</v>
      </c>
      <c r="F15" s="115">
        <f>IFERROR(IF(A15="",0,SUMIFS(SALES_TRACKER!$E$4:$E$1003,SALES_TRACKER!$B$4:$B$1003,A15)),0)</f>
        <v>0</v>
      </c>
      <c r="G15" s="115">
        <f t="shared" si="1"/>
        <v>0</v>
      </c>
      <c r="H15" s="115">
        <f t="array" ref="H15">IFERROR(IF(A15="",0,INDEX(HPP_ENGINE!$I:$I,MATCH(A15,HPP_ENGINE!$A:$A,0))),0)</f>
        <v>0</v>
      </c>
      <c r="I15" s="115">
        <f>IFERROR(IF(A15="",0,SUMIFS(SALES_TRACKER!$G$4:$G$1003,SALES_TRACKER!$B$4:$B$1003,A15)),0)</f>
        <v>0</v>
      </c>
      <c r="J15" s="114">
        <f t="shared" si="2"/>
        <v>0</v>
      </c>
      <c r="K15" s="133">
        <f t="shared" si="3"/>
        <v>0</v>
      </c>
      <c r="L15" s="133">
        <f t="shared" si="4"/>
        <v>0</v>
      </c>
      <c r="M15" s="133">
        <f t="shared" si="5"/>
        <v>0</v>
      </c>
      <c r="N15" s="76" t="str">
        <f>IFERROR(IF(A15="","—",IF(COUNTIF(HPP_ENGINE!$A$4:$A$203,A15)=0,"⚠ BELUM DI HPP",IF(E15=0,"PLANNING",IF(M15&gt;=1,"SOLD OUT",IF(M15&gt;=0.7,"ON TRACK",IF(M15&gt;=0.3,"SLOW MOVE",IF(M15&gt;0,"STUCK","BELUM TERJUAL"))))))),"—")</f>
        <v>—</v>
      </c>
    </row>
    <row r="16" ht="18.75" customHeight="1">
      <c r="A16" s="77"/>
      <c r="B16" s="116" t="str">
        <f t="array" ref="B16">IFERROR(IF(A16="","",INDEX(HPP_ENGINE!$B:$B,MATCH(A16,HPP_ENGINE!$A:$A,0))),"")</f>
        <v/>
      </c>
      <c r="C16" s="135" t="str">
        <f t="array" ref="C16">IFERROR(IF(A16="","",INDEX(HPP_ENGINE!$C:$C,MATCH(A16,HPP_ENGINE!$A:$A,0))),"")</f>
        <v/>
      </c>
      <c r="D16" s="119">
        <f t="array" ref="D16">IFERROR(IF(A16="",0,INDEX(PRODUCTION_PLAN!$D:$D,MATCH(A16,PRODUCTION_PLAN!$A:$A,0))),0)</f>
        <v>0</v>
      </c>
      <c r="E16" s="119">
        <f t="array" ref="E16">IFERROR(IF(A16="",0,INDEX(HPP_ENGINE!$D:$D,MATCH(A16,HPP_ENGINE!$A:$A,0))),0)</f>
        <v>0</v>
      </c>
      <c r="F16" s="119">
        <f>IFERROR(IF(A16="",0,SUMIFS(SALES_TRACKER!$E$4:$E$1003,SALES_TRACKER!$B$4:$B$1003,A16)),0)</f>
        <v>0</v>
      </c>
      <c r="G16" s="119">
        <f t="shared" si="1"/>
        <v>0</v>
      </c>
      <c r="H16" s="119">
        <f t="array" ref="H16">IFERROR(IF(A16="",0,INDEX(HPP_ENGINE!$I:$I,MATCH(A16,HPP_ENGINE!$A:$A,0))),0)</f>
        <v>0</v>
      </c>
      <c r="I16" s="119">
        <f>IFERROR(IF(A16="",0,SUMIFS(SALES_TRACKER!$G$4:$G$1003,SALES_TRACKER!$B$4:$B$1003,A16)),0)</f>
        <v>0</v>
      </c>
      <c r="J16" s="118">
        <f t="shared" si="2"/>
        <v>0</v>
      </c>
      <c r="K16" s="136">
        <f t="shared" si="3"/>
        <v>0</v>
      </c>
      <c r="L16" s="136">
        <f t="shared" si="4"/>
        <v>0</v>
      </c>
      <c r="M16" s="136">
        <f t="shared" si="5"/>
        <v>0</v>
      </c>
      <c r="N16" s="81" t="str">
        <f>IFERROR(IF(A16="","—",IF(COUNTIF(HPP_ENGINE!$A$4:$A$203,A16)=0,"⚠ BELUM DI HPP",IF(E16=0,"PLANNING",IF(M16&gt;=1,"SOLD OUT",IF(M16&gt;=0.7,"ON TRACK",IF(M16&gt;=0.3,"SLOW MOVE",IF(M16&gt;0,"STUCK","BELUM TERJUAL"))))))),"—")</f>
        <v>—</v>
      </c>
    </row>
    <row r="17" ht="18.75" customHeight="1">
      <c r="A17" s="72"/>
      <c r="B17" s="112" t="str">
        <f t="array" ref="B17">IFERROR(IF(A17="","",INDEX(HPP_ENGINE!$B:$B,MATCH(A17,HPP_ENGINE!$A:$A,0))),"")</f>
        <v/>
      </c>
      <c r="C17" s="137" t="str">
        <f t="array" ref="C17">IFERROR(IF(A17="","",INDEX(HPP_ENGINE!$C:$C,MATCH(A17,HPP_ENGINE!$A:$A,0))),"")</f>
        <v/>
      </c>
      <c r="D17" s="115">
        <f t="array" ref="D17">IFERROR(IF(A17="",0,INDEX(PRODUCTION_PLAN!$D:$D,MATCH(A17,PRODUCTION_PLAN!$A:$A,0))),0)</f>
        <v>0</v>
      </c>
      <c r="E17" s="115">
        <f t="array" ref="E17">IFERROR(IF(A17="",0,INDEX(HPP_ENGINE!$D:$D,MATCH(A17,HPP_ENGINE!$A:$A,0))),0)</f>
        <v>0</v>
      </c>
      <c r="F17" s="115">
        <f>IFERROR(IF(A17="",0,SUMIFS(SALES_TRACKER!$E$4:$E$1003,SALES_TRACKER!$B$4:$B$1003,A17)),0)</f>
        <v>0</v>
      </c>
      <c r="G17" s="115">
        <f t="shared" si="1"/>
        <v>0</v>
      </c>
      <c r="H17" s="115">
        <f t="array" ref="H17">IFERROR(IF(A17="",0,INDEX(HPP_ENGINE!$I:$I,MATCH(A17,HPP_ENGINE!$A:$A,0))),0)</f>
        <v>0</v>
      </c>
      <c r="I17" s="115">
        <f>IFERROR(IF(A17="",0,SUMIFS(SALES_TRACKER!$G$4:$G$1003,SALES_TRACKER!$B$4:$B$1003,A17)),0)</f>
        <v>0</v>
      </c>
      <c r="J17" s="114">
        <f t="shared" si="2"/>
        <v>0</v>
      </c>
      <c r="K17" s="133">
        <f t="shared" si="3"/>
        <v>0</v>
      </c>
      <c r="L17" s="133">
        <f t="shared" si="4"/>
        <v>0</v>
      </c>
      <c r="M17" s="133">
        <f t="shared" si="5"/>
        <v>0</v>
      </c>
      <c r="N17" s="76" t="str">
        <f>IFERROR(IF(A17="","—",IF(COUNTIF(HPP_ENGINE!$A$4:$A$203,A17)=0,"⚠ BELUM DI HPP",IF(E17=0,"PLANNING",IF(M17&gt;=1,"SOLD OUT",IF(M17&gt;=0.7,"ON TRACK",IF(M17&gt;=0.3,"SLOW MOVE",IF(M17&gt;0,"STUCK","BELUM TERJUAL"))))))),"—")</f>
        <v>—</v>
      </c>
    </row>
    <row r="18" ht="18.75" customHeight="1">
      <c r="A18" s="77"/>
      <c r="B18" s="116" t="str">
        <f t="array" ref="B18">IFERROR(IF(A18="","",INDEX(HPP_ENGINE!$B:$B,MATCH(A18,HPP_ENGINE!$A:$A,0))),"")</f>
        <v/>
      </c>
      <c r="C18" s="135" t="str">
        <f t="array" ref="C18">IFERROR(IF(A18="","",INDEX(HPP_ENGINE!$C:$C,MATCH(A18,HPP_ENGINE!$A:$A,0))),"")</f>
        <v/>
      </c>
      <c r="D18" s="119">
        <f t="array" ref="D18">IFERROR(IF(A18="",0,INDEX(PRODUCTION_PLAN!$D:$D,MATCH(A18,PRODUCTION_PLAN!$A:$A,0))),0)</f>
        <v>0</v>
      </c>
      <c r="E18" s="119">
        <f t="array" ref="E18">IFERROR(IF(A18="",0,INDEX(HPP_ENGINE!$D:$D,MATCH(A18,HPP_ENGINE!$A:$A,0))),0)</f>
        <v>0</v>
      </c>
      <c r="F18" s="119">
        <f>IFERROR(IF(A18="",0,SUMIFS(SALES_TRACKER!$E$4:$E$1003,SALES_TRACKER!$B$4:$B$1003,A18)),0)</f>
        <v>0</v>
      </c>
      <c r="G18" s="119">
        <f t="shared" si="1"/>
        <v>0</v>
      </c>
      <c r="H18" s="119">
        <f t="array" ref="H18">IFERROR(IF(A18="",0,INDEX(HPP_ENGINE!$I:$I,MATCH(A18,HPP_ENGINE!$A:$A,0))),0)</f>
        <v>0</v>
      </c>
      <c r="I18" s="119">
        <f>IFERROR(IF(A18="",0,SUMIFS(SALES_TRACKER!$G$4:$G$1003,SALES_TRACKER!$B$4:$B$1003,A18)),0)</f>
        <v>0</v>
      </c>
      <c r="J18" s="118">
        <f t="shared" si="2"/>
        <v>0</v>
      </c>
      <c r="K18" s="136">
        <f t="shared" si="3"/>
        <v>0</v>
      </c>
      <c r="L18" s="136">
        <f t="shared" si="4"/>
        <v>0</v>
      </c>
      <c r="M18" s="136">
        <f t="shared" si="5"/>
        <v>0</v>
      </c>
      <c r="N18" s="81" t="str">
        <f>IFERROR(IF(A18="","—",IF(COUNTIF(HPP_ENGINE!$A$4:$A$203,A18)=0,"⚠ BELUM DI HPP",IF(E18=0,"PLANNING",IF(M18&gt;=1,"SOLD OUT",IF(M18&gt;=0.7,"ON TRACK",IF(M18&gt;=0.3,"SLOW MOVE",IF(M18&gt;0,"STUCK","BELUM TERJUAL"))))))),"—")</f>
        <v>—</v>
      </c>
    </row>
    <row r="19" ht="18.75" customHeight="1">
      <c r="A19" s="72"/>
      <c r="B19" s="112" t="str">
        <f t="array" ref="B19">IFERROR(IF(A19="","",INDEX(HPP_ENGINE!$B:$B,MATCH(A19,HPP_ENGINE!$A:$A,0))),"")</f>
        <v/>
      </c>
      <c r="C19" s="137" t="str">
        <f t="array" ref="C19">IFERROR(IF(A19="","",INDEX(HPP_ENGINE!$C:$C,MATCH(A19,HPP_ENGINE!$A:$A,0))),"")</f>
        <v/>
      </c>
      <c r="D19" s="115">
        <f t="array" ref="D19">IFERROR(IF(A19="",0,INDEX(PRODUCTION_PLAN!$D:$D,MATCH(A19,PRODUCTION_PLAN!$A:$A,0))),0)</f>
        <v>0</v>
      </c>
      <c r="E19" s="115">
        <f t="array" ref="E19">IFERROR(IF(A19="",0,INDEX(HPP_ENGINE!$D:$D,MATCH(A19,HPP_ENGINE!$A:$A,0))),0)</f>
        <v>0</v>
      </c>
      <c r="F19" s="115">
        <f>IFERROR(IF(A19="",0,SUMIFS(SALES_TRACKER!$E$4:$E$1003,SALES_TRACKER!$B$4:$B$1003,A19)),0)</f>
        <v>0</v>
      </c>
      <c r="G19" s="115">
        <f t="shared" si="1"/>
        <v>0</v>
      </c>
      <c r="H19" s="115">
        <f t="array" ref="H19">IFERROR(IF(A19="",0,INDEX(HPP_ENGINE!$I:$I,MATCH(A19,HPP_ENGINE!$A:$A,0))),0)</f>
        <v>0</v>
      </c>
      <c r="I19" s="115">
        <f>IFERROR(IF(A19="",0,SUMIFS(SALES_TRACKER!$G$4:$G$1003,SALES_TRACKER!$B$4:$B$1003,A19)),0)</f>
        <v>0</v>
      </c>
      <c r="J19" s="114">
        <f t="shared" si="2"/>
        <v>0</v>
      </c>
      <c r="K19" s="133">
        <f t="shared" si="3"/>
        <v>0</v>
      </c>
      <c r="L19" s="133">
        <f t="shared" si="4"/>
        <v>0</v>
      </c>
      <c r="M19" s="133">
        <f t="shared" si="5"/>
        <v>0</v>
      </c>
      <c r="N19" s="76" t="str">
        <f>IFERROR(IF(A19="","—",IF(COUNTIF(HPP_ENGINE!$A$4:$A$203,A19)=0,"⚠ BELUM DI HPP",IF(E19=0,"PLANNING",IF(M19&gt;=1,"SOLD OUT",IF(M19&gt;=0.7,"ON TRACK",IF(M19&gt;=0.3,"SLOW MOVE",IF(M19&gt;0,"STUCK","BELUM TERJUAL"))))))),"—")</f>
        <v>—</v>
      </c>
    </row>
    <row r="20" ht="18.75" customHeight="1">
      <c r="A20" s="77"/>
      <c r="B20" s="116" t="str">
        <f t="array" ref="B20">IFERROR(IF(A20="","",INDEX(HPP_ENGINE!$B:$B,MATCH(A20,HPP_ENGINE!$A:$A,0))),"")</f>
        <v/>
      </c>
      <c r="C20" s="135" t="str">
        <f t="array" ref="C20">IFERROR(IF(A20="","",INDEX(HPP_ENGINE!$C:$C,MATCH(A20,HPP_ENGINE!$A:$A,0))),"")</f>
        <v/>
      </c>
      <c r="D20" s="119">
        <f t="array" ref="D20">IFERROR(IF(A20="",0,INDEX(PRODUCTION_PLAN!$D:$D,MATCH(A20,PRODUCTION_PLAN!$A:$A,0))),0)</f>
        <v>0</v>
      </c>
      <c r="E20" s="119">
        <f t="array" ref="E20">IFERROR(IF(A20="",0,INDEX(HPP_ENGINE!$D:$D,MATCH(A20,HPP_ENGINE!$A:$A,0))),0)</f>
        <v>0</v>
      </c>
      <c r="F20" s="119">
        <f>IFERROR(IF(A20="",0,SUMIFS(SALES_TRACKER!$E$4:$E$1003,SALES_TRACKER!$B$4:$B$1003,A20)),0)</f>
        <v>0</v>
      </c>
      <c r="G20" s="119">
        <f t="shared" si="1"/>
        <v>0</v>
      </c>
      <c r="H20" s="119">
        <f t="array" ref="H20">IFERROR(IF(A20="",0,INDEX(HPP_ENGINE!$I:$I,MATCH(A20,HPP_ENGINE!$A:$A,0))),0)</f>
        <v>0</v>
      </c>
      <c r="I20" s="119">
        <f>IFERROR(IF(A20="",0,SUMIFS(SALES_TRACKER!$G$4:$G$1003,SALES_TRACKER!$B$4:$B$1003,A20)),0)</f>
        <v>0</v>
      </c>
      <c r="J20" s="118">
        <f t="shared" si="2"/>
        <v>0</v>
      </c>
      <c r="K20" s="136">
        <f t="shared" si="3"/>
        <v>0</v>
      </c>
      <c r="L20" s="136">
        <f t="shared" si="4"/>
        <v>0</v>
      </c>
      <c r="M20" s="136">
        <f t="shared" si="5"/>
        <v>0</v>
      </c>
      <c r="N20" s="81" t="str">
        <f>IFERROR(IF(A20="","—",IF(COUNTIF(HPP_ENGINE!$A$4:$A$203,A20)=0,"⚠ BELUM DI HPP",IF(E20=0,"PLANNING",IF(M20&gt;=1,"SOLD OUT",IF(M20&gt;=0.7,"ON TRACK",IF(M20&gt;=0.3,"SLOW MOVE",IF(M20&gt;0,"STUCK","BELUM TERJUAL"))))))),"—")</f>
        <v>—</v>
      </c>
    </row>
    <row r="21" ht="18.75" customHeight="1">
      <c r="A21" s="72"/>
      <c r="B21" s="112" t="str">
        <f t="array" ref="B21">IFERROR(IF(A21="","",INDEX(HPP_ENGINE!$B:$B,MATCH(A21,HPP_ENGINE!$A:$A,0))),"")</f>
        <v/>
      </c>
      <c r="C21" s="137" t="str">
        <f t="array" ref="C21">IFERROR(IF(A21="","",INDEX(HPP_ENGINE!$C:$C,MATCH(A21,HPP_ENGINE!$A:$A,0))),"")</f>
        <v/>
      </c>
      <c r="D21" s="115">
        <f t="array" ref="D21">IFERROR(IF(A21="",0,INDEX(PRODUCTION_PLAN!$D:$D,MATCH(A21,PRODUCTION_PLAN!$A:$A,0))),0)</f>
        <v>0</v>
      </c>
      <c r="E21" s="115">
        <f t="array" ref="E21">IFERROR(IF(A21="",0,INDEX(HPP_ENGINE!$D:$D,MATCH(A21,HPP_ENGINE!$A:$A,0))),0)</f>
        <v>0</v>
      </c>
      <c r="F21" s="115">
        <f>IFERROR(IF(A21="",0,SUMIFS(SALES_TRACKER!$E$4:$E$1003,SALES_TRACKER!$B$4:$B$1003,A21)),0)</f>
        <v>0</v>
      </c>
      <c r="G21" s="115">
        <f t="shared" si="1"/>
        <v>0</v>
      </c>
      <c r="H21" s="115">
        <f t="array" ref="H21">IFERROR(IF(A21="",0,INDEX(HPP_ENGINE!$I:$I,MATCH(A21,HPP_ENGINE!$A:$A,0))),0)</f>
        <v>0</v>
      </c>
      <c r="I21" s="115">
        <f>IFERROR(IF(A21="",0,SUMIFS(SALES_TRACKER!$G$4:$G$1003,SALES_TRACKER!$B$4:$B$1003,A21)),0)</f>
        <v>0</v>
      </c>
      <c r="J21" s="114">
        <f t="shared" si="2"/>
        <v>0</v>
      </c>
      <c r="K21" s="133">
        <f t="shared" si="3"/>
        <v>0</v>
      </c>
      <c r="L21" s="133">
        <f t="shared" si="4"/>
        <v>0</v>
      </c>
      <c r="M21" s="133">
        <f t="shared" si="5"/>
        <v>0</v>
      </c>
      <c r="N21" s="76" t="str">
        <f>IFERROR(IF(A21="","—",IF(COUNTIF(HPP_ENGINE!$A$4:$A$203,A21)=0,"⚠ BELUM DI HPP",IF(E21=0,"PLANNING",IF(M21&gt;=1,"SOLD OUT",IF(M21&gt;=0.7,"ON TRACK",IF(M21&gt;=0.3,"SLOW MOVE",IF(M21&gt;0,"STUCK","BELUM TERJUAL"))))))),"—")</f>
        <v>—</v>
      </c>
    </row>
    <row r="22" ht="18.75" customHeight="1">
      <c r="A22" s="77"/>
      <c r="B22" s="116" t="str">
        <f t="array" ref="B22">IFERROR(IF(A22="","",INDEX(HPP_ENGINE!$B:$B,MATCH(A22,HPP_ENGINE!$A:$A,0))),"")</f>
        <v/>
      </c>
      <c r="C22" s="135" t="str">
        <f t="array" ref="C22">IFERROR(IF(A22="","",INDEX(HPP_ENGINE!$C:$C,MATCH(A22,HPP_ENGINE!$A:$A,0))),"")</f>
        <v/>
      </c>
      <c r="D22" s="119">
        <f t="array" ref="D22">IFERROR(IF(A22="",0,INDEX(PRODUCTION_PLAN!$D:$D,MATCH(A22,PRODUCTION_PLAN!$A:$A,0))),0)</f>
        <v>0</v>
      </c>
      <c r="E22" s="119">
        <f t="array" ref="E22">IFERROR(IF(A22="",0,INDEX(HPP_ENGINE!$D:$D,MATCH(A22,HPP_ENGINE!$A:$A,0))),0)</f>
        <v>0</v>
      </c>
      <c r="F22" s="119">
        <f>IFERROR(IF(A22="",0,SUMIFS(SALES_TRACKER!$E$4:$E$1003,SALES_TRACKER!$B$4:$B$1003,A22)),0)</f>
        <v>0</v>
      </c>
      <c r="G22" s="119">
        <f t="shared" si="1"/>
        <v>0</v>
      </c>
      <c r="H22" s="119">
        <f t="array" ref="H22">IFERROR(IF(A22="",0,INDEX(HPP_ENGINE!$I:$I,MATCH(A22,HPP_ENGINE!$A:$A,0))),0)</f>
        <v>0</v>
      </c>
      <c r="I22" s="119">
        <f>IFERROR(IF(A22="",0,SUMIFS(SALES_TRACKER!$G$4:$G$1003,SALES_TRACKER!$B$4:$B$1003,A22)),0)</f>
        <v>0</v>
      </c>
      <c r="J22" s="118">
        <f t="shared" si="2"/>
        <v>0</v>
      </c>
      <c r="K22" s="136">
        <f t="shared" si="3"/>
        <v>0</v>
      </c>
      <c r="L22" s="136">
        <f t="shared" si="4"/>
        <v>0</v>
      </c>
      <c r="M22" s="136">
        <f t="shared" si="5"/>
        <v>0</v>
      </c>
      <c r="N22" s="81" t="str">
        <f>IFERROR(IF(A22="","—",IF(COUNTIF(HPP_ENGINE!$A$4:$A$203,A22)=0,"⚠ BELUM DI HPP",IF(E22=0,"PLANNING",IF(M22&gt;=1,"SOLD OUT",IF(M22&gt;=0.7,"ON TRACK",IF(M22&gt;=0.3,"SLOW MOVE",IF(M22&gt;0,"STUCK","BELUM TERJUAL"))))))),"—")</f>
        <v>—</v>
      </c>
    </row>
    <row r="23" ht="18.75" customHeight="1">
      <c r="A23" s="72"/>
      <c r="B23" s="112" t="str">
        <f t="array" ref="B23">IFERROR(IF(A23="","",INDEX(HPP_ENGINE!$B:$B,MATCH(A23,HPP_ENGINE!$A:$A,0))),"")</f>
        <v/>
      </c>
      <c r="C23" s="137" t="str">
        <f t="array" ref="C23">IFERROR(IF(A23="","",INDEX(HPP_ENGINE!$C:$C,MATCH(A23,HPP_ENGINE!$A:$A,0))),"")</f>
        <v/>
      </c>
      <c r="D23" s="115">
        <f t="array" ref="D23">IFERROR(IF(A23="",0,INDEX(PRODUCTION_PLAN!$D:$D,MATCH(A23,PRODUCTION_PLAN!$A:$A,0))),0)</f>
        <v>0</v>
      </c>
      <c r="E23" s="115">
        <f t="array" ref="E23">IFERROR(IF(A23="",0,INDEX(HPP_ENGINE!$D:$D,MATCH(A23,HPP_ENGINE!$A:$A,0))),0)</f>
        <v>0</v>
      </c>
      <c r="F23" s="115">
        <f>IFERROR(IF(A23="",0,SUMIFS(SALES_TRACKER!$E$4:$E$1003,SALES_TRACKER!$B$4:$B$1003,A23)),0)</f>
        <v>0</v>
      </c>
      <c r="G23" s="115">
        <f t="shared" si="1"/>
        <v>0</v>
      </c>
      <c r="H23" s="115">
        <f t="array" ref="H23">IFERROR(IF(A23="",0,INDEX(HPP_ENGINE!$I:$I,MATCH(A23,HPP_ENGINE!$A:$A,0))),0)</f>
        <v>0</v>
      </c>
      <c r="I23" s="115">
        <f>IFERROR(IF(A23="",0,SUMIFS(SALES_TRACKER!$G$4:$G$1003,SALES_TRACKER!$B$4:$B$1003,A23)),0)</f>
        <v>0</v>
      </c>
      <c r="J23" s="114">
        <f t="shared" si="2"/>
        <v>0</v>
      </c>
      <c r="K23" s="133">
        <f t="shared" si="3"/>
        <v>0</v>
      </c>
      <c r="L23" s="133">
        <f t="shared" si="4"/>
        <v>0</v>
      </c>
      <c r="M23" s="133">
        <f t="shared" si="5"/>
        <v>0</v>
      </c>
      <c r="N23" s="76" t="str">
        <f>IFERROR(IF(A23="","—",IF(COUNTIF(HPP_ENGINE!$A$4:$A$203,A23)=0,"⚠ BELUM DI HPP",IF(E23=0,"PLANNING",IF(M23&gt;=1,"SOLD OUT",IF(M23&gt;=0.7,"ON TRACK",IF(M23&gt;=0.3,"SLOW MOVE",IF(M23&gt;0,"STUCK","BELUM TERJUAL"))))))),"—")</f>
        <v>—</v>
      </c>
    </row>
    <row r="24" ht="18.75" customHeight="1">
      <c r="A24" s="77"/>
      <c r="B24" s="116" t="str">
        <f t="array" ref="B24">IFERROR(IF(A24="","",INDEX(HPP_ENGINE!$B:$B,MATCH(A24,HPP_ENGINE!$A:$A,0))),"")</f>
        <v/>
      </c>
      <c r="C24" s="135" t="str">
        <f t="array" ref="C24">IFERROR(IF(A24="","",INDEX(HPP_ENGINE!$C:$C,MATCH(A24,HPP_ENGINE!$A:$A,0))),"")</f>
        <v/>
      </c>
      <c r="D24" s="119">
        <f t="array" ref="D24">IFERROR(IF(A24="",0,INDEX(PRODUCTION_PLAN!$D:$D,MATCH(A24,PRODUCTION_PLAN!$A:$A,0))),0)</f>
        <v>0</v>
      </c>
      <c r="E24" s="119">
        <f t="array" ref="E24">IFERROR(IF(A24="",0,INDEX(HPP_ENGINE!$D:$D,MATCH(A24,HPP_ENGINE!$A:$A,0))),0)</f>
        <v>0</v>
      </c>
      <c r="F24" s="119">
        <f>IFERROR(IF(A24="",0,SUMIFS(SALES_TRACKER!$E$4:$E$1003,SALES_TRACKER!$B$4:$B$1003,A24)),0)</f>
        <v>0</v>
      </c>
      <c r="G24" s="119">
        <f t="shared" si="1"/>
        <v>0</v>
      </c>
      <c r="H24" s="119">
        <f t="array" ref="H24">IFERROR(IF(A24="",0,INDEX(HPP_ENGINE!$I:$I,MATCH(A24,HPP_ENGINE!$A:$A,0))),0)</f>
        <v>0</v>
      </c>
      <c r="I24" s="119">
        <f>IFERROR(IF(A24="",0,SUMIFS(SALES_TRACKER!$G$4:$G$1003,SALES_TRACKER!$B$4:$B$1003,A24)),0)</f>
        <v>0</v>
      </c>
      <c r="J24" s="118">
        <f t="shared" si="2"/>
        <v>0</v>
      </c>
      <c r="K24" s="136">
        <f t="shared" si="3"/>
        <v>0</v>
      </c>
      <c r="L24" s="136">
        <f t="shared" si="4"/>
        <v>0</v>
      </c>
      <c r="M24" s="136">
        <f t="shared" si="5"/>
        <v>0</v>
      </c>
      <c r="N24" s="81" t="str">
        <f>IFERROR(IF(A24="","—",IF(COUNTIF(HPP_ENGINE!$A$4:$A$203,A24)=0,"⚠ BELUM DI HPP",IF(E24=0,"PLANNING",IF(M24&gt;=1,"SOLD OUT",IF(M24&gt;=0.7,"ON TRACK",IF(M24&gt;=0.3,"SLOW MOVE",IF(M24&gt;0,"STUCK","BELUM TERJUAL"))))))),"—")</f>
        <v>—</v>
      </c>
    </row>
    <row r="25" ht="18.75" customHeight="1">
      <c r="A25" s="72"/>
      <c r="B25" s="112" t="str">
        <f t="array" ref="B25">IFERROR(IF(A25="","",INDEX(HPP_ENGINE!$B:$B,MATCH(A25,HPP_ENGINE!$A:$A,0))),"")</f>
        <v/>
      </c>
      <c r="C25" s="137" t="str">
        <f t="array" ref="C25">IFERROR(IF(A25="","",INDEX(HPP_ENGINE!$C:$C,MATCH(A25,HPP_ENGINE!$A:$A,0))),"")</f>
        <v/>
      </c>
      <c r="D25" s="115">
        <f t="array" ref="D25">IFERROR(IF(A25="",0,INDEX(PRODUCTION_PLAN!$D:$D,MATCH(A25,PRODUCTION_PLAN!$A:$A,0))),0)</f>
        <v>0</v>
      </c>
      <c r="E25" s="115">
        <f t="array" ref="E25">IFERROR(IF(A25="",0,INDEX(HPP_ENGINE!$D:$D,MATCH(A25,HPP_ENGINE!$A:$A,0))),0)</f>
        <v>0</v>
      </c>
      <c r="F25" s="115">
        <f>IFERROR(IF(A25="",0,SUMIFS(SALES_TRACKER!$E$4:$E$1003,SALES_TRACKER!$B$4:$B$1003,A25)),0)</f>
        <v>0</v>
      </c>
      <c r="G25" s="115">
        <f t="shared" si="1"/>
        <v>0</v>
      </c>
      <c r="H25" s="115">
        <f t="array" ref="H25">IFERROR(IF(A25="",0,INDEX(HPP_ENGINE!$I:$I,MATCH(A25,HPP_ENGINE!$A:$A,0))),0)</f>
        <v>0</v>
      </c>
      <c r="I25" s="115">
        <f>IFERROR(IF(A25="",0,SUMIFS(SALES_TRACKER!$G$4:$G$1003,SALES_TRACKER!$B$4:$B$1003,A25)),0)</f>
        <v>0</v>
      </c>
      <c r="J25" s="114">
        <f t="shared" si="2"/>
        <v>0</v>
      </c>
      <c r="K25" s="133">
        <f t="shared" si="3"/>
        <v>0</v>
      </c>
      <c r="L25" s="133">
        <f t="shared" si="4"/>
        <v>0</v>
      </c>
      <c r="M25" s="133">
        <f t="shared" si="5"/>
        <v>0</v>
      </c>
      <c r="N25" s="76" t="str">
        <f>IFERROR(IF(A25="","—",IF(COUNTIF(HPP_ENGINE!$A$4:$A$203,A25)=0,"⚠ BELUM DI HPP",IF(E25=0,"PLANNING",IF(M25&gt;=1,"SOLD OUT",IF(M25&gt;=0.7,"ON TRACK",IF(M25&gt;=0.3,"SLOW MOVE",IF(M25&gt;0,"STUCK","BELUM TERJUAL"))))))),"—")</f>
        <v>—</v>
      </c>
    </row>
    <row r="26" ht="18.75" customHeight="1">
      <c r="A26" s="77"/>
      <c r="B26" s="116" t="str">
        <f t="array" ref="B26">IFERROR(IF(A26="","",INDEX(HPP_ENGINE!$B:$B,MATCH(A26,HPP_ENGINE!$A:$A,0))),"")</f>
        <v/>
      </c>
      <c r="C26" s="135" t="str">
        <f t="array" ref="C26">IFERROR(IF(A26="","",INDEX(HPP_ENGINE!$C:$C,MATCH(A26,HPP_ENGINE!$A:$A,0))),"")</f>
        <v/>
      </c>
      <c r="D26" s="119">
        <f t="array" ref="D26">IFERROR(IF(A26="",0,INDEX(PRODUCTION_PLAN!$D:$D,MATCH(A26,PRODUCTION_PLAN!$A:$A,0))),0)</f>
        <v>0</v>
      </c>
      <c r="E26" s="119">
        <f t="array" ref="E26">IFERROR(IF(A26="",0,INDEX(HPP_ENGINE!$D:$D,MATCH(A26,HPP_ENGINE!$A:$A,0))),0)</f>
        <v>0</v>
      </c>
      <c r="F26" s="119">
        <f>IFERROR(IF(A26="",0,SUMIFS(SALES_TRACKER!$E$4:$E$1003,SALES_TRACKER!$B$4:$B$1003,A26)),0)</f>
        <v>0</v>
      </c>
      <c r="G26" s="119">
        <f t="shared" si="1"/>
        <v>0</v>
      </c>
      <c r="H26" s="119">
        <f t="array" ref="H26">IFERROR(IF(A26="",0,INDEX(HPP_ENGINE!$I:$I,MATCH(A26,HPP_ENGINE!$A:$A,0))),0)</f>
        <v>0</v>
      </c>
      <c r="I26" s="119">
        <f>IFERROR(IF(A26="",0,SUMIFS(SALES_TRACKER!$G$4:$G$1003,SALES_TRACKER!$B$4:$B$1003,A26)),0)</f>
        <v>0</v>
      </c>
      <c r="J26" s="118">
        <f t="shared" si="2"/>
        <v>0</v>
      </c>
      <c r="K26" s="136">
        <f t="shared" si="3"/>
        <v>0</v>
      </c>
      <c r="L26" s="136">
        <f t="shared" si="4"/>
        <v>0</v>
      </c>
      <c r="M26" s="136">
        <f t="shared" si="5"/>
        <v>0</v>
      </c>
      <c r="N26" s="81" t="str">
        <f>IFERROR(IF(A26="","—",IF(COUNTIF(HPP_ENGINE!$A$4:$A$203,A26)=0,"⚠ BELUM DI HPP",IF(E26=0,"PLANNING",IF(M26&gt;=1,"SOLD OUT",IF(M26&gt;=0.7,"ON TRACK",IF(M26&gt;=0.3,"SLOW MOVE",IF(M26&gt;0,"STUCK","BELUM TERJUAL"))))))),"—")</f>
        <v>—</v>
      </c>
    </row>
    <row r="27" ht="18.75" customHeight="1">
      <c r="A27" s="72"/>
      <c r="B27" s="112" t="str">
        <f t="array" ref="B27">IFERROR(IF(A27="","",INDEX(HPP_ENGINE!$B:$B,MATCH(A27,HPP_ENGINE!$A:$A,0))),"")</f>
        <v/>
      </c>
      <c r="C27" s="137" t="str">
        <f t="array" ref="C27">IFERROR(IF(A27="","",INDEX(HPP_ENGINE!$C:$C,MATCH(A27,HPP_ENGINE!$A:$A,0))),"")</f>
        <v/>
      </c>
      <c r="D27" s="115">
        <f t="array" ref="D27">IFERROR(IF(A27="",0,INDEX(PRODUCTION_PLAN!$D:$D,MATCH(A27,PRODUCTION_PLAN!$A:$A,0))),0)</f>
        <v>0</v>
      </c>
      <c r="E27" s="115">
        <f t="array" ref="E27">IFERROR(IF(A27="",0,INDEX(HPP_ENGINE!$D:$D,MATCH(A27,HPP_ENGINE!$A:$A,0))),0)</f>
        <v>0</v>
      </c>
      <c r="F27" s="115">
        <f>IFERROR(IF(A27="",0,SUMIFS(SALES_TRACKER!$E$4:$E$1003,SALES_TRACKER!$B$4:$B$1003,A27)),0)</f>
        <v>0</v>
      </c>
      <c r="G27" s="115">
        <f t="shared" si="1"/>
        <v>0</v>
      </c>
      <c r="H27" s="115">
        <f t="array" ref="H27">IFERROR(IF(A27="",0,INDEX(HPP_ENGINE!$I:$I,MATCH(A27,HPP_ENGINE!$A:$A,0))),0)</f>
        <v>0</v>
      </c>
      <c r="I27" s="115">
        <f>IFERROR(IF(A27="",0,SUMIFS(SALES_TRACKER!$G$4:$G$1003,SALES_TRACKER!$B$4:$B$1003,A27)),0)</f>
        <v>0</v>
      </c>
      <c r="J27" s="114">
        <f t="shared" si="2"/>
        <v>0</v>
      </c>
      <c r="K27" s="133">
        <f t="shared" si="3"/>
        <v>0</v>
      </c>
      <c r="L27" s="133">
        <f t="shared" si="4"/>
        <v>0</v>
      </c>
      <c r="M27" s="133">
        <f t="shared" si="5"/>
        <v>0</v>
      </c>
      <c r="N27" s="76" t="str">
        <f>IFERROR(IF(A27="","—",IF(COUNTIF(HPP_ENGINE!$A$4:$A$203,A27)=0,"⚠ BELUM DI HPP",IF(E27=0,"PLANNING",IF(M27&gt;=1,"SOLD OUT",IF(M27&gt;=0.7,"ON TRACK",IF(M27&gt;=0.3,"SLOW MOVE",IF(M27&gt;0,"STUCK","BELUM TERJUAL"))))))),"—")</f>
        <v>—</v>
      </c>
    </row>
    <row r="28" ht="18.75" customHeight="1">
      <c r="A28" s="77"/>
      <c r="B28" s="116" t="str">
        <f t="array" ref="B28">IFERROR(IF(A28="","",INDEX(HPP_ENGINE!$B:$B,MATCH(A28,HPP_ENGINE!$A:$A,0))),"")</f>
        <v/>
      </c>
      <c r="C28" s="135" t="str">
        <f t="array" ref="C28">IFERROR(IF(A28="","",INDEX(HPP_ENGINE!$C:$C,MATCH(A28,HPP_ENGINE!$A:$A,0))),"")</f>
        <v/>
      </c>
      <c r="D28" s="119">
        <f t="array" ref="D28">IFERROR(IF(A28="",0,INDEX(PRODUCTION_PLAN!$D:$D,MATCH(A28,PRODUCTION_PLAN!$A:$A,0))),0)</f>
        <v>0</v>
      </c>
      <c r="E28" s="119">
        <f t="array" ref="E28">IFERROR(IF(A28="",0,INDEX(HPP_ENGINE!$D:$D,MATCH(A28,HPP_ENGINE!$A:$A,0))),0)</f>
        <v>0</v>
      </c>
      <c r="F28" s="119">
        <f>IFERROR(IF(A28="",0,SUMIFS(SALES_TRACKER!$E$4:$E$1003,SALES_TRACKER!$B$4:$B$1003,A28)),0)</f>
        <v>0</v>
      </c>
      <c r="G28" s="119">
        <f t="shared" si="1"/>
        <v>0</v>
      </c>
      <c r="H28" s="119">
        <f t="array" ref="H28">IFERROR(IF(A28="",0,INDEX(HPP_ENGINE!$I:$I,MATCH(A28,HPP_ENGINE!$A:$A,0))),0)</f>
        <v>0</v>
      </c>
      <c r="I28" s="119">
        <f>IFERROR(IF(A28="",0,SUMIFS(SALES_TRACKER!$G$4:$G$1003,SALES_TRACKER!$B$4:$B$1003,A28)),0)</f>
        <v>0</v>
      </c>
      <c r="J28" s="118">
        <f t="shared" si="2"/>
        <v>0</v>
      </c>
      <c r="K28" s="136">
        <f t="shared" si="3"/>
        <v>0</v>
      </c>
      <c r="L28" s="136">
        <f t="shared" si="4"/>
        <v>0</v>
      </c>
      <c r="M28" s="136">
        <f t="shared" si="5"/>
        <v>0</v>
      </c>
      <c r="N28" s="81" t="str">
        <f>IFERROR(IF(A28="","—",IF(COUNTIF(HPP_ENGINE!$A$4:$A$203,A28)=0,"⚠ BELUM DI HPP",IF(E28=0,"PLANNING",IF(M28&gt;=1,"SOLD OUT",IF(M28&gt;=0.7,"ON TRACK",IF(M28&gt;=0.3,"SLOW MOVE",IF(M28&gt;0,"STUCK","BELUM TERJUAL"))))))),"—")</f>
        <v>—</v>
      </c>
    </row>
    <row r="29" ht="18.75" customHeight="1">
      <c r="A29" s="72"/>
      <c r="B29" s="112" t="str">
        <f t="array" ref="B29">IFERROR(IF(A29="","",INDEX(HPP_ENGINE!$B:$B,MATCH(A29,HPP_ENGINE!$A:$A,0))),"")</f>
        <v/>
      </c>
      <c r="C29" s="137" t="str">
        <f t="array" ref="C29">IFERROR(IF(A29="","",INDEX(HPP_ENGINE!$C:$C,MATCH(A29,HPP_ENGINE!$A:$A,0))),"")</f>
        <v/>
      </c>
      <c r="D29" s="115">
        <f t="array" ref="D29">IFERROR(IF(A29="",0,INDEX(PRODUCTION_PLAN!$D:$D,MATCH(A29,PRODUCTION_PLAN!$A:$A,0))),0)</f>
        <v>0</v>
      </c>
      <c r="E29" s="115">
        <f t="array" ref="E29">IFERROR(IF(A29="",0,INDEX(HPP_ENGINE!$D:$D,MATCH(A29,HPP_ENGINE!$A:$A,0))),0)</f>
        <v>0</v>
      </c>
      <c r="F29" s="115">
        <f>IFERROR(IF(A29="",0,SUMIFS(SALES_TRACKER!$E$4:$E$1003,SALES_TRACKER!$B$4:$B$1003,A29)),0)</f>
        <v>0</v>
      </c>
      <c r="G29" s="115">
        <f t="shared" si="1"/>
        <v>0</v>
      </c>
      <c r="H29" s="115">
        <f t="array" ref="H29">IFERROR(IF(A29="",0,INDEX(HPP_ENGINE!$I:$I,MATCH(A29,HPP_ENGINE!$A:$A,0))),0)</f>
        <v>0</v>
      </c>
      <c r="I29" s="115">
        <f>IFERROR(IF(A29="",0,SUMIFS(SALES_TRACKER!$G$4:$G$1003,SALES_TRACKER!$B$4:$B$1003,A29)),0)</f>
        <v>0</v>
      </c>
      <c r="J29" s="114">
        <f t="shared" si="2"/>
        <v>0</v>
      </c>
      <c r="K29" s="133">
        <f t="shared" si="3"/>
        <v>0</v>
      </c>
      <c r="L29" s="133">
        <f t="shared" si="4"/>
        <v>0</v>
      </c>
      <c r="M29" s="133">
        <f t="shared" si="5"/>
        <v>0</v>
      </c>
      <c r="N29" s="76" t="str">
        <f>IFERROR(IF(A29="","—",IF(COUNTIF(HPP_ENGINE!$A$4:$A$203,A29)=0,"⚠ BELUM DI HPP",IF(E29=0,"PLANNING",IF(M29&gt;=1,"SOLD OUT",IF(M29&gt;=0.7,"ON TRACK",IF(M29&gt;=0.3,"SLOW MOVE",IF(M29&gt;0,"STUCK","BELUM TERJUAL"))))))),"—")</f>
        <v>—</v>
      </c>
    </row>
    <row r="30" ht="18.75" customHeight="1">
      <c r="A30" s="77"/>
      <c r="B30" s="116" t="str">
        <f t="array" ref="B30">IFERROR(IF(A30="","",INDEX(HPP_ENGINE!$B:$B,MATCH(A30,HPP_ENGINE!$A:$A,0))),"")</f>
        <v/>
      </c>
      <c r="C30" s="135" t="str">
        <f t="array" ref="C30">IFERROR(IF(A30="","",INDEX(HPP_ENGINE!$C:$C,MATCH(A30,HPP_ENGINE!$A:$A,0))),"")</f>
        <v/>
      </c>
      <c r="D30" s="119">
        <f t="array" ref="D30">IFERROR(IF(A30="",0,INDEX(PRODUCTION_PLAN!$D:$D,MATCH(A30,PRODUCTION_PLAN!$A:$A,0))),0)</f>
        <v>0</v>
      </c>
      <c r="E30" s="119">
        <f t="array" ref="E30">IFERROR(IF(A30="",0,INDEX(HPP_ENGINE!$D:$D,MATCH(A30,HPP_ENGINE!$A:$A,0))),0)</f>
        <v>0</v>
      </c>
      <c r="F30" s="119">
        <f>IFERROR(IF(A30="",0,SUMIFS(SALES_TRACKER!$E$4:$E$1003,SALES_TRACKER!$B$4:$B$1003,A30)),0)</f>
        <v>0</v>
      </c>
      <c r="G30" s="119">
        <f t="shared" si="1"/>
        <v>0</v>
      </c>
      <c r="H30" s="119">
        <f t="array" ref="H30">IFERROR(IF(A30="",0,INDEX(HPP_ENGINE!$I:$I,MATCH(A30,HPP_ENGINE!$A:$A,0))),0)</f>
        <v>0</v>
      </c>
      <c r="I30" s="119">
        <f>IFERROR(IF(A30="",0,SUMIFS(SALES_TRACKER!$G$4:$G$1003,SALES_TRACKER!$B$4:$B$1003,A30)),0)</f>
        <v>0</v>
      </c>
      <c r="J30" s="118">
        <f t="shared" si="2"/>
        <v>0</v>
      </c>
      <c r="K30" s="136">
        <f t="shared" si="3"/>
        <v>0</v>
      </c>
      <c r="L30" s="136">
        <f t="shared" si="4"/>
        <v>0</v>
      </c>
      <c r="M30" s="136">
        <f t="shared" si="5"/>
        <v>0</v>
      </c>
      <c r="N30" s="81" t="str">
        <f>IFERROR(IF(A30="","—",IF(COUNTIF(HPP_ENGINE!$A$4:$A$203,A30)=0,"⚠ BELUM DI HPP",IF(E30=0,"PLANNING",IF(M30&gt;=1,"SOLD OUT",IF(M30&gt;=0.7,"ON TRACK",IF(M30&gt;=0.3,"SLOW MOVE",IF(M30&gt;0,"STUCK","BELUM TERJUAL"))))))),"—")</f>
        <v>—</v>
      </c>
    </row>
    <row r="31" ht="18.75" customHeight="1">
      <c r="A31" s="72"/>
      <c r="B31" s="112" t="str">
        <f t="array" ref="B31">IFERROR(IF(A31="","",INDEX(HPP_ENGINE!$B:$B,MATCH(A31,HPP_ENGINE!$A:$A,0))),"")</f>
        <v/>
      </c>
      <c r="C31" s="137" t="str">
        <f t="array" ref="C31">IFERROR(IF(A31="","",INDEX(HPP_ENGINE!$C:$C,MATCH(A31,HPP_ENGINE!$A:$A,0))),"")</f>
        <v/>
      </c>
      <c r="D31" s="115">
        <f t="array" ref="D31">IFERROR(IF(A31="",0,INDEX(PRODUCTION_PLAN!$D:$D,MATCH(A31,PRODUCTION_PLAN!$A:$A,0))),0)</f>
        <v>0</v>
      </c>
      <c r="E31" s="115">
        <f t="array" ref="E31">IFERROR(IF(A31="",0,INDEX(HPP_ENGINE!$D:$D,MATCH(A31,HPP_ENGINE!$A:$A,0))),0)</f>
        <v>0</v>
      </c>
      <c r="F31" s="115">
        <f>IFERROR(IF(A31="",0,SUMIFS(SALES_TRACKER!$E$4:$E$1003,SALES_TRACKER!$B$4:$B$1003,A31)),0)</f>
        <v>0</v>
      </c>
      <c r="G31" s="115">
        <f t="shared" si="1"/>
        <v>0</v>
      </c>
      <c r="H31" s="115">
        <f t="array" ref="H31">IFERROR(IF(A31="",0,INDEX(HPP_ENGINE!$I:$I,MATCH(A31,HPP_ENGINE!$A:$A,0))),0)</f>
        <v>0</v>
      </c>
      <c r="I31" s="115">
        <f>IFERROR(IF(A31="",0,SUMIFS(SALES_TRACKER!$G$4:$G$1003,SALES_TRACKER!$B$4:$B$1003,A31)),0)</f>
        <v>0</v>
      </c>
      <c r="J31" s="114">
        <f t="shared" si="2"/>
        <v>0</v>
      </c>
      <c r="K31" s="133">
        <f t="shared" si="3"/>
        <v>0</v>
      </c>
      <c r="L31" s="133">
        <f t="shared" si="4"/>
        <v>0</v>
      </c>
      <c r="M31" s="133">
        <f t="shared" si="5"/>
        <v>0</v>
      </c>
      <c r="N31" s="76" t="str">
        <f>IFERROR(IF(A31="","—",IF(COUNTIF(HPP_ENGINE!$A$4:$A$203,A31)=0,"⚠ BELUM DI HPP",IF(E31=0,"PLANNING",IF(M31&gt;=1,"SOLD OUT",IF(M31&gt;=0.7,"ON TRACK",IF(M31&gt;=0.3,"SLOW MOVE",IF(M31&gt;0,"STUCK","BELUM TERJUAL"))))))),"—")</f>
        <v>—</v>
      </c>
    </row>
    <row r="32" ht="18.75" customHeight="1">
      <c r="A32" s="77"/>
      <c r="B32" s="116" t="str">
        <f t="array" ref="B32">IFERROR(IF(A32="","",INDEX(HPP_ENGINE!$B:$B,MATCH(A32,HPP_ENGINE!$A:$A,0))),"")</f>
        <v/>
      </c>
      <c r="C32" s="135" t="str">
        <f t="array" ref="C32">IFERROR(IF(A32="","",INDEX(HPP_ENGINE!$C:$C,MATCH(A32,HPP_ENGINE!$A:$A,0))),"")</f>
        <v/>
      </c>
      <c r="D32" s="119">
        <f t="array" ref="D32">IFERROR(IF(A32="",0,INDEX(PRODUCTION_PLAN!$D:$D,MATCH(A32,PRODUCTION_PLAN!$A:$A,0))),0)</f>
        <v>0</v>
      </c>
      <c r="E32" s="119">
        <f t="array" ref="E32">IFERROR(IF(A32="",0,INDEX(HPP_ENGINE!$D:$D,MATCH(A32,HPP_ENGINE!$A:$A,0))),0)</f>
        <v>0</v>
      </c>
      <c r="F32" s="119">
        <f>IFERROR(IF(A32="",0,SUMIFS(SALES_TRACKER!$E$4:$E$1003,SALES_TRACKER!$B$4:$B$1003,A32)),0)</f>
        <v>0</v>
      </c>
      <c r="G32" s="119">
        <f t="shared" si="1"/>
        <v>0</v>
      </c>
      <c r="H32" s="119">
        <f t="array" ref="H32">IFERROR(IF(A32="",0,INDEX(HPP_ENGINE!$I:$I,MATCH(A32,HPP_ENGINE!$A:$A,0))),0)</f>
        <v>0</v>
      </c>
      <c r="I32" s="119">
        <f>IFERROR(IF(A32="",0,SUMIFS(SALES_TRACKER!$G$4:$G$1003,SALES_TRACKER!$B$4:$B$1003,A32)),0)</f>
        <v>0</v>
      </c>
      <c r="J32" s="118">
        <f t="shared" si="2"/>
        <v>0</v>
      </c>
      <c r="K32" s="136">
        <f t="shared" si="3"/>
        <v>0</v>
      </c>
      <c r="L32" s="136">
        <f t="shared" si="4"/>
        <v>0</v>
      </c>
      <c r="M32" s="136">
        <f t="shared" si="5"/>
        <v>0</v>
      </c>
      <c r="N32" s="81" t="str">
        <f>IFERROR(IF(A32="","—",IF(COUNTIF(HPP_ENGINE!$A$4:$A$203,A32)=0,"⚠ BELUM DI HPP",IF(E32=0,"PLANNING",IF(M32&gt;=1,"SOLD OUT",IF(M32&gt;=0.7,"ON TRACK",IF(M32&gt;=0.3,"SLOW MOVE",IF(M32&gt;0,"STUCK","BELUM TERJUAL"))))))),"—")</f>
        <v>—</v>
      </c>
    </row>
    <row r="33" ht="18.75" customHeight="1">
      <c r="A33" s="72"/>
      <c r="B33" s="112" t="str">
        <f t="array" ref="B33">IFERROR(IF(A33="","",INDEX(HPP_ENGINE!$B:$B,MATCH(A33,HPP_ENGINE!$A:$A,0))),"")</f>
        <v/>
      </c>
      <c r="C33" s="137" t="str">
        <f t="array" ref="C33">IFERROR(IF(A33="","",INDEX(HPP_ENGINE!$C:$C,MATCH(A33,HPP_ENGINE!$A:$A,0))),"")</f>
        <v/>
      </c>
      <c r="D33" s="115">
        <f t="array" ref="D33">IFERROR(IF(A33="",0,INDEX(PRODUCTION_PLAN!$D:$D,MATCH(A33,PRODUCTION_PLAN!$A:$A,0))),0)</f>
        <v>0</v>
      </c>
      <c r="E33" s="115">
        <f t="array" ref="E33">IFERROR(IF(A33="",0,INDEX(HPP_ENGINE!$D:$D,MATCH(A33,HPP_ENGINE!$A:$A,0))),0)</f>
        <v>0</v>
      </c>
      <c r="F33" s="115">
        <f>IFERROR(IF(A33="",0,SUMIFS(SALES_TRACKER!$E$4:$E$1003,SALES_TRACKER!$B$4:$B$1003,A33)),0)</f>
        <v>0</v>
      </c>
      <c r="G33" s="115">
        <f t="shared" si="1"/>
        <v>0</v>
      </c>
      <c r="H33" s="115">
        <f t="array" ref="H33">IFERROR(IF(A33="",0,INDEX(HPP_ENGINE!$I:$I,MATCH(A33,HPP_ENGINE!$A:$A,0))),0)</f>
        <v>0</v>
      </c>
      <c r="I33" s="115">
        <f>IFERROR(IF(A33="",0,SUMIFS(SALES_TRACKER!$G$4:$G$1003,SALES_TRACKER!$B$4:$B$1003,A33)),0)</f>
        <v>0</v>
      </c>
      <c r="J33" s="114">
        <f t="shared" si="2"/>
        <v>0</v>
      </c>
      <c r="K33" s="133">
        <f t="shared" si="3"/>
        <v>0</v>
      </c>
      <c r="L33" s="133">
        <f t="shared" si="4"/>
        <v>0</v>
      </c>
      <c r="M33" s="133">
        <f t="shared" si="5"/>
        <v>0</v>
      </c>
      <c r="N33" s="76" t="str">
        <f>IFERROR(IF(A33="","—",IF(COUNTIF(HPP_ENGINE!$A$4:$A$203,A33)=0,"⚠ BELUM DI HPP",IF(E33=0,"PLANNING",IF(M33&gt;=1,"SOLD OUT",IF(M33&gt;=0.7,"ON TRACK",IF(M33&gt;=0.3,"SLOW MOVE",IF(M33&gt;0,"STUCK","BELUM TERJUAL"))))))),"—")</f>
        <v>—</v>
      </c>
    </row>
    <row r="34" ht="18.75" customHeight="1">
      <c r="A34" s="77"/>
      <c r="B34" s="116" t="str">
        <f t="array" ref="B34">IFERROR(IF(A34="","",INDEX(HPP_ENGINE!$B:$B,MATCH(A34,HPP_ENGINE!$A:$A,0))),"")</f>
        <v/>
      </c>
      <c r="C34" s="135" t="str">
        <f t="array" ref="C34">IFERROR(IF(A34="","",INDEX(HPP_ENGINE!$C:$C,MATCH(A34,HPP_ENGINE!$A:$A,0))),"")</f>
        <v/>
      </c>
      <c r="D34" s="119">
        <f t="array" ref="D34">IFERROR(IF(A34="",0,INDEX(PRODUCTION_PLAN!$D:$D,MATCH(A34,PRODUCTION_PLAN!$A:$A,0))),0)</f>
        <v>0</v>
      </c>
      <c r="E34" s="119">
        <f t="array" ref="E34">IFERROR(IF(A34="",0,INDEX(HPP_ENGINE!$D:$D,MATCH(A34,HPP_ENGINE!$A:$A,0))),0)</f>
        <v>0</v>
      </c>
      <c r="F34" s="119">
        <f>IFERROR(IF(A34="",0,SUMIFS(SALES_TRACKER!$E$4:$E$1003,SALES_TRACKER!$B$4:$B$1003,A34)),0)</f>
        <v>0</v>
      </c>
      <c r="G34" s="119">
        <f t="shared" si="1"/>
        <v>0</v>
      </c>
      <c r="H34" s="119">
        <f t="array" ref="H34">IFERROR(IF(A34="",0,INDEX(HPP_ENGINE!$I:$I,MATCH(A34,HPP_ENGINE!$A:$A,0))),0)</f>
        <v>0</v>
      </c>
      <c r="I34" s="119">
        <f>IFERROR(IF(A34="",0,SUMIFS(SALES_TRACKER!$G$4:$G$1003,SALES_TRACKER!$B$4:$B$1003,A34)),0)</f>
        <v>0</v>
      </c>
      <c r="J34" s="118">
        <f t="shared" si="2"/>
        <v>0</v>
      </c>
      <c r="K34" s="136">
        <f t="shared" si="3"/>
        <v>0</v>
      </c>
      <c r="L34" s="136">
        <f t="shared" si="4"/>
        <v>0</v>
      </c>
      <c r="M34" s="136">
        <f t="shared" si="5"/>
        <v>0</v>
      </c>
      <c r="N34" s="81" t="str">
        <f>IFERROR(IF(A34="","—",IF(COUNTIF(HPP_ENGINE!$A$4:$A$203,A34)=0,"⚠ BELUM DI HPP",IF(E34=0,"PLANNING",IF(M34&gt;=1,"SOLD OUT",IF(M34&gt;=0.7,"ON TRACK",IF(M34&gt;=0.3,"SLOW MOVE",IF(M34&gt;0,"STUCK","BELUM TERJUAL"))))))),"—")</f>
        <v>—</v>
      </c>
    </row>
    <row r="35" ht="18.75" customHeight="1">
      <c r="A35" s="72"/>
      <c r="B35" s="112" t="str">
        <f t="array" ref="B35">IFERROR(IF(A35="","",INDEX(HPP_ENGINE!$B:$B,MATCH(A35,HPP_ENGINE!$A:$A,0))),"")</f>
        <v/>
      </c>
      <c r="C35" s="137" t="str">
        <f t="array" ref="C35">IFERROR(IF(A35="","",INDEX(HPP_ENGINE!$C:$C,MATCH(A35,HPP_ENGINE!$A:$A,0))),"")</f>
        <v/>
      </c>
      <c r="D35" s="115">
        <f t="array" ref="D35">IFERROR(IF(A35="",0,INDEX(PRODUCTION_PLAN!$D:$D,MATCH(A35,PRODUCTION_PLAN!$A:$A,0))),0)</f>
        <v>0</v>
      </c>
      <c r="E35" s="115">
        <f t="array" ref="E35">IFERROR(IF(A35="",0,INDEX(HPP_ENGINE!$D:$D,MATCH(A35,HPP_ENGINE!$A:$A,0))),0)</f>
        <v>0</v>
      </c>
      <c r="F35" s="115">
        <f>IFERROR(IF(A35="",0,SUMIFS(SALES_TRACKER!$E$4:$E$1003,SALES_TRACKER!$B$4:$B$1003,A35)),0)</f>
        <v>0</v>
      </c>
      <c r="G35" s="115">
        <f t="shared" si="1"/>
        <v>0</v>
      </c>
      <c r="H35" s="115">
        <f t="array" ref="H35">IFERROR(IF(A35="",0,INDEX(HPP_ENGINE!$I:$I,MATCH(A35,HPP_ENGINE!$A:$A,0))),0)</f>
        <v>0</v>
      </c>
      <c r="I35" s="115">
        <f>IFERROR(IF(A35="",0,SUMIFS(SALES_TRACKER!$G$4:$G$1003,SALES_TRACKER!$B$4:$B$1003,A35)),0)</f>
        <v>0</v>
      </c>
      <c r="J35" s="114">
        <f t="shared" si="2"/>
        <v>0</v>
      </c>
      <c r="K35" s="133">
        <f t="shared" si="3"/>
        <v>0</v>
      </c>
      <c r="L35" s="133">
        <f t="shared" si="4"/>
        <v>0</v>
      </c>
      <c r="M35" s="133">
        <f t="shared" si="5"/>
        <v>0</v>
      </c>
      <c r="N35" s="76" t="str">
        <f>IFERROR(IF(A35="","—",IF(COUNTIF(HPP_ENGINE!$A$4:$A$203,A35)=0,"⚠ BELUM DI HPP",IF(E35=0,"PLANNING",IF(M35&gt;=1,"SOLD OUT",IF(M35&gt;=0.7,"ON TRACK",IF(M35&gt;=0.3,"SLOW MOVE",IF(M35&gt;0,"STUCK","BELUM TERJUAL"))))))),"—")</f>
        <v>—</v>
      </c>
    </row>
    <row r="36" ht="18.75" customHeight="1">
      <c r="A36" s="77"/>
      <c r="B36" s="116" t="str">
        <f t="array" ref="B36">IFERROR(IF(A36="","",INDEX(HPP_ENGINE!$B:$B,MATCH(A36,HPP_ENGINE!$A:$A,0))),"")</f>
        <v/>
      </c>
      <c r="C36" s="135" t="str">
        <f t="array" ref="C36">IFERROR(IF(A36="","",INDEX(HPP_ENGINE!$C:$C,MATCH(A36,HPP_ENGINE!$A:$A,0))),"")</f>
        <v/>
      </c>
      <c r="D36" s="119">
        <f t="array" ref="D36">IFERROR(IF(A36="",0,INDEX(PRODUCTION_PLAN!$D:$D,MATCH(A36,PRODUCTION_PLAN!$A:$A,0))),0)</f>
        <v>0</v>
      </c>
      <c r="E36" s="119">
        <f t="array" ref="E36">IFERROR(IF(A36="",0,INDEX(HPP_ENGINE!$D:$D,MATCH(A36,HPP_ENGINE!$A:$A,0))),0)</f>
        <v>0</v>
      </c>
      <c r="F36" s="119">
        <f>IFERROR(IF(A36="",0,SUMIFS(SALES_TRACKER!$E$4:$E$1003,SALES_TRACKER!$B$4:$B$1003,A36)),0)</f>
        <v>0</v>
      </c>
      <c r="G36" s="119">
        <f t="shared" si="1"/>
        <v>0</v>
      </c>
      <c r="H36" s="119">
        <f t="array" ref="H36">IFERROR(IF(A36="",0,INDEX(HPP_ENGINE!$I:$I,MATCH(A36,HPP_ENGINE!$A:$A,0))),0)</f>
        <v>0</v>
      </c>
      <c r="I36" s="119">
        <f>IFERROR(IF(A36="",0,SUMIFS(SALES_TRACKER!$G$4:$G$1003,SALES_TRACKER!$B$4:$B$1003,A36)),0)</f>
        <v>0</v>
      </c>
      <c r="J36" s="118">
        <f t="shared" si="2"/>
        <v>0</v>
      </c>
      <c r="K36" s="136">
        <f t="shared" si="3"/>
        <v>0</v>
      </c>
      <c r="L36" s="136">
        <f t="shared" si="4"/>
        <v>0</v>
      </c>
      <c r="M36" s="136">
        <f t="shared" si="5"/>
        <v>0</v>
      </c>
      <c r="N36" s="81" t="str">
        <f>IFERROR(IF(A36="","—",IF(COUNTIF(HPP_ENGINE!$A$4:$A$203,A36)=0,"⚠ BELUM DI HPP",IF(E36=0,"PLANNING",IF(M36&gt;=1,"SOLD OUT",IF(M36&gt;=0.7,"ON TRACK",IF(M36&gt;=0.3,"SLOW MOVE",IF(M36&gt;0,"STUCK","BELUM TERJUAL"))))))),"—")</f>
        <v>—</v>
      </c>
    </row>
    <row r="37" ht="18.75" customHeight="1">
      <c r="A37" s="72"/>
      <c r="B37" s="112" t="str">
        <f t="array" ref="B37">IFERROR(IF(A37="","",INDEX(HPP_ENGINE!$B:$B,MATCH(A37,HPP_ENGINE!$A:$A,0))),"")</f>
        <v/>
      </c>
      <c r="C37" s="137" t="str">
        <f t="array" ref="C37">IFERROR(IF(A37="","",INDEX(HPP_ENGINE!$C:$C,MATCH(A37,HPP_ENGINE!$A:$A,0))),"")</f>
        <v/>
      </c>
      <c r="D37" s="115">
        <f t="array" ref="D37">IFERROR(IF(A37="",0,INDEX(PRODUCTION_PLAN!$D:$D,MATCH(A37,PRODUCTION_PLAN!$A:$A,0))),0)</f>
        <v>0</v>
      </c>
      <c r="E37" s="115">
        <f t="array" ref="E37">IFERROR(IF(A37="",0,INDEX(HPP_ENGINE!$D:$D,MATCH(A37,HPP_ENGINE!$A:$A,0))),0)</f>
        <v>0</v>
      </c>
      <c r="F37" s="115">
        <f>IFERROR(IF(A37="",0,SUMIFS(SALES_TRACKER!$E$4:$E$1003,SALES_TRACKER!$B$4:$B$1003,A37)),0)</f>
        <v>0</v>
      </c>
      <c r="G37" s="115">
        <f t="shared" si="1"/>
        <v>0</v>
      </c>
      <c r="H37" s="115">
        <f t="array" ref="H37">IFERROR(IF(A37="",0,INDEX(HPP_ENGINE!$I:$I,MATCH(A37,HPP_ENGINE!$A:$A,0))),0)</f>
        <v>0</v>
      </c>
      <c r="I37" s="115">
        <f>IFERROR(IF(A37="",0,SUMIFS(SALES_TRACKER!$G$4:$G$1003,SALES_TRACKER!$B$4:$B$1003,A37)),0)</f>
        <v>0</v>
      </c>
      <c r="J37" s="114">
        <f t="shared" si="2"/>
        <v>0</v>
      </c>
      <c r="K37" s="133">
        <f t="shared" si="3"/>
        <v>0</v>
      </c>
      <c r="L37" s="133">
        <f t="shared" si="4"/>
        <v>0</v>
      </c>
      <c r="M37" s="133">
        <f t="shared" si="5"/>
        <v>0</v>
      </c>
      <c r="N37" s="76" t="str">
        <f>IFERROR(IF(A37="","—",IF(COUNTIF(HPP_ENGINE!$A$4:$A$203,A37)=0,"⚠ BELUM DI HPP",IF(E37=0,"PLANNING",IF(M37&gt;=1,"SOLD OUT",IF(M37&gt;=0.7,"ON TRACK",IF(M37&gt;=0.3,"SLOW MOVE",IF(M37&gt;0,"STUCK","BELUM TERJUAL"))))))),"—")</f>
        <v>—</v>
      </c>
    </row>
    <row r="38" ht="18.75" customHeight="1">
      <c r="A38" s="77"/>
      <c r="B38" s="116" t="str">
        <f t="array" ref="B38">IFERROR(IF(A38="","",INDEX(HPP_ENGINE!$B:$B,MATCH(A38,HPP_ENGINE!$A:$A,0))),"")</f>
        <v/>
      </c>
      <c r="C38" s="135" t="str">
        <f t="array" ref="C38">IFERROR(IF(A38="","",INDEX(HPP_ENGINE!$C:$C,MATCH(A38,HPP_ENGINE!$A:$A,0))),"")</f>
        <v/>
      </c>
      <c r="D38" s="119">
        <f t="array" ref="D38">IFERROR(IF(A38="",0,INDEX(PRODUCTION_PLAN!$D:$D,MATCH(A38,PRODUCTION_PLAN!$A:$A,0))),0)</f>
        <v>0</v>
      </c>
      <c r="E38" s="119">
        <f t="array" ref="E38">IFERROR(IF(A38="",0,INDEX(HPP_ENGINE!$D:$D,MATCH(A38,HPP_ENGINE!$A:$A,0))),0)</f>
        <v>0</v>
      </c>
      <c r="F38" s="119">
        <f>IFERROR(IF(A38="",0,SUMIFS(SALES_TRACKER!$E$4:$E$1003,SALES_TRACKER!$B$4:$B$1003,A38)),0)</f>
        <v>0</v>
      </c>
      <c r="G38" s="119">
        <f t="shared" si="1"/>
        <v>0</v>
      </c>
      <c r="H38" s="119">
        <f t="array" ref="H38">IFERROR(IF(A38="",0,INDEX(HPP_ENGINE!$I:$I,MATCH(A38,HPP_ENGINE!$A:$A,0))),0)</f>
        <v>0</v>
      </c>
      <c r="I38" s="119">
        <f>IFERROR(IF(A38="",0,SUMIFS(SALES_TRACKER!$G$4:$G$1003,SALES_TRACKER!$B$4:$B$1003,A38)),0)</f>
        <v>0</v>
      </c>
      <c r="J38" s="118">
        <f t="shared" si="2"/>
        <v>0</v>
      </c>
      <c r="K38" s="136">
        <f t="shared" si="3"/>
        <v>0</v>
      </c>
      <c r="L38" s="136">
        <f t="shared" si="4"/>
        <v>0</v>
      </c>
      <c r="M38" s="136">
        <f t="shared" si="5"/>
        <v>0</v>
      </c>
      <c r="N38" s="81" t="str">
        <f>IFERROR(IF(A38="","—",IF(COUNTIF(HPP_ENGINE!$A$4:$A$203,A38)=0,"⚠ BELUM DI HPP",IF(E38=0,"PLANNING",IF(M38&gt;=1,"SOLD OUT",IF(M38&gt;=0.7,"ON TRACK",IF(M38&gt;=0.3,"SLOW MOVE",IF(M38&gt;0,"STUCK","BELUM TERJUAL"))))))),"—")</f>
        <v>—</v>
      </c>
    </row>
    <row r="39" ht="18.75" customHeight="1">
      <c r="A39" s="72"/>
      <c r="B39" s="112" t="str">
        <f t="array" ref="B39">IFERROR(IF(A39="","",INDEX(HPP_ENGINE!$B:$B,MATCH(A39,HPP_ENGINE!$A:$A,0))),"")</f>
        <v/>
      </c>
      <c r="C39" s="137" t="str">
        <f t="array" ref="C39">IFERROR(IF(A39="","",INDEX(HPP_ENGINE!$C:$C,MATCH(A39,HPP_ENGINE!$A:$A,0))),"")</f>
        <v/>
      </c>
      <c r="D39" s="115">
        <f t="array" ref="D39">IFERROR(IF(A39="",0,INDEX(PRODUCTION_PLAN!$D:$D,MATCH(A39,PRODUCTION_PLAN!$A:$A,0))),0)</f>
        <v>0</v>
      </c>
      <c r="E39" s="115">
        <f t="array" ref="E39">IFERROR(IF(A39="",0,INDEX(HPP_ENGINE!$D:$D,MATCH(A39,HPP_ENGINE!$A:$A,0))),0)</f>
        <v>0</v>
      </c>
      <c r="F39" s="115">
        <f>IFERROR(IF(A39="",0,SUMIFS(SALES_TRACKER!$E$4:$E$1003,SALES_TRACKER!$B$4:$B$1003,A39)),0)</f>
        <v>0</v>
      </c>
      <c r="G39" s="115">
        <f t="shared" si="1"/>
        <v>0</v>
      </c>
      <c r="H39" s="115">
        <f t="array" ref="H39">IFERROR(IF(A39="",0,INDEX(HPP_ENGINE!$I:$I,MATCH(A39,HPP_ENGINE!$A:$A,0))),0)</f>
        <v>0</v>
      </c>
      <c r="I39" s="115">
        <f>IFERROR(IF(A39="",0,SUMIFS(SALES_TRACKER!$G$4:$G$1003,SALES_TRACKER!$B$4:$B$1003,A39)),0)</f>
        <v>0</v>
      </c>
      <c r="J39" s="114">
        <f t="shared" si="2"/>
        <v>0</v>
      </c>
      <c r="K39" s="133">
        <f t="shared" si="3"/>
        <v>0</v>
      </c>
      <c r="L39" s="133">
        <f t="shared" si="4"/>
        <v>0</v>
      </c>
      <c r="M39" s="133">
        <f t="shared" si="5"/>
        <v>0</v>
      </c>
      <c r="N39" s="76" t="str">
        <f>IFERROR(IF(A39="","—",IF(COUNTIF(HPP_ENGINE!$A$4:$A$203,A39)=0,"⚠ BELUM DI HPP",IF(E39=0,"PLANNING",IF(M39&gt;=1,"SOLD OUT",IF(M39&gt;=0.7,"ON TRACK",IF(M39&gt;=0.3,"SLOW MOVE",IF(M39&gt;0,"STUCK","BELUM TERJUAL"))))))),"—")</f>
        <v>—</v>
      </c>
    </row>
    <row r="40" ht="18.75" customHeight="1">
      <c r="A40" s="77"/>
      <c r="B40" s="116" t="str">
        <f t="array" ref="B40">IFERROR(IF(A40="","",INDEX(HPP_ENGINE!$B:$B,MATCH(A40,HPP_ENGINE!$A:$A,0))),"")</f>
        <v/>
      </c>
      <c r="C40" s="135" t="str">
        <f t="array" ref="C40">IFERROR(IF(A40="","",INDEX(HPP_ENGINE!$C:$C,MATCH(A40,HPP_ENGINE!$A:$A,0))),"")</f>
        <v/>
      </c>
      <c r="D40" s="119">
        <f t="array" ref="D40">IFERROR(IF(A40="",0,INDEX(PRODUCTION_PLAN!$D:$D,MATCH(A40,PRODUCTION_PLAN!$A:$A,0))),0)</f>
        <v>0</v>
      </c>
      <c r="E40" s="119">
        <f t="array" ref="E40">IFERROR(IF(A40="",0,INDEX(HPP_ENGINE!$D:$D,MATCH(A40,HPP_ENGINE!$A:$A,0))),0)</f>
        <v>0</v>
      </c>
      <c r="F40" s="119">
        <f>IFERROR(IF(A40="",0,SUMIFS(SALES_TRACKER!$E$4:$E$1003,SALES_TRACKER!$B$4:$B$1003,A40)),0)</f>
        <v>0</v>
      </c>
      <c r="G40" s="119">
        <f t="shared" si="1"/>
        <v>0</v>
      </c>
      <c r="H40" s="119">
        <f t="array" ref="H40">IFERROR(IF(A40="",0,INDEX(HPP_ENGINE!$I:$I,MATCH(A40,HPP_ENGINE!$A:$A,0))),0)</f>
        <v>0</v>
      </c>
      <c r="I40" s="119">
        <f>IFERROR(IF(A40="",0,SUMIFS(SALES_TRACKER!$G$4:$G$1003,SALES_TRACKER!$B$4:$B$1003,A40)),0)</f>
        <v>0</v>
      </c>
      <c r="J40" s="118">
        <f t="shared" si="2"/>
        <v>0</v>
      </c>
      <c r="K40" s="136">
        <f t="shared" si="3"/>
        <v>0</v>
      </c>
      <c r="L40" s="136">
        <f t="shared" si="4"/>
        <v>0</v>
      </c>
      <c r="M40" s="136">
        <f t="shared" si="5"/>
        <v>0</v>
      </c>
      <c r="N40" s="81" t="str">
        <f>IFERROR(IF(A40="","—",IF(COUNTIF(HPP_ENGINE!$A$4:$A$203,A40)=0,"⚠ BELUM DI HPP",IF(E40=0,"PLANNING",IF(M40&gt;=1,"SOLD OUT",IF(M40&gt;=0.7,"ON TRACK",IF(M40&gt;=0.3,"SLOW MOVE",IF(M40&gt;0,"STUCK","BELUM TERJUAL"))))))),"—")</f>
        <v>—</v>
      </c>
    </row>
    <row r="41" ht="18.75" customHeight="1">
      <c r="A41" s="72"/>
      <c r="B41" s="112" t="str">
        <f t="array" ref="B41">IFERROR(IF(A41="","",INDEX(HPP_ENGINE!$B:$B,MATCH(A41,HPP_ENGINE!$A:$A,0))),"")</f>
        <v/>
      </c>
      <c r="C41" s="137" t="str">
        <f t="array" ref="C41">IFERROR(IF(A41="","",INDEX(HPP_ENGINE!$C:$C,MATCH(A41,HPP_ENGINE!$A:$A,0))),"")</f>
        <v/>
      </c>
      <c r="D41" s="115">
        <f t="array" ref="D41">IFERROR(IF(A41="",0,INDEX(PRODUCTION_PLAN!$D:$D,MATCH(A41,PRODUCTION_PLAN!$A:$A,0))),0)</f>
        <v>0</v>
      </c>
      <c r="E41" s="115">
        <f t="array" ref="E41">IFERROR(IF(A41="",0,INDEX(HPP_ENGINE!$D:$D,MATCH(A41,HPP_ENGINE!$A:$A,0))),0)</f>
        <v>0</v>
      </c>
      <c r="F41" s="115">
        <f>IFERROR(IF(A41="",0,SUMIFS(SALES_TRACKER!$E$4:$E$1003,SALES_TRACKER!$B$4:$B$1003,A41)),0)</f>
        <v>0</v>
      </c>
      <c r="G41" s="115">
        <f t="shared" si="1"/>
        <v>0</v>
      </c>
      <c r="H41" s="115">
        <f t="array" ref="H41">IFERROR(IF(A41="",0,INDEX(HPP_ENGINE!$I:$I,MATCH(A41,HPP_ENGINE!$A:$A,0))),0)</f>
        <v>0</v>
      </c>
      <c r="I41" s="115">
        <f>IFERROR(IF(A41="",0,SUMIFS(SALES_TRACKER!$G$4:$G$1003,SALES_TRACKER!$B$4:$B$1003,A41)),0)</f>
        <v>0</v>
      </c>
      <c r="J41" s="114">
        <f t="shared" si="2"/>
        <v>0</v>
      </c>
      <c r="K41" s="133">
        <f t="shared" si="3"/>
        <v>0</v>
      </c>
      <c r="L41" s="133">
        <f t="shared" si="4"/>
        <v>0</v>
      </c>
      <c r="M41" s="133">
        <f t="shared" si="5"/>
        <v>0</v>
      </c>
      <c r="N41" s="76" t="str">
        <f>IFERROR(IF(A41="","—",IF(COUNTIF(HPP_ENGINE!$A$4:$A$203,A41)=0,"⚠ BELUM DI HPP",IF(E41=0,"PLANNING",IF(M41&gt;=1,"SOLD OUT",IF(M41&gt;=0.7,"ON TRACK",IF(M41&gt;=0.3,"SLOW MOVE",IF(M41&gt;0,"STUCK","BELUM TERJUAL"))))))),"—")</f>
        <v>—</v>
      </c>
    </row>
    <row r="42" ht="18.75" customHeight="1">
      <c r="A42" s="77"/>
      <c r="B42" s="116" t="str">
        <f t="array" ref="B42">IFERROR(IF(A42="","",INDEX(HPP_ENGINE!$B:$B,MATCH(A42,HPP_ENGINE!$A:$A,0))),"")</f>
        <v/>
      </c>
      <c r="C42" s="135" t="str">
        <f t="array" ref="C42">IFERROR(IF(A42="","",INDEX(HPP_ENGINE!$C:$C,MATCH(A42,HPP_ENGINE!$A:$A,0))),"")</f>
        <v/>
      </c>
      <c r="D42" s="119">
        <f t="array" ref="D42">IFERROR(IF(A42="",0,INDEX(PRODUCTION_PLAN!$D:$D,MATCH(A42,PRODUCTION_PLAN!$A:$A,0))),0)</f>
        <v>0</v>
      </c>
      <c r="E42" s="119">
        <f t="array" ref="E42">IFERROR(IF(A42="",0,INDEX(HPP_ENGINE!$D:$D,MATCH(A42,HPP_ENGINE!$A:$A,0))),0)</f>
        <v>0</v>
      </c>
      <c r="F42" s="119">
        <f>IFERROR(IF(A42="",0,SUMIFS(SALES_TRACKER!$E$4:$E$1003,SALES_TRACKER!$B$4:$B$1003,A42)),0)</f>
        <v>0</v>
      </c>
      <c r="G42" s="119">
        <f t="shared" si="1"/>
        <v>0</v>
      </c>
      <c r="H42" s="119">
        <f t="array" ref="H42">IFERROR(IF(A42="",0,INDEX(HPP_ENGINE!$I:$I,MATCH(A42,HPP_ENGINE!$A:$A,0))),0)</f>
        <v>0</v>
      </c>
      <c r="I42" s="119">
        <f>IFERROR(IF(A42="",0,SUMIFS(SALES_TRACKER!$G$4:$G$1003,SALES_TRACKER!$B$4:$B$1003,A42)),0)</f>
        <v>0</v>
      </c>
      <c r="J42" s="118">
        <f t="shared" si="2"/>
        <v>0</v>
      </c>
      <c r="K42" s="136">
        <f t="shared" si="3"/>
        <v>0</v>
      </c>
      <c r="L42" s="136">
        <f t="shared" si="4"/>
        <v>0</v>
      </c>
      <c r="M42" s="136">
        <f t="shared" si="5"/>
        <v>0</v>
      </c>
      <c r="N42" s="81" t="str">
        <f>IFERROR(IF(A42="","—",IF(COUNTIF(HPP_ENGINE!$A$4:$A$203,A42)=0,"⚠ BELUM DI HPP",IF(E42=0,"PLANNING",IF(M42&gt;=1,"SOLD OUT",IF(M42&gt;=0.7,"ON TRACK",IF(M42&gt;=0.3,"SLOW MOVE",IF(M42&gt;0,"STUCK","BELUM TERJUAL"))))))),"—")</f>
        <v>—</v>
      </c>
    </row>
    <row r="43" ht="18.75" customHeight="1">
      <c r="A43" s="72"/>
      <c r="B43" s="112" t="str">
        <f t="array" ref="B43">IFERROR(IF(A43="","",INDEX(HPP_ENGINE!$B:$B,MATCH(A43,HPP_ENGINE!$A:$A,0))),"")</f>
        <v/>
      </c>
      <c r="C43" s="137" t="str">
        <f t="array" ref="C43">IFERROR(IF(A43="","",INDEX(HPP_ENGINE!$C:$C,MATCH(A43,HPP_ENGINE!$A:$A,0))),"")</f>
        <v/>
      </c>
      <c r="D43" s="115">
        <f t="array" ref="D43">IFERROR(IF(A43="",0,INDEX(PRODUCTION_PLAN!$D:$D,MATCH(A43,PRODUCTION_PLAN!$A:$A,0))),0)</f>
        <v>0</v>
      </c>
      <c r="E43" s="115">
        <f t="array" ref="E43">IFERROR(IF(A43="",0,INDEX(HPP_ENGINE!$D:$D,MATCH(A43,HPP_ENGINE!$A:$A,0))),0)</f>
        <v>0</v>
      </c>
      <c r="F43" s="115">
        <f>IFERROR(IF(A43="",0,SUMIFS(SALES_TRACKER!$E$4:$E$1003,SALES_TRACKER!$B$4:$B$1003,A43)),0)</f>
        <v>0</v>
      </c>
      <c r="G43" s="115">
        <f t="shared" si="1"/>
        <v>0</v>
      </c>
      <c r="H43" s="115">
        <f t="array" ref="H43">IFERROR(IF(A43="",0,INDEX(HPP_ENGINE!$I:$I,MATCH(A43,HPP_ENGINE!$A:$A,0))),0)</f>
        <v>0</v>
      </c>
      <c r="I43" s="115">
        <f>IFERROR(IF(A43="",0,SUMIFS(SALES_TRACKER!$G$4:$G$1003,SALES_TRACKER!$B$4:$B$1003,A43)),0)</f>
        <v>0</v>
      </c>
      <c r="J43" s="114">
        <f t="shared" si="2"/>
        <v>0</v>
      </c>
      <c r="K43" s="133">
        <f t="shared" si="3"/>
        <v>0</v>
      </c>
      <c r="L43" s="133">
        <f t="shared" si="4"/>
        <v>0</v>
      </c>
      <c r="M43" s="133">
        <f t="shared" si="5"/>
        <v>0</v>
      </c>
      <c r="N43" s="76" t="str">
        <f>IFERROR(IF(A43="","—",IF(COUNTIF(HPP_ENGINE!$A$4:$A$203,A43)=0,"⚠ BELUM DI HPP",IF(E43=0,"PLANNING",IF(M43&gt;=1,"SOLD OUT",IF(M43&gt;=0.7,"ON TRACK",IF(M43&gt;=0.3,"SLOW MOVE",IF(M43&gt;0,"STUCK","BELUM TERJUAL"))))))),"—")</f>
        <v>—</v>
      </c>
    </row>
    <row r="44" ht="18.75" customHeight="1">
      <c r="A44" s="77"/>
      <c r="B44" s="116" t="str">
        <f t="array" ref="B44">IFERROR(IF(A44="","",INDEX(HPP_ENGINE!$B:$B,MATCH(A44,HPP_ENGINE!$A:$A,0))),"")</f>
        <v/>
      </c>
      <c r="C44" s="135" t="str">
        <f t="array" ref="C44">IFERROR(IF(A44="","",INDEX(HPP_ENGINE!$C:$C,MATCH(A44,HPP_ENGINE!$A:$A,0))),"")</f>
        <v/>
      </c>
      <c r="D44" s="119">
        <f t="array" ref="D44">IFERROR(IF(A44="",0,INDEX(PRODUCTION_PLAN!$D:$D,MATCH(A44,PRODUCTION_PLAN!$A:$A,0))),0)</f>
        <v>0</v>
      </c>
      <c r="E44" s="119">
        <f t="array" ref="E44">IFERROR(IF(A44="",0,INDEX(HPP_ENGINE!$D:$D,MATCH(A44,HPP_ENGINE!$A:$A,0))),0)</f>
        <v>0</v>
      </c>
      <c r="F44" s="119">
        <f>IFERROR(IF(A44="",0,SUMIFS(SALES_TRACKER!$E$4:$E$1003,SALES_TRACKER!$B$4:$B$1003,A44)),0)</f>
        <v>0</v>
      </c>
      <c r="G44" s="119">
        <f t="shared" si="1"/>
        <v>0</v>
      </c>
      <c r="H44" s="119">
        <f t="array" ref="H44">IFERROR(IF(A44="",0,INDEX(HPP_ENGINE!$I:$I,MATCH(A44,HPP_ENGINE!$A:$A,0))),0)</f>
        <v>0</v>
      </c>
      <c r="I44" s="119">
        <f>IFERROR(IF(A44="",0,SUMIFS(SALES_TRACKER!$G$4:$G$1003,SALES_TRACKER!$B$4:$B$1003,A44)),0)</f>
        <v>0</v>
      </c>
      <c r="J44" s="118">
        <f t="shared" si="2"/>
        <v>0</v>
      </c>
      <c r="K44" s="136">
        <f t="shared" si="3"/>
        <v>0</v>
      </c>
      <c r="L44" s="136">
        <f t="shared" si="4"/>
        <v>0</v>
      </c>
      <c r="M44" s="136">
        <f t="shared" si="5"/>
        <v>0</v>
      </c>
      <c r="N44" s="81" t="str">
        <f>IFERROR(IF(A44="","—",IF(COUNTIF(HPP_ENGINE!$A$4:$A$203,A44)=0,"⚠ BELUM DI HPP",IF(E44=0,"PLANNING",IF(M44&gt;=1,"SOLD OUT",IF(M44&gt;=0.7,"ON TRACK",IF(M44&gt;=0.3,"SLOW MOVE",IF(M44&gt;0,"STUCK","BELUM TERJUAL"))))))),"—")</f>
        <v>—</v>
      </c>
    </row>
    <row r="45" ht="18.75" customHeight="1">
      <c r="A45" s="72"/>
      <c r="B45" s="112" t="str">
        <f t="array" ref="B45">IFERROR(IF(A45="","",INDEX(HPP_ENGINE!$B:$B,MATCH(A45,HPP_ENGINE!$A:$A,0))),"")</f>
        <v/>
      </c>
      <c r="C45" s="137" t="str">
        <f t="array" ref="C45">IFERROR(IF(A45="","",INDEX(HPP_ENGINE!$C:$C,MATCH(A45,HPP_ENGINE!$A:$A,0))),"")</f>
        <v/>
      </c>
      <c r="D45" s="115">
        <f t="array" ref="D45">IFERROR(IF(A45="",0,INDEX(PRODUCTION_PLAN!$D:$D,MATCH(A45,PRODUCTION_PLAN!$A:$A,0))),0)</f>
        <v>0</v>
      </c>
      <c r="E45" s="115">
        <f t="array" ref="E45">IFERROR(IF(A45="",0,INDEX(HPP_ENGINE!$D:$D,MATCH(A45,HPP_ENGINE!$A:$A,0))),0)</f>
        <v>0</v>
      </c>
      <c r="F45" s="115">
        <f>IFERROR(IF(A45="",0,SUMIFS(SALES_TRACKER!$E$4:$E$1003,SALES_TRACKER!$B$4:$B$1003,A45)),0)</f>
        <v>0</v>
      </c>
      <c r="G45" s="115">
        <f t="shared" si="1"/>
        <v>0</v>
      </c>
      <c r="H45" s="115">
        <f t="array" ref="H45">IFERROR(IF(A45="",0,INDEX(HPP_ENGINE!$I:$I,MATCH(A45,HPP_ENGINE!$A:$A,0))),0)</f>
        <v>0</v>
      </c>
      <c r="I45" s="115">
        <f>IFERROR(IF(A45="",0,SUMIFS(SALES_TRACKER!$G$4:$G$1003,SALES_TRACKER!$B$4:$B$1003,A45)),0)</f>
        <v>0</v>
      </c>
      <c r="J45" s="114">
        <f t="shared" si="2"/>
        <v>0</v>
      </c>
      <c r="K45" s="133">
        <f t="shared" si="3"/>
        <v>0</v>
      </c>
      <c r="L45" s="133">
        <f t="shared" si="4"/>
        <v>0</v>
      </c>
      <c r="M45" s="133">
        <f t="shared" si="5"/>
        <v>0</v>
      </c>
      <c r="N45" s="76" t="str">
        <f>IFERROR(IF(A45="","—",IF(COUNTIF(HPP_ENGINE!$A$4:$A$203,A45)=0,"⚠ BELUM DI HPP",IF(E45=0,"PLANNING",IF(M45&gt;=1,"SOLD OUT",IF(M45&gt;=0.7,"ON TRACK",IF(M45&gt;=0.3,"SLOW MOVE",IF(M45&gt;0,"STUCK","BELUM TERJUAL"))))))),"—")</f>
        <v>—</v>
      </c>
    </row>
    <row r="46" ht="18.75" customHeight="1">
      <c r="A46" s="77"/>
      <c r="B46" s="116" t="str">
        <f t="array" ref="B46">IFERROR(IF(A46="","",INDEX(HPP_ENGINE!$B:$B,MATCH(A46,HPP_ENGINE!$A:$A,0))),"")</f>
        <v/>
      </c>
      <c r="C46" s="135" t="str">
        <f t="array" ref="C46">IFERROR(IF(A46="","",INDEX(HPP_ENGINE!$C:$C,MATCH(A46,HPP_ENGINE!$A:$A,0))),"")</f>
        <v/>
      </c>
      <c r="D46" s="119">
        <f t="array" ref="D46">IFERROR(IF(A46="",0,INDEX(PRODUCTION_PLAN!$D:$D,MATCH(A46,PRODUCTION_PLAN!$A:$A,0))),0)</f>
        <v>0</v>
      </c>
      <c r="E46" s="119">
        <f t="array" ref="E46">IFERROR(IF(A46="",0,INDEX(HPP_ENGINE!$D:$D,MATCH(A46,HPP_ENGINE!$A:$A,0))),0)</f>
        <v>0</v>
      </c>
      <c r="F46" s="119">
        <f>IFERROR(IF(A46="",0,SUMIFS(SALES_TRACKER!$E$4:$E$1003,SALES_TRACKER!$B$4:$B$1003,A46)),0)</f>
        <v>0</v>
      </c>
      <c r="G46" s="119">
        <f t="shared" si="1"/>
        <v>0</v>
      </c>
      <c r="H46" s="119">
        <f t="array" ref="H46">IFERROR(IF(A46="",0,INDEX(HPP_ENGINE!$I:$I,MATCH(A46,HPP_ENGINE!$A:$A,0))),0)</f>
        <v>0</v>
      </c>
      <c r="I46" s="119">
        <f>IFERROR(IF(A46="",0,SUMIFS(SALES_TRACKER!$G$4:$G$1003,SALES_TRACKER!$B$4:$B$1003,A46)),0)</f>
        <v>0</v>
      </c>
      <c r="J46" s="118">
        <f t="shared" si="2"/>
        <v>0</v>
      </c>
      <c r="K46" s="136">
        <f t="shared" si="3"/>
        <v>0</v>
      </c>
      <c r="L46" s="136">
        <f t="shared" si="4"/>
        <v>0</v>
      </c>
      <c r="M46" s="136">
        <f t="shared" si="5"/>
        <v>0</v>
      </c>
      <c r="N46" s="81" t="str">
        <f>IFERROR(IF(A46="","—",IF(COUNTIF(HPP_ENGINE!$A$4:$A$203,A46)=0,"⚠ BELUM DI HPP",IF(E46=0,"PLANNING",IF(M46&gt;=1,"SOLD OUT",IF(M46&gt;=0.7,"ON TRACK",IF(M46&gt;=0.3,"SLOW MOVE",IF(M46&gt;0,"STUCK","BELUM TERJUAL"))))))),"—")</f>
        <v>—</v>
      </c>
    </row>
    <row r="47" ht="18.75" customHeight="1">
      <c r="A47" s="72"/>
      <c r="B47" s="112" t="str">
        <f t="array" ref="B47">IFERROR(IF(A47="","",INDEX(HPP_ENGINE!$B:$B,MATCH(A47,HPP_ENGINE!$A:$A,0))),"")</f>
        <v/>
      </c>
      <c r="C47" s="137" t="str">
        <f t="array" ref="C47">IFERROR(IF(A47="","",INDEX(HPP_ENGINE!$C:$C,MATCH(A47,HPP_ENGINE!$A:$A,0))),"")</f>
        <v/>
      </c>
      <c r="D47" s="115">
        <f t="array" ref="D47">IFERROR(IF(A47="",0,INDEX(PRODUCTION_PLAN!$D:$D,MATCH(A47,PRODUCTION_PLAN!$A:$A,0))),0)</f>
        <v>0</v>
      </c>
      <c r="E47" s="115">
        <f t="array" ref="E47">IFERROR(IF(A47="",0,INDEX(HPP_ENGINE!$D:$D,MATCH(A47,HPP_ENGINE!$A:$A,0))),0)</f>
        <v>0</v>
      </c>
      <c r="F47" s="115">
        <f>IFERROR(IF(A47="",0,SUMIFS(SALES_TRACKER!$E$4:$E$1003,SALES_TRACKER!$B$4:$B$1003,A47)),0)</f>
        <v>0</v>
      </c>
      <c r="G47" s="115">
        <f t="shared" si="1"/>
        <v>0</v>
      </c>
      <c r="H47" s="115">
        <f t="array" ref="H47">IFERROR(IF(A47="",0,INDEX(HPP_ENGINE!$I:$I,MATCH(A47,HPP_ENGINE!$A:$A,0))),0)</f>
        <v>0</v>
      </c>
      <c r="I47" s="115">
        <f>IFERROR(IF(A47="",0,SUMIFS(SALES_TRACKER!$G$4:$G$1003,SALES_TRACKER!$B$4:$B$1003,A47)),0)</f>
        <v>0</v>
      </c>
      <c r="J47" s="114">
        <f t="shared" si="2"/>
        <v>0</v>
      </c>
      <c r="K47" s="133">
        <f t="shared" si="3"/>
        <v>0</v>
      </c>
      <c r="L47" s="133">
        <f t="shared" si="4"/>
        <v>0</v>
      </c>
      <c r="M47" s="133">
        <f t="shared" si="5"/>
        <v>0</v>
      </c>
      <c r="N47" s="76" t="str">
        <f>IFERROR(IF(A47="","—",IF(COUNTIF(HPP_ENGINE!$A$4:$A$203,A47)=0,"⚠ BELUM DI HPP",IF(E47=0,"PLANNING",IF(M47&gt;=1,"SOLD OUT",IF(M47&gt;=0.7,"ON TRACK",IF(M47&gt;=0.3,"SLOW MOVE",IF(M47&gt;0,"STUCK","BELUM TERJUAL"))))))),"—")</f>
        <v>—</v>
      </c>
    </row>
    <row r="48" ht="18.75" customHeight="1">
      <c r="A48" s="77"/>
      <c r="B48" s="116" t="str">
        <f t="array" ref="B48">IFERROR(IF(A48="","",INDEX(HPP_ENGINE!$B:$B,MATCH(A48,HPP_ENGINE!$A:$A,0))),"")</f>
        <v/>
      </c>
      <c r="C48" s="135" t="str">
        <f t="array" ref="C48">IFERROR(IF(A48="","",INDEX(HPP_ENGINE!$C:$C,MATCH(A48,HPP_ENGINE!$A:$A,0))),"")</f>
        <v/>
      </c>
      <c r="D48" s="119">
        <f t="array" ref="D48">IFERROR(IF(A48="",0,INDEX(PRODUCTION_PLAN!$D:$D,MATCH(A48,PRODUCTION_PLAN!$A:$A,0))),0)</f>
        <v>0</v>
      </c>
      <c r="E48" s="119">
        <f t="array" ref="E48">IFERROR(IF(A48="",0,INDEX(HPP_ENGINE!$D:$D,MATCH(A48,HPP_ENGINE!$A:$A,0))),0)</f>
        <v>0</v>
      </c>
      <c r="F48" s="119">
        <f>IFERROR(IF(A48="",0,SUMIFS(SALES_TRACKER!$E$4:$E$1003,SALES_TRACKER!$B$4:$B$1003,A48)),0)</f>
        <v>0</v>
      </c>
      <c r="G48" s="119">
        <f t="shared" si="1"/>
        <v>0</v>
      </c>
      <c r="H48" s="119">
        <f t="array" ref="H48">IFERROR(IF(A48="",0,INDEX(HPP_ENGINE!$I:$I,MATCH(A48,HPP_ENGINE!$A:$A,0))),0)</f>
        <v>0</v>
      </c>
      <c r="I48" s="119">
        <f>IFERROR(IF(A48="",0,SUMIFS(SALES_TRACKER!$G$4:$G$1003,SALES_TRACKER!$B$4:$B$1003,A48)),0)</f>
        <v>0</v>
      </c>
      <c r="J48" s="118">
        <f t="shared" si="2"/>
        <v>0</v>
      </c>
      <c r="K48" s="136">
        <f t="shared" si="3"/>
        <v>0</v>
      </c>
      <c r="L48" s="136">
        <f t="shared" si="4"/>
        <v>0</v>
      </c>
      <c r="M48" s="136">
        <f t="shared" si="5"/>
        <v>0</v>
      </c>
      <c r="N48" s="81" t="str">
        <f>IFERROR(IF(A48="","—",IF(COUNTIF(HPP_ENGINE!$A$4:$A$203,A48)=0,"⚠ BELUM DI HPP",IF(E48=0,"PLANNING",IF(M48&gt;=1,"SOLD OUT",IF(M48&gt;=0.7,"ON TRACK",IF(M48&gt;=0.3,"SLOW MOVE",IF(M48&gt;0,"STUCK","BELUM TERJUAL"))))))),"—")</f>
        <v>—</v>
      </c>
    </row>
    <row r="49" ht="18.75" customHeight="1">
      <c r="A49" s="72"/>
      <c r="B49" s="112" t="str">
        <f t="array" ref="B49">IFERROR(IF(A49="","",INDEX(HPP_ENGINE!$B:$B,MATCH(A49,HPP_ENGINE!$A:$A,0))),"")</f>
        <v/>
      </c>
      <c r="C49" s="137" t="str">
        <f t="array" ref="C49">IFERROR(IF(A49="","",INDEX(HPP_ENGINE!$C:$C,MATCH(A49,HPP_ENGINE!$A:$A,0))),"")</f>
        <v/>
      </c>
      <c r="D49" s="115">
        <f t="array" ref="D49">IFERROR(IF(A49="",0,INDEX(PRODUCTION_PLAN!$D:$D,MATCH(A49,PRODUCTION_PLAN!$A:$A,0))),0)</f>
        <v>0</v>
      </c>
      <c r="E49" s="115">
        <f t="array" ref="E49">IFERROR(IF(A49="",0,INDEX(HPP_ENGINE!$D:$D,MATCH(A49,HPP_ENGINE!$A:$A,0))),0)</f>
        <v>0</v>
      </c>
      <c r="F49" s="115">
        <f>IFERROR(IF(A49="",0,SUMIFS(SALES_TRACKER!$E$4:$E$1003,SALES_TRACKER!$B$4:$B$1003,A49)),0)</f>
        <v>0</v>
      </c>
      <c r="G49" s="115">
        <f t="shared" si="1"/>
        <v>0</v>
      </c>
      <c r="H49" s="115">
        <f t="array" ref="H49">IFERROR(IF(A49="",0,INDEX(HPP_ENGINE!$I:$I,MATCH(A49,HPP_ENGINE!$A:$A,0))),0)</f>
        <v>0</v>
      </c>
      <c r="I49" s="115">
        <f>IFERROR(IF(A49="",0,SUMIFS(SALES_TRACKER!$G$4:$G$1003,SALES_TRACKER!$B$4:$B$1003,A49)),0)</f>
        <v>0</v>
      </c>
      <c r="J49" s="114">
        <f t="shared" si="2"/>
        <v>0</v>
      </c>
      <c r="K49" s="133">
        <f t="shared" si="3"/>
        <v>0</v>
      </c>
      <c r="L49" s="133">
        <f t="shared" si="4"/>
        <v>0</v>
      </c>
      <c r="M49" s="133">
        <f t="shared" si="5"/>
        <v>0</v>
      </c>
      <c r="N49" s="76" t="str">
        <f>IFERROR(IF(A49="","—",IF(COUNTIF(HPP_ENGINE!$A$4:$A$203,A49)=0,"⚠ BELUM DI HPP",IF(E49=0,"PLANNING",IF(M49&gt;=1,"SOLD OUT",IF(M49&gt;=0.7,"ON TRACK",IF(M49&gt;=0.3,"SLOW MOVE",IF(M49&gt;0,"STUCK","BELUM TERJUAL"))))))),"—")</f>
        <v>—</v>
      </c>
    </row>
    <row r="50" ht="18.75" customHeight="1">
      <c r="A50" s="77"/>
      <c r="B50" s="116" t="str">
        <f t="array" ref="B50">IFERROR(IF(A50="","",INDEX(HPP_ENGINE!$B:$B,MATCH(A50,HPP_ENGINE!$A:$A,0))),"")</f>
        <v/>
      </c>
      <c r="C50" s="135" t="str">
        <f t="array" ref="C50">IFERROR(IF(A50="","",INDEX(HPP_ENGINE!$C:$C,MATCH(A50,HPP_ENGINE!$A:$A,0))),"")</f>
        <v/>
      </c>
      <c r="D50" s="119">
        <f t="array" ref="D50">IFERROR(IF(A50="",0,INDEX(PRODUCTION_PLAN!$D:$D,MATCH(A50,PRODUCTION_PLAN!$A:$A,0))),0)</f>
        <v>0</v>
      </c>
      <c r="E50" s="119">
        <f t="array" ref="E50">IFERROR(IF(A50="",0,INDEX(HPP_ENGINE!$D:$D,MATCH(A50,HPP_ENGINE!$A:$A,0))),0)</f>
        <v>0</v>
      </c>
      <c r="F50" s="119">
        <f>IFERROR(IF(A50="",0,SUMIFS(SALES_TRACKER!$E$4:$E$1003,SALES_TRACKER!$B$4:$B$1003,A50)),0)</f>
        <v>0</v>
      </c>
      <c r="G50" s="119">
        <f t="shared" si="1"/>
        <v>0</v>
      </c>
      <c r="H50" s="119">
        <f t="array" ref="H50">IFERROR(IF(A50="",0,INDEX(HPP_ENGINE!$I:$I,MATCH(A50,HPP_ENGINE!$A:$A,0))),0)</f>
        <v>0</v>
      </c>
      <c r="I50" s="119">
        <f>IFERROR(IF(A50="",0,SUMIFS(SALES_TRACKER!$G$4:$G$1003,SALES_TRACKER!$B$4:$B$1003,A50)),0)</f>
        <v>0</v>
      </c>
      <c r="J50" s="118">
        <f t="shared" si="2"/>
        <v>0</v>
      </c>
      <c r="K50" s="136">
        <f t="shared" si="3"/>
        <v>0</v>
      </c>
      <c r="L50" s="136">
        <f t="shared" si="4"/>
        <v>0</v>
      </c>
      <c r="M50" s="136">
        <f t="shared" si="5"/>
        <v>0</v>
      </c>
      <c r="N50" s="81" t="str">
        <f>IFERROR(IF(A50="","—",IF(COUNTIF(HPP_ENGINE!$A$4:$A$203,A50)=0,"⚠ BELUM DI HPP",IF(E50=0,"PLANNING",IF(M50&gt;=1,"SOLD OUT",IF(M50&gt;=0.7,"ON TRACK",IF(M50&gt;=0.3,"SLOW MOVE",IF(M50&gt;0,"STUCK","BELUM TERJUAL"))))))),"—")</f>
        <v>—</v>
      </c>
    </row>
    <row r="51" ht="18.75" customHeight="1">
      <c r="A51" s="72"/>
      <c r="B51" s="112" t="str">
        <f t="array" ref="B51">IFERROR(IF(A51="","",INDEX(HPP_ENGINE!$B:$B,MATCH(A51,HPP_ENGINE!$A:$A,0))),"")</f>
        <v/>
      </c>
      <c r="C51" s="137" t="str">
        <f t="array" ref="C51">IFERROR(IF(A51="","",INDEX(HPP_ENGINE!$C:$C,MATCH(A51,HPP_ENGINE!$A:$A,0))),"")</f>
        <v/>
      </c>
      <c r="D51" s="115">
        <f t="array" ref="D51">IFERROR(IF(A51="",0,INDEX(PRODUCTION_PLAN!$D:$D,MATCH(A51,PRODUCTION_PLAN!$A:$A,0))),0)</f>
        <v>0</v>
      </c>
      <c r="E51" s="115">
        <f t="array" ref="E51">IFERROR(IF(A51="",0,INDEX(HPP_ENGINE!$D:$D,MATCH(A51,HPP_ENGINE!$A:$A,0))),0)</f>
        <v>0</v>
      </c>
      <c r="F51" s="115">
        <f>IFERROR(IF(A51="",0,SUMIFS(SALES_TRACKER!$E$4:$E$1003,SALES_TRACKER!$B$4:$B$1003,A51)),0)</f>
        <v>0</v>
      </c>
      <c r="G51" s="115">
        <f t="shared" si="1"/>
        <v>0</v>
      </c>
      <c r="H51" s="115">
        <f t="array" ref="H51">IFERROR(IF(A51="",0,INDEX(HPP_ENGINE!$I:$I,MATCH(A51,HPP_ENGINE!$A:$A,0))),0)</f>
        <v>0</v>
      </c>
      <c r="I51" s="115">
        <f>IFERROR(IF(A51="",0,SUMIFS(SALES_TRACKER!$G$4:$G$1003,SALES_TRACKER!$B$4:$B$1003,A51)),0)</f>
        <v>0</v>
      </c>
      <c r="J51" s="114">
        <f t="shared" si="2"/>
        <v>0</v>
      </c>
      <c r="K51" s="133">
        <f t="shared" si="3"/>
        <v>0</v>
      </c>
      <c r="L51" s="133">
        <f t="shared" si="4"/>
        <v>0</v>
      </c>
      <c r="M51" s="133">
        <f t="shared" si="5"/>
        <v>0</v>
      </c>
      <c r="N51" s="76" t="str">
        <f>IFERROR(IF(A51="","—",IF(COUNTIF(HPP_ENGINE!$A$4:$A$203,A51)=0,"⚠ BELUM DI HPP",IF(E51=0,"PLANNING",IF(M51&gt;=1,"SOLD OUT",IF(M51&gt;=0.7,"ON TRACK",IF(M51&gt;=0.3,"SLOW MOVE",IF(M51&gt;0,"STUCK","BELUM TERJUAL"))))))),"—")</f>
        <v>—</v>
      </c>
    </row>
    <row r="52" ht="18.75" customHeight="1">
      <c r="A52" s="77"/>
      <c r="B52" s="116" t="str">
        <f t="array" ref="B52">IFERROR(IF(A52="","",INDEX(HPP_ENGINE!$B:$B,MATCH(A52,HPP_ENGINE!$A:$A,0))),"")</f>
        <v/>
      </c>
      <c r="C52" s="135" t="str">
        <f t="array" ref="C52">IFERROR(IF(A52="","",INDEX(HPP_ENGINE!$C:$C,MATCH(A52,HPP_ENGINE!$A:$A,0))),"")</f>
        <v/>
      </c>
      <c r="D52" s="119">
        <f t="array" ref="D52">IFERROR(IF(A52="",0,INDEX(PRODUCTION_PLAN!$D:$D,MATCH(A52,PRODUCTION_PLAN!$A:$A,0))),0)</f>
        <v>0</v>
      </c>
      <c r="E52" s="119">
        <f t="array" ref="E52">IFERROR(IF(A52="",0,INDEX(HPP_ENGINE!$D:$D,MATCH(A52,HPP_ENGINE!$A:$A,0))),0)</f>
        <v>0</v>
      </c>
      <c r="F52" s="119">
        <f>IFERROR(IF(A52="",0,SUMIFS(SALES_TRACKER!$E$4:$E$1003,SALES_TRACKER!$B$4:$B$1003,A52)),0)</f>
        <v>0</v>
      </c>
      <c r="G52" s="119">
        <f t="shared" si="1"/>
        <v>0</v>
      </c>
      <c r="H52" s="119">
        <f t="array" ref="H52">IFERROR(IF(A52="",0,INDEX(HPP_ENGINE!$I:$I,MATCH(A52,HPP_ENGINE!$A:$A,0))),0)</f>
        <v>0</v>
      </c>
      <c r="I52" s="119">
        <f>IFERROR(IF(A52="",0,SUMIFS(SALES_TRACKER!$G$4:$G$1003,SALES_TRACKER!$B$4:$B$1003,A52)),0)</f>
        <v>0</v>
      </c>
      <c r="J52" s="118">
        <f t="shared" si="2"/>
        <v>0</v>
      </c>
      <c r="K52" s="136">
        <f t="shared" si="3"/>
        <v>0</v>
      </c>
      <c r="L52" s="136">
        <f t="shared" si="4"/>
        <v>0</v>
      </c>
      <c r="M52" s="136">
        <f t="shared" si="5"/>
        <v>0</v>
      </c>
      <c r="N52" s="81" t="str">
        <f>IFERROR(IF(A52="","—",IF(COUNTIF(HPP_ENGINE!$A$4:$A$203,A52)=0,"⚠ BELUM DI HPP",IF(E52=0,"PLANNING",IF(M52&gt;=1,"SOLD OUT",IF(M52&gt;=0.7,"ON TRACK",IF(M52&gt;=0.3,"SLOW MOVE",IF(M52&gt;0,"STUCK","BELUM TERJUAL"))))))),"—")</f>
        <v>—</v>
      </c>
    </row>
    <row r="53" ht="18.75" customHeight="1">
      <c r="A53" s="72"/>
      <c r="B53" s="112" t="str">
        <f t="array" ref="B53">IFERROR(IF(A53="","",INDEX(HPP_ENGINE!$B:$B,MATCH(A53,HPP_ENGINE!$A:$A,0))),"")</f>
        <v/>
      </c>
      <c r="C53" s="137" t="str">
        <f t="array" ref="C53">IFERROR(IF(A53="","",INDEX(HPP_ENGINE!$C:$C,MATCH(A53,HPP_ENGINE!$A:$A,0))),"")</f>
        <v/>
      </c>
      <c r="D53" s="115">
        <f t="array" ref="D53">IFERROR(IF(A53="",0,INDEX(PRODUCTION_PLAN!$D:$D,MATCH(A53,PRODUCTION_PLAN!$A:$A,0))),0)</f>
        <v>0</v>
      </c>
      <c r="E53" s="115">
        <f t="array" ref="E53">IFERROR(IF(A53="",0,INDEX(HPP_ENGINE!$D:$D,MATCH(A53,HPP_ENGINE!$A:$A,0))),0)</f>
        <v>0</v>
      </c>
      <c r="F53" s="115">
        <f>IFERROR(IF(A53="",0,SUMIFS(SALES_TRACKER!$E$4:$E$1003,SALES_TRACKER!$B$4:$B$1003,A53)),0)</f>
        <v>0</v>
      </c>
      <c r="G53" s="115">
        <f t="shared" si="1"/>
        <v>0</v>
      </c>
      <c r="H53" s="115">
        <f t="array" ref="H53">IFERROR(IF(A53="",0,INDEX(HPP_ENGINE!$I:$I,MATCH(A53,HPP_ENGINE!$A:$A,0))),0)</f>
        <v>0</v>
      </c>
      <c r="I53" s="115">
        <f>IFERROR(IF(A53="",0,SUMIFS(SALES_TRACKER!$G$4:$G$1003,SALES_TRACKER!$B$4:$B$1003,A53)),0)</f>
        <v>0</v>
      </c>
      <c r="J53" s="114">
        <f t="shared" si="2"/>
        <v>0</v>
      </c>
      <c r="K53" s="133">
        <f t="shared" si="3"/>
        <v>0</v>
      </c>
      <c r="L53" s="133">
        <f t="shared" si="4"/>
        <v>0</v>
      </c>
      <c r="M53" s="133">
        <f t="shared" si="5"/>
        <v>0</v>
      </c>
      <c r="N53" s="76" t="str">
        <f>IFERROR(IF(A53="","—",IF(COUNTIF(HPP_ENGINE!$A$4:$A$203,A53)=0,"⚠ BELUM DI HPP",IF(E53=0,"PLANNING",IF(M53&gt;=1,"SOLD OUT",IF(M53&gt;=0.7,"ON TRACK",IF(M53&gt;=0.3,"SLOW MOVE",IF(M53&gt;0,"STUCK","BELUM TERJUAL"))))))),"—")</f>
        <v>—</v>
      </c>
    </row>
    <row r="54" ht="18.75" customHeight="1">
      <c r="A54" s="77"/>
      <c r="B54" s="116" t="str">
        <f t="array" ref="B54">IFERROR(IF(A54="","",INDEX(HPP_ENGINE!$B:$B,MATCH(A54,HPP_ENGINE!$A:$A,0))),"")</f>
        <v/>
      </c>
      <c r="C54" s="135" t="str">
        <f t="array" ref="C54">IFERROR(IF(A54="","",INDEX(HPP_ENGINE!$C:$C,MATCH(A54,HPP_ENGINE!$A:$A,0))),"")</f>
        <v/>
      </c>
      <c r="D54" s="119">
        <f t="array" ref="D54">IFERROR(IF(A54="",0,INDEX(PRODUCTION_PLAN!$D:$D,MATCH(A54,PRODUCTION_PLAN!$A:$A,0))),0)</f>
        <v>0</v>
      </c>
      <c r="E54" s="119">
        <f t="array" ref="E54">IFERROR(IF(A54="",0,INDEX(HPP_ENGINE!$D:$D,MATCH(A54,HPP_ENGINE!$A:$A,0))),0)</f>
        <v>0</v>
      </c>
      <c r="F54" s="119">
        <f>IFERROR(IF(A54="",0,SUMIFS(SALES_TRACKER!$E$4:$E$1003,SALES_TRACKER!$B$4:$B$1003,A54)),0)</f>
        <v>0</v>
      </c>
      <c r="G54" s="119">
        <f t="shared" si="1"/>
        <v>0</v>
      </c>
      <c r="H54" s="119">
        <f t="array" ref="H54">IFERROR(IF(A54="",0,INDEX(HPP_ENGINE!$I:$I,MATCH(A54,HPP_ENGINE!$A:$A,0))),0)</f>
        <v>0</v>
      </c>
      <c r="I54" s="119">
        <f>IFERROR(IF(A54="",0,SUMIFS(SALES_TRACKER!$G$4:$G$1003,SALES_TRACKER!$B$4:$B$1003,A54)),0)</f>
        <v>0</v>
      </c>
      <c r="J54" s="118">
        <f t="shared" si="2"/>
        <v>0</v>
      </c>
      <c r="K54" s="136">
        <f t="shared" si="3"/>
        <v>0</v>
      </c>
      <c r="L54" s="136">
        <f t="shared" si="4"/>
        <v>0</v>
      </c>
      <c r="M54" s="136">
        <f t="shared" si="5"/>
        <v>0</v>
      </c>
      <c r="N54" s="81" t="str">
        <f>IFERROR(IF(A54="","—",IF(COUNTIF(HPP_ENGINE!$A$4:$A$203,A54)=0,"⚠ BELUM DI HPP",IF(E54=0,"PLANNING",IF(M54&gt;=1,"SOLD OUT",IF(M54&gt;=0.7,"ON TRACK",IF(M54&gt;=0.3,"SLOW MOVE",IF(M54&gt;0,"STUCK","BELUM TERJUAL"))))))),"—")</f>
        <v>—</v>
      </c>
    </row>
    <row r="55" ht="18.75" customHeight="1">
      <c r="A55" s="72"/>
      <c r="B55" s="112" t="str">
        <f t="array" ref="B55">IFERROR(IF(A55="","",INDEX(HPP_ENGINE!$B:$B,MATCH(A55,HPP_ENGINE!$A:$A,0))),"")</f>
        <v/>
      </c>
      <c r="C55" s="137" t="str">
        <f t="array" ref="C55">IFERROR(IF(A55="","",INDEX(HPP_ENGINE!$C:$C,MATCH(A55,HPP_ENGINE!$A:$A,0))),"")</f>
        <v/>
      </c>
      <c r="D55" s="115">
        <f t="array" ref="D55">IFERROR(IF(A55="",0,INDEX(PRODUCTION_PLAN!$D:$D,MATCH(A55,PRODUCTION_PLAN!$A:$A,0))),0)</f>
        <v>0</v>
      </c>
      <c r="E55" s="115">
        <f t="array" ref="E55">IFERROR(IF(A55="",0,INDEX(HPP_ENGINE!$D:$D,MATCH(A55,HPP_ENGINE!$A:$A,0))),0)</f>
        <v>0</v>
      </c>
      <c r="F55" s="115">
        <f>IFERROR(IF(A55="",0,SUMIFS(SALES_TRACKER!$E$4:$E$1003,SALES_TRACKER!$B$4:$B$1003,A55)),0)</f>
        <v>0</v>
      </c>
      <c r="G55" s="115">
        <f t="shared" si="1"/>
        <v>0</v>
      </c>
      <c r="H55" s="115">
        <f t="array" ref="H55">IFERROR(IF(A55="",0,INDEX(HPP_ENGINE!$I:$I,MATCH(A55,HPP_ENGINE!$A:$A,0))),0)</f>
        <v>0</v>
      </c>
      <c r="I55" s="115">
        <f>IFERROR(IF(A55="",0,SUMIFS(SALES_TRACKER!$G$4:$G$1003,SALES_TRACKER!$B$4:$B$1003,A55)),0)</f>
        <v>0</v>
      </c>
      <c r="J55" s="114">
        <f t="shared" si="2"/>
        <v>0</v>
      </c>
      <c r="K55" s="133">
        <f t="shared" si="3"/>
        <v>0</v>
      </c>
      <c r="L55" s="133">
        <f t="shared" si="4"/>
        <v>0</v>
      </c>
      <c r="M55" s="133">
        <f t="shared" si="5"/>
        <v>0</v>
      </c>
      <c r="N55" s="76" t="str">
        <f>IFERROR(IF(A55="","—",IF(COUNTIF(HPP_ENGINE!$A$4:$A$203,A55)=0,"⚠ BELUM DI HPP",IF(E55=0,"PLANNING",IF(M55&gt;=1,"SOLD OUT",IF(M55&gt;=0.7,"ON TRACK",IF(M55&gt;=0.3,"SLOW MOVE",IF(M55&gt;0,"STUCK","BELUM TERJUAL"))))))),"—")</f>
        <v>—</v>
      </c>
    </row>
    <row r="56" ht="18.75" customHeight="1">
      <c r="A56" s="77"/>
      <c r="B56" s="116" t="str">
        <f t="array" ref="B56">IFERROR(IF(A56="","",INDEX(HPP_ENGINE!$B:$B,MATCH(A56,HPP_ENGINE!$A:$A,0))),"")</f>
        <v/>
      </c>
      <c r="C56" s="135" t="str">
        <f t="array" ref="C56">IFERROR(IF(A56="","",INDEX(HPP_ENGINE!$C:$C,MATCH(A56,HPP_ENGINE!$A:$A,0))),"")</f>
        <v/>
      </c>
      <c r="D56" s="119">
        <f t="array" ref="D56">IFERROR(IF(A56="",0,INDEX(PRODUCTION_PLAN!$D:$D,MATCH(A56,PRODUCTION_PLAN!$A:$A,0))),0)</f>
        <v>0</v>
      </c>
      <c r="E56" s="119">
        <f t="array" ref="E56">IFERROR(IF(A56="",0,INDEX(HPP_ENGINE!$D:$D,MATCH(A56,HPP_ENGINE!$A:$A,0))),0)</f>
        <v>0</v>
      </c>
      <c r="F56" s="119">
        <f>IFERROR(IF(A56="",0,SUMIFS(SALES_TRACKER!$E$4:$E$1003,SALES_TRACKER!$B$4:$B$1003,A56)),0)</f>
        <v>0</v>
      </c>
      <c r="G56" s="119">
        <f t="shared" si="1"/>
        <v>0</v>
      </c>
      <c r="H56" s="119">
        <f t="array" ref="H56">IFERROR(IF(A56="",0,INDEX(HPP_ENGINE!$I:$I,MATCH(A56,HPP_ENGINE!$A:$A,0))),0)</f>
        <v>0</v>
      </c>
      <c r="I56" s="119">
        <f>IFERROR(IF(A56="",0,SUMIFS(SALES_TRACKER!$G$4:$G$1003,SALES_TRACKER!$B$4:$B$1003,A56)),0)</f>
        <v>0</v>
      </c>
      <c r="J56" s="118">
        <f t="shared" si="2"/>
        <v>0</v>
      </c>
      <c r="K56" s="136">
        <f t="shared" si="3"/>
        <v>0</v>
      </c>
      <c r="L56" s="136">
        <f t="shared" si="4"/>
        <v>0</v>
      </c>
      <c r="M56" s="136">
        <f t="shared" si="5"/>
        <v>0</v>
      </c>
      <c r="N56" s="81" t="str">
        <f>IFERROR(IF(A56="","—",IF(COUNTIF(HPP_ENGINE!$A$4:$A$203,A56)=0,"⚠ BELUM DI HPP",IF(E56=0,"PLANNING",IF(M56&gt;=1,"SOLD OUT",IF(M56&gt;=0.7,"ON TRACK",IF(M56&gt;=0.3,"SLOW MOVE",IF(M56&gt;0,"STUCK","BELUM TERJUAL"))))))),"—")</f>
        <v>—</v>
      </c>
    </row>
    <row r="57" ht="18.75" customHeight="1">
      <c r="A57" s="72"/>
      <c r="B57" s="112" t="str">
        <f t="array" ref="B57">IFERROR(IF(A57="","",INDEX(HPP_ENGINE!$B:$B,MATCH(A57,HPP_ENGINE!$A:$A,0))),"")</f>
        <v/>
      </c>
      <c r="C57" s="137" t="str">
        <f t="array" ref="C57">IFERROR(IF(A57="","",INDEX(HPP_ENGINE!$C:$C,MATCH(A57,HPP_ENGINE!$A:$A,0))),"")</f>
        <v/>
      </c>
      <c r="D57" s="115">
        <f t="array" ref="D57">IFERROR(IF(A57="",0,INDEX(PRODUCTION_PLAN!$D:$D,MATCH(A57,PRODUCTION_PLAN!$A:$A,0))),0)</f>
        <v>0</v>
      </c>
      <c r="E57" s="115">
        <f t="array" ref="E57">IFERROR(IF(A57="",0,INDEX(HPP_ENGINE!$D:$D,MATCH(A57,HPP_ENGINE!$A:$A,0))),0)</f>
        <v>0</v>
      </c>
      <c r="F57" s="115">
        <f>IFERROR(IF(A57="",0,SUMIFS(SALES_TRACKER!$E$4:$E$1003,SALES_TRACKER!$B$4:$B$1003,A57)),0)</f>
        <v>0</v>
      </c>
      <c r="G57" s="115">
        <f t="shared" si="1"/>
        <v>0</v>
      </c>
      <c r="H57" s="115">
        <f t="array" ref="H57">IFERROR(IF(A57="",0,INDEX(HPP_ENGINE!$I:$I,MATCH(A57,HPP_ENGINE!$A:$A,0))),0)</f>
        <v>0</v>
      </c>
      <c r="I57" s="115">
        <f>IFERROR(IF(A57="",0,SUMIFS(SALES_TRACKER!$G$4:$G$1003,SALES_TRACKER!$B$4:$B$1003,A57)),0)</f>
        <v>0</v>
      </c>
      <c r="J57" s="114">
        <f t="shared" si="2"/>
        <v>0</v>
      </c>
      <c r="K57" s="133">
        <f t="shared" si="3"/>
        <v>0</v>
      </c>
      <c r="L57" s="133">
        <f t="shared" si="4"/>
        <v>0</v>
      </c>
      <c r="M57" s="133">
        <f t="shared" si="5"/>
        <v>0</v>
      </c>
      <c r="N57" s="76" t="str">
        <f>IFERROR(IF(A57="","—",IF(COUNTIF(HPP_ENGINE!$A$4:$A$203,A57)=0,"⚠ BELUM DI HPP",IF(E57=0,"PLANNING",IF(M57&gt;=1,"SOLD OUT",IF(M57&gt;=0.7,"ON TRACK",IF(M57&gt;=0.3,"SLOW MOVE",IF(M57&gt;0,"STUCK","BELUM TERJUAL"))))))),"—")</f>
        <v>—</v>
      </c>
    </row>
    <row r="58" ht="18.75" customHeight="1">
      <c r="A58" s="77"/>
      <c r="B58" s="116" t="str">
        <f t="array" ref="B58">IFERROR(IF(A58="","",INDEX(HPP_ENGINE!$B:$B,MATCH(A58,HPP_ENGINE!$A:$A,0))),"")</f>
        <v/>
      </c>
      <c r="C58" s="135" t="str">
        <f t="array" ref="C58">IFERROR(IF(A58="","",INDEX(HPP_ENGINE!$C:$C,MATCH(A58,HPP_ENGINE!$A:$A,0))),"")</f>
        <v/>
      </c>
      <c r="D58" s="119">
        <f t="array" ref="D58">IFERROR(IF(A58="",0,INDEX(PRODUCTION_PLAN!$D:$D,MATCH(A58,PRODUCTION_PLAN!$A:$A,0))),0)</f>
        <v>0</v>
      </c>
      <c r="E58" s="119">
        <f t="array" ref="E58">IFERROR(IF(A58="",0,INDEX(HPP_ENGINE!$D:$D,MATCH(A58,HPP_ENGINE!$A:$A,0))),0)</f>
        <v>0</v>
      </c>
      <c r="F58" s="119">
        <f>IFERROR(IF(A58="",0,SUMIFS(SALES_TRACKER!$E$4:$E$1003,SALES_TRACKER!$B$4:$B$1003,A58)),0)</f>
        <v>0</v>
      </c>
      <c r="G58" s="119">
        <f t="shared" si="1"/>
        <v>0</v>
      </c>
      <c r="H58" s="119">
        <f t="array" ref="H58">IFERROR(IF(A58="",0,INDEX(HPP_ENGINE!$I:$I,MATCH(A58,HPP_ENGINE!$A:$A,0))),0)</f>
        <v>0</v>
      </c>
      <c r="I58" s="119">
        <f>IFERROR(IF(A58="",0,SUMIFS(SALES_TRACKER!$G$4:$G$1003,SALES_TRACKER!$B$4:$B$1003,A58)),0)</f>
        <v>0</v>
      </c>
      <c r="J58" s="118">
        <f t="shared" si="2"/>
        <v>0</v>
      </c>
      <c r="K58" s="136">
        <f t="shared" si="3"/>
        <v>0</v>
      </c>
      <c r="L58" s="136">
        <f t="shared" si="4"/>
        <v>0</v>
      </c>
      <c r="M58" s="136">
        <f t="shared" si="5"/>
        <v>0</v>
      </c>
      <c r="N58" s="81" t="str">
        <f>IFERROR(IF(A58="","—",IF(COUNTIF(HPP_ENGINE!$A$4:$A$203,A58)=0,"⚠ BELUM DI HPP",IF(E58=0,"PLANNING",IF(M58&gt;=1,"SOLD OUT",IF(M58&gt;=0.7,"ON TRACK",IF(M58&gt;=0.3,"SLOW MOVE",IF(M58&gt;0,"STUCK","BELUM TERJUAL"))))))),"—")</f>
        <v>—</v>
      </c>
    </row>
    <row r="59" ht="18.75" customHeight="1">
      <c r="A59" s="72"/>
      <c r="B59" s="112" t="str">
        <f t="array" ref="B59">IFERROR(IF(A59="","",INDEX(HPP_ENGINE!$B:$B,MATCH(A59,HPP_ENGINE!$A:$A,0))),"")</f>
        <v/>
      </c>
      <c r="C59" s="137" t="str">
        <f t="array" ref="C59">IFERROR(IF(A59="","",INDEX(HPP_ENGINE!$C:$C,MATCH(A59,HPP_ENGINE!$A:$A,0))),"")</f>
        <v/>
      </c>
      <c r="D59" s="115">
        <f t="array" ref="D59">IFERROR(IF(A59="",0,INDEX(PRODUCTION_PLAN!$D:$D,MATCH(A59,PRODUCTION_PLAN!$A:$A,0))),0)</f>
        <v>0</v>
      </c>
      <c r="E59" s="115">
        <f t="array" ref="E59">IFERROR(IF(A59="",0,INDEX(HPP_ENGINE!$D:$D,MATCH(A59,HPP_ENGINE!$A:$A,0))),0)</f>
        <v>0</v>
      </c>
      <c r="F59" s="115">
        <f>IFERROR(IF(A59="",0,SUMIFS(SALES_TRACKER!$E$4:$E$1003,SALES_TRACKER!$B$4:$B$1003,A59)),0)</f>
        <v>0</v>
      </c>
      <c r="G59" s="115">
        <f t="shared" si="1"/>
        <v>0</v>
      </c>
      <c r="H59" s="115">
        <f t="array" ref="H59">IFERROR(IF(A59="",0,INDEX(HPP_ENGINE!$I:$I,MATCH(A59,HPP_ENGINE!$A:$A,0))),0)</f>
        <v>0</v>
      </c>
      <c r="I59" s="115">
        <f>IFERROR(IF(A59="",0,SUMIFS(SALES_TRACKER!$G$4:$G$1003,SALES_TRACKER!$B$4:$B$1003,A59)),0)</f>
        <v>0</v>
      </c>
      <c r="J59" s="114">
        <f t="shared" si="2"/>
        <v>0</v>
      </c>
      <c r="K59" s="133">
        <f t="shared" si="3"/>
        <v>0</v>
      </c>
      <c r="L59" s="133">
        <f t="shared" si="4"/>
        <v>0</v>
      </c>
      <c r="M59" s="133">
        <f t="shared" si="5"/>
        <v>0</v>
      </c>
      <c r="N59" s="76" t="str">
        <f>IFERROR(IF(A59="","—",IF(COUNTIF(HPP_ENGINE!$A$4:$A$203,A59)=0,"⚠ BELUM DI HPP",IF(E59=0,"PLANNING",IF(M59&gt;=1,"SOLD OUT",IF(M59&gt;=0.7,"ON TRACK",IF(M59&gt;=0.3,"SLOW MOVE",IF(M59&gt;0,"STUCK","BELUM TERJUAL"))))))),"—")</f>
        <v>—</v>
      </c>
    </row>
    <row r="60" ht="18.75" customHeight="1">
      <c r="A60" s="77"/>
      <c r="B60" s="116" t="str">
        <f t="array" ref="B60">IFERROR(IF(A60="","",INDEX(HPP_ENGINE!$B:$B,MATCH(A60,HPP_ENGINE!$A:$A,0))),"")</f>
        <v/>
      </c>
      <c r="C60" s="135" t="str">
        <f t="array" ref="C60">IFERROR(IF(A60="","",INDEX(HPP_ENGINE!$C:$C,MATCH(A60,HPP_ENGINE!$A:$A,0))),"")</f>
        <v/>
      </c>
      <c r="D60" s="119">
        <f t="array" ref="D60">IFERROR(IF(A60="",0,INDEX(PRODUCTION_PLAN!$D:$D,MATCH(A60,PRODUCTION_PLAN!$A:$A,0))),0)</f>
        <v>0</v>
      </c>
      <c r="E60" s="119">
        <f t="array" ref="E60">IFERROR(IF(A60="",0,INDEX(HPP_ENGINE!$D:$D,MATCH(A60,HPP_ENGINE!$A:$A,0))),0)</f>
        <v>0</v>
      </c>
      <c r="F60" s="119">
        <f>IFERROR(IF(A60="",0,SUMIFS(SALES_TRACKER!$E$4:$E$1003,SALES_TRACKER!$B$4:$B$1003,A60)),0)</f>
        <v>0</v>
      </c>
      <c r="G60" s="119">
        <f t="shared" si="1"/>
        <v>0</v>
      </c>
      <c r="H60" s="119">
        <f t="array" ref="H60">IFERROR(IF(A60="",0,INDEX(HPP_ENGINE!$I:$I,MATCH(A60,HPP_ENGINE!$A:$A,0))),0)</f>
        <v>0</v>
      </c>
      <c r="I60" s="119">
        <f>IFERROR(IF(A60="",0,SUMIFS(SALES_TRACKER!$G$4:$G$1003,SALES_TRACKER!$B$4:$B$1003,A60)),0)</f>
        <v>0</v>
      </c>
      <c r="J60" s="118">
        <f t="shared" si="2"/>
        <v>0</v>
      </c>
      <c r="K60" s="136">
        <f t="shared" si="3"/>
        <v>0</v>
      </c>
      <c r="L60" s="136">
        <f t="shared" si="4"/>
        <v>0</v>
      </c>
      <c r="M60" s="136">
        <f t="shared" si="5"/>
        <v>0</v>
      </c>
      <c r="N60" s="81" t="str">
        <f>IFERROR(IF(A60="","—",IF(COUNTIF(HPP_ENGINE!$A$4:$A$203,A60)=0,"⚠ BELUM DI HPP",IF(E60=0,"PLANNING",IF(M60&gt;=1,"SOLD OUT",IF(M60&gt;=0.7,"ON TRACK",IF(M60&gt;=0.3,"SLOW MOVE",IF(M60&gt;0,"STUCK","BELUM TERJUAL"))))))),"—")</f>
        <v>—</v>
      </c>
    </row>
    <row r="61" ht="18.75" customHeight="1">
      <c r="A61" s="72"/>
      <c r="B61" s="112" t="str">
        <f t="array" ref="B61">IFERROR(IF(A61="","",INDEX(HPP_ENGINE!$B:$B,MATCH(A61,HPP_ENGINE!$A:$A,0))),"")</f>
        <v/>
      </c>
      <c r="C61" s="137" t="str">
        <f t="array" ref="C61">IFERROR(IF(A61="","",INDEX(HPP_ENGINE!$C:$C,MATCH(A61,HPP_ENGINE!$A:$A,0))),"")</f>
        <v/>
      </c>
      <c r="D61" s="115">
        <f t="array" ref="D61">IFERROR(IF(A61="",0,INDEX(PRODUCTION_PLAN!$D:$D,MATCH(A61,PRODUCTION_PLAN!$A:$A,0))),0)</f>
        <v>0</v>
      </c>
      <c r="E61" s="115">
        <f t="array" ref="E61">IFERROR(IF(A61="",0,INDEX(HPP_ENGINE!$D:$D,MATCH(A61,HPP_ENGINE!$A:$A,0))),0)</f>
        <v>0</v>
      </c>
      <c r="F61" s="115">
        <f>IFERROR(IF(A61="",0,SUMIFS(SALES_TRACKER!$E$4:$E$1003,SALES_TRACKER!$B$4:$B$1003,A61)),0)</f>
        <v>0</v>
      </c>
      <c r="G61" s="115">
        <f t="shared" si="1"/>
        <v>0</v>
      </c>
      <c r="H61" s="115">
        <f t="array" ref="H61">IFERROR(IF(A61="",0,INDEX(HPP_ENGINE!$I:$I,MATCH(A61,HPP_ENGINE!$A:$A,0))),0)</f>
        <v>0</v>
      </c>
      <c r="I61" s="115">
        <f>IFERROR(IF(A61="",0,SUMIFS(SALES_TRACKER!$G$4:$G$1003,SALES_TRACKER!$B$4:$B$1003,A61)),0)</f>
        <v>0</v>
      </c>
      <c r="J61" s="114">
        <f t="shared" si="2"/>
        <v>0</v>
      </c>
      <c r="K61" s="133">
        <f t="shared" si="3"/>
        <v>0</v>
      </c>
      <c r="L61" s="133">
        <f t="shared" si="4"/>
        <v>0</v>
      </c>
      <c r="M61" s="133">
        <f t="shared" si="5"/>
        <v>0</v>
      </c>
      <c r="N61" s="76" t="str">
        <f>IFERROR(IF(A61="","—",IF(COUNTIF(HPP_ENGINE!$A$4:$A$203,A61)=0,"⚠ BELUM DI HPP",IF(E61=0,"PLANNING",IF(M61&gt;=1,"SOLD OUT",IF(M61&gt;=0.7,"ON TRACK",IF(M61&gt;=0.3,"SLOW MOVE",IF(M61&gt;0,"STUCK","BELUM TERJUAL"))))))),"—")</f>
        <v>—</v>
      </c>
    </row>
    <row r="62" ht="18.75" customHeight="1">
      <c r="A62" s="77"/>
      <c r="B62" s="116" t="str">
        <f t="array" ref="B62">IFERROR(IF(A62="","",INDEX(HPP_ENGINE!$B:$B,MATCH(A62,HPP_ENGINE!$A:$A,0))),"")</f>
        <v/>
      </c>
      <c r="C62" s="135" t="str">
        <f t="array" ref="C62">IFERROR(IF(A62="","",INDEX(HPP_ENGINE!$C:$C,MATCH(A62,HPP_ENGINE!$A:$A,0))),"")</f>
        <v/>
      </c>
      <c r="D62" s="119">
        <f t="array" ref="D62">IFERROR(IF(A62="",0,INDEX(PRODUCTION_PLAN!$D:$D,MATCH(A62,PRODUCTION_PLAN!$A:$A,0))),0)</f>
        <v>0</v>
      </c>
      <c r="E62" s="119">
        <f t="array" ref="E62">IFERROR(IF(A62="",0,INDEX(HPP_ENGINE!$D:$D,MATCH(A62,HPP_ENGINE!$A:$A,0))),0)</f>
        <v>0</v>
      </c>
      <c r="F62" s="119">
        <f>IFERROR(IF(A62="",0,SUMIFS(SALES_TRACKER!$E$4:$E$1003,SALES_TRACKER!$B$4:$B$1003,A62)),0)</f>
        <v>0</v>
      </c>
      <c r="G62" s="119">
        <f t="shared" si="1"/>
        <v>0</v>
      </c>
      <c r="H62" s="119">
        <f t="array" ref="H62">IFERROR(IF(A62="",0,INDEX(HPP_ENGINE!$I:$I,MATCH(A62,HPP_ENGINE!$A:$A,0))),0)</f>
        <v>0</v>
      </c>
      <c r="I62" s="119">
        <f>IFERROR(IF(A62="",0,SUMIFS(SALES_TRACKER!$G$4:$G$1003,SALES_TRACKER!$B$4:$B$1003,A62)),0)</f>
        <v>0</v>
      </c>
      <c r="J62" s="118">
        <f t="shared" si="2"/>
        <v>0</v>
      </c>
      <c r="K62" s="136">
        <f t="shared" si="3"/>
        <v>0</v>
      </c>
      <c r="L62" s="136">
        <f t="shared" si="4"/>
        <v>0</v>
      </c>
      <c r="M62" s="136">
        <f t="shared" si="5"/>
        <v>0</v>
      </c>
      <c r="N62" s="81" t="str">
        <f>IFERROR(IF(A62="","—",IF(COUNTIF(HPP_ENGINE!$A$4:$A$203,A62)=0,"⚠ BELUM DI HPP",IF(E62=0,"PLANNING",IF(M62&gt;=1,"SOLD OUT",IF(M62&gt;=0.7,"ON TRACK",IF(M62&gt;=0.3,"SLOW MOVE",IF(M62&gt;0,"STUCK","BELUM TERJUAL"))))))),"—")</f>
        <v>—</v>
      </c>
    </row>
    <row r="63" ht="18.75" customHeight="1">
      <c r="A63" s="72"/>
      <c r="B63" s="112" t="str">
        <f t="array" ref="B63">IFERROR(IF(A63="","",INDEX(HPP_ENGINE!$B:$B,MATCH(A63,HPP_ENGINE!$A:$A,0))),"")</f>
        <v/>
      </c>
      <c r="C63" s="137" t="str">
        <f t="array" ref="C63">IFERROR(IF(A63="","",INDEX(HPP_ENGINE!$C:$C,MATCH(A63,HPP_ENGINE!$A:$A,0))),"")</f>
        <v/>
      </c>
      <c r="D63" s="115">
        <f t="array" ref="D63">IFERROR(IF(A63="",0,INDEX(PRODUCTION_PLAN!$D:$D,MATCH(A63,PRODUCTION_PLAN!$A:$A,0))),0)</f>
        <v>0</v>
      </c>
      <c r="E63" s="115">
        <f t="array" ref="E63">IFERROR(IF(A63="",0,INDEX(HPP_ENGINE!$D:$D,MATCH(A63,HPP_ENGINE!$A:$A,0))),0)</f>
        <v>0</v>
      </c>
      <c r="F63" s="115">
        <f>IFERROR(IF(A63="",0,SUMIFS(SALES_TRACKER!$E$4:$E$1003,SALES_TRACKER!$B$4:$B$1003,A63)),0)</f>
        <v>0</v>
      </c>
      <c r="G63" s="115">
        <f t="shared" si="1"/>
        <v>0</v>
      </c>
      <c r="H63" s="115">
        <f t="array" ref="H63">IFERROR(IF(A63="",0,INDEX(HPP_ENGINE!$I:$I,MATCH(A63,HPP_ENGINE!$A:$A,0))),0)</f>
        <v>0</v>
      </c>
      <c r="I63" s="115">
        <f>IFERROR(IF(A63="",0,SUMIFS(SALES_TRACKER!$G$4:$G$1003,SALES_TRACKER!$B$4:$B$1003,A63)),0)</f>
        <v>0</v>
      </c>
      <c r="J63" s="114">
        <f t="shared" si="2"/>
        <v>0</v>
      </c>
      <c r="K63" s="133">
        <f t="shared" si="3"/>
        <v>0</v>
      </c>
      <c r="L63" s="133">
        <f t="shared" si="4"/>
        <v>0</v>
      </c>
      <c r="M63" s="133">
        <f t="shared" si="5"/>
        <v>0</v>
      </c>
      <c r="N63" s="76" t="str">
        <f>IFERROR(IF(A63="","—",IF(COUNTIF(HPP_ENGINE!$A$4:$A$203,A63)=0,"⚠ BELUM DI HPP",IF(E63=0,"PLANNING",IF(M63&gt;=1,"SOLD OUT",IF(M63&gt;=0.7,"ON TRACK",IF(M63&gt;=0.3,"SLOW MOVE",IF(M63&gt;0,"STUCK","BELUM TERJUAL"))))))),"—")</f>
        <v>—</v>
      </c>
    </row>
    <row r="64" ht="18.75" customHeight="1">
      <c r="A64" s="77"/>
      <c r="B64" s="116" t="str">
        <f t="array" ref="B64">IFERROR(IF(A64="","",INDEX(HPP_ENGINE!$B:$B,MATCH(A64,HPP_ENGINE!$A:$A,0))),"")</f>
        <v/>
      </c>
      <c r="C64" s="135" t="str">
        <f t="array" ref="C64">IFERROR(IF(A64="","",INDEX(HPP_ENGINE!$C:$C,MATCH(A64,HPP_ENGINE!$A:$A,0))),"")</f>
        <v/>
      </c>
      <c r="D64" s="119">
        <f t="array" ref="D64">IFERROR(IF(A64="",0,INDEX(PRODUCTION_PLAN!$D:$D,MATCH(A64,PRODUCTION_PLAN!$A:$A,0))),0)</f>
        <v>0</v>
      </c>
      <c r="E64" s="119">
        <f t="array" ref="E64">IFERROR(IF(A64="",0,INDEX(HPP_ENGINE!$D:$D,MATCH(A64,HPP_ENGINE!$A:$A,0))),0)</f>
        <v>0</v>
      </c>
      <c r="F64" s="119">
        <f>IFERROR(IF(A64="",0,SUMIFS(SALES_TRACKER!$E$4:$E$1003,SALES_TRACKER!$B$4:$B$1003,A64)),0)</f>
        <v>0</v>
      </c>
      <c r="G64" s="119">
        <f t="shared" si="1"/>
        <v>0</v>
      </c>
      <c r="H64" s="119">
        <f t="array" ref="H64">IFERROR(IF(A64="",0,INDEX(HPP_ENGINE!$I:$I,MATCH(A64,HPP_ENGINE!$A:$A,0))),0)</f>
        <v>0</v>
      </c>
      <c r="I64" s="119">
        <f>IFERROR(IF(A64="",0,SUMIFS(SALES_TRACKER!$G$4:$G$1003,SALES_TRACKER!$B$4:$B$1003,A64)),0)</f>
        <v>0</v>
      </c>
      <c r="J64" s="118">
        <f t="shared" si="2"/>
        <v>0</v>
      </c>
      <c r="K64" s="136">
        <f t="shared" si="3"/>
        <v>0</v>
      </c>
      <c r="L64" s="136">
        <f t="shared" si="4"/>
        <v>0</v>
      </c>
      <c r="M64" s="136">
        <f t="shared" si="5"/>
        <v>0</v>
      </c>
      <c r="N64" s="81" t="str">
        <f>IFERROR(IF(A64="","—",IF(COUNTIF(HPP_ENGINE!$A$4:$A$203,A64)=0,"⚠ BELUM DI HPP",IF(E64=0,"PLANNING",IF(M64&gt;=1,"SOLD OUT",IF(M64&gt;=0.7,"ON TRACK",IF(M64&gt;=0.3,"SLOW MOVE",IF(M64&gt;0,"STUCK","BELUM TERJUAL"))))))),"—")</f>
        <v>—</v>
      </c>
    </row>
    <row r="65" ht="18.75" customHeight="1">
      <c r="A65" s="72"/>
      <c r="B65" s="112" t="str">
        <f t="array" ref="B65">IFERROR(IF(A65="","",INDEX(HPP_ENGINE!$B:$B,MATCH(A65,HPP_ENGINE!$A:$A,0))),"")</f>
        <v/>
      </c>
      <c r="C65" s="137" t="str">
        <f t="array" ref="C65">IFERROR(IF(A65="","",INDEX(HPP_ENGINE!$C:$C,MATCH(A65,HPP_ENGINE!$A:$A,0))),"")</f>
        <v/>
      </c>
      <c r="D65" s="115">
        <f t="array" ref="D65">IFERROR(IF(A65="",0,INDEX(PRODUCTION_PLAN!$D:$D,MATCH(A65,PRODUCTION_PLAN!$A:$A,0))),0)</f>
        <v>0</v>
      </c>
      <c r="E65" s="115">
        <f t="array" ref="E65">IFERROR(IF(A65="",0,INDEX(HPP_ENGINE!$D:$D,MATCH(A65,HPP_ENGINE!$A:$A,0))),0)</f>
        <v>0</v>
      </c>
      <c r="F65" s="115">
        <f>IFERROR(IF(A65="",0,SUMIFS(SALES_TRACKER!$E$4:$E$1003,SALES_TRACKER!$B$4:$B$1003,A65)),0)</f>
        <v>0</v>
      </c>
      <c r="G65" s="115">
        <f t="shared" si="1"/>
        <v>0</v>
      </c>
      <c r="H65" s="115">
        <f t="array" ref="H65">IFERROR(IF(A65="",0,INDEX(HPP_ENGINE!$I:$I,MATCH(A65,HPP_ENGINE!$A:$A,0))),0)</f>
        <v>0</v>
      </c>
      <c r="I65" s="115">
        <f>IFERROR(IF(A65="",0,SUMIFS(SALES_TRACKER!$G$4:$G$1003,SALES_TRACKER!$B$4:$B$1003,A65)),0)</f>
        <v>0</v>
      </c>
      <c r="J65" s="114">
        <f t="shared" si="2"/>
        <v>0</v>
      </c>
      <c r="K65" s="133">
        <f t="shared" si="3"/>
        <v>0</v>
      </c>
      <c r="L65" s="133">
        <f t="shared" si="4"/>
        <v>0</v>
      </c>
      <c r="M65" s="133">
        <f t="shared" si="5"/>
        <v>0</v>
      </c>
      <c r="N65" s="76" t="str">
        <f>IFERROR(IF(A65="","—",IF(COUNTIF(HPP_ENGINE!$A$4:$A$203,A65)=0,"⚠ BELUM DI HPP",IF(E65=0,"PLANNING",IF(M65&gt;=1,"SOLD OUT",IF(M65&gt;=0.7,"ON TRACK",IF(M65&gt;=0.3,"SLOW MOVE",IF(M65&gt;0,"STUCK","BELUM TERJUAL"))))))),"—")</f>
        <v>—</v>
      </c>
    </row>
    <row r="66" ht="18.75" customHeight="1">
      <c r="A66" s="77"/>
      <c r="B66" s="116" t="str">
        <f t="array" ref="B66">IFERROR(IF(A66="","",INDEX(HPP_ENGINE!$B:$B,MATCH(A66,HPP_ENGINE!$A:$A,0))),"")</f>
        <v/>
      </c>
      <c r="C66" s="135" t="str">
        <f t="array" ref="C66">IFERROR(IF(A66="","",INDEX(HPP_ENGINE!$C:$C,MATCH(A66,HPP_ENGINE!$A:$A,0))),"")</f>
        <v/>
      </c>
      <c r="D66" s="119">
        <f t="array" ref="D66">IFERROR(IF(A66="",0,INDEX(PRODUCTION_PLAN!$D:$D,MATCH(A66,PRODUCTION_PLAN!$A:$A,0))),0)</f>
        <v>0</v>
      </c>
      <c r="E66" s="119">
        <f t="array" ref="E66">IFERROR(IF(A66="",0,INDEX(HPP_ENGINE!$D:$D,MATCH(A66,HPP_ENGINE!$A:$A,0))),0)</f>
        <v>0</v>
      </c>
      <c r="F66" s="119">
        <f>IFERROR(IF(A66="",0,SUMIFS(SALES_TRACKER!$E$4:$E$1003,SALES_TRACKER!$B$4:$B$1003,A66)),0)</f>
        <v>0</v>
      </c>
      <c r="G66" s="119">
        <f t="shared" si="1"/>
        <v>0</v>
      </c>
      <c r="H66" s="119">
        <f t="array" ref="H66">IFERROR(IF(A66="",0,INDEX(HPP_ENGINE!$I:$I,MATCH(A66,HPP_ENGINE!$A:$A,0))),0)</f>
        <v>0</v>
      </c>
      <c r="I66" s="119">
        <f>IFERROR(IF(A66="",0,SUMIFS(SALES_TRACKER!$G$4:$G$1003,SALES_TRACKER!$B$4:$B$1003,A66)),0)</f>
        <v>0</v>
      </c>
      <c r="J66" s="118">
        <f t="shared" si="2"/>
        <v>0</v>
      </c>
      <c r="K66" s="136">
        <f t="shared" si="3"/>
        <v>0</v>
      </c>
      <c r="L66" s="136">
        <f t="shared" si="4"/>
        <v>0</v>
      </c>
      <c r="M66" s="136">
        <f t="shared" si="5"/>
        <v>0</v>
      </c>
      <c r="N66" s="81" t="str">
        <f>IFERROR(IF(A66="","—",IF(COUNTIF(HPP_ENGINE!$A$4:$A$203,A66)=0,"⚠ BELUM DI HPP",IF(E66=0,"PLANNING",IF(M66&gt;=1,"SOLD OUT",IF(M66&gt;=0.7,"ON TRACK",IF(M66&gt;=0.3,"SLOW MOVE",IF(M66&gt;0,"STUCK","BELUM TERJUAL"))))))),"—")</f>
        <v>—</v>
      </c>
    </row>
    <row r="67" ht="18.75" customHeight="1">
      <c r="A67" s="72"/>
      <c r="B67" s="112" t="str">
        <f t="array" ref="B67">IFERROR(IF(A67="","",INDEX(HPP_ENGINE!$B:$B,MATCH(A67,HPP_ENGINE!$A:$A,0))),"")</f>
        <v/>
      </c>
      <c r="C67" s="137" t="str">
        <f t="array" ref="C67">IFERROR(IF(A67="","",INDEX(HPP_ENGINE!$C:$C,MATCH(A67,HPP_ENGINE!$A:$A,0))),"")</f>
        <v/>
      </c>
      <c r="D67" s="115">
        <f t="array" ref="D67">IFERROR(IF(A67="",0,INDEX(PRODUCTION_PLAN!$D:$D,MATCH(A67,PRODUCTION_PLAN!$A:$A,0))),0)</f>
        <v>0</v>
      </c>
      <c r="E67" s="115">
        <f t="array" ref="E67">IFERROR(IF(A67="",0,INDEX(HPP_ENGINE!$D:$D,MATCH(A67,HPP_ENGINE!$A:$A,0))),0)</f>
        <v>0</v>
      </c>
      <c r="F67" s="115">
        <f>IFERROR(IF(A67="",0,SUMIFS(SALES_TRACKER!$E$4:$E$1003,SALES_TRACKER!$B$4:$B$1003,A67)),0)</f>
        <v>0</v>
      </c>
      <c r="G67" s="115">
        <f t="shared" si="1"/>
        <v>0</v>
      </c>
      <c r="H67" s="115">
        <f t="array" ref="H67">IFERROR(IF(A67="",0,INDEX(HPP_ENGINE!$I:$I,MATCH(A67,HPP_ENGINE!$A:$A,0))),0)</f>
        <v>0</v>
      </c>
      <c r="I67" s="115">
        <f>IFERROR(IF(A67="",0,SUMIFS(SALES_TRACKER!$G$4:$G$1003,SALES_TRACKER!$B$4:$B$1003,A67)),0)</f>
        <v>0</v>
      </c>
      <c r="J67" s="114">
        <f t="shared" si="2"/>
        <v>0</v>
      </c>
      <c r="K67" s="133">
        <f t="shared" si="3"/>
        <v>0</v>
      </c>
      <c r="L67" s="133">
        <f t="shared" si="4"/>
        <v>0</v>
      </c>
      <c r="M67" s="133">
        <f t="shared" si="5"/>
        <v>0</v>
      </c>
      <c r="N67" s="76" t="str">
        <f>IFERROR(IF(A67="","—",IF(COUNTIF(HPP_ENGINE!$A$4:$A$203,A67)=0,"⚠ BELUM DI HPP",IF(E67=0,"PLANNING",IF(M67&gt;=1,"SOLD OUT",IF(M67&gt;=0.7,"ON TRACK",IF(M67&gt;=0.3,"SLOW MOVE",IF(M67&gt;0,"STUCK","BELUM TERJUAL"))))))),"—")</f>
        <v>—</v>
      </c>
    </row>
    <row r="68" ht="18.75" customHeight="1">
      <c r="A68" s="77"/>
      <c r="B68" s="116" t="str">
        <f t="array" ref="B68">IFERROR(IF(A68="","",INDEX(HPP_ENGINE!$B:$B,MATCH(A68,HPP_ENGINE!$A:$A,0))),"")</f>
        <v/>
      </c>
      <c r="C68" s="135" t="str">
        <f t="array" ref="C68">IFERROR(IF(A68="","",INDEX(HPP_ENGINE!$C:$C,MATCH(A68,HPP_ENGINE!$A:$A,0))),"")</f>
        <v/>
      </c>
      <c r="D68" s="119">
        <f t="array" ref="D68">IFERROR(IF(A68="",0,INDEX(PRODUCTION_PLAN!$D:$D,MATCH(A68,PRODUCTION_PLAN!$A:$A,0))),0)</f>
        <v>0</v>
      </c>
      <c r="E68" s="119">
        <f t="array" ref="E68">IFERROR(IF(A68="",0,INDEX(HPP_ENGINE!$D:$D,MATCH(A68,HPP_ENGINE!$A:$A,0))),0)</f>
        <v>0</v>
      </c>
      <c r="F68" s="119">
        <f>IFERROR(IF(A68="",0,SUMIFS(SALES_TRACKER!$E$4:$E$1003,SALES_TRACKER!$B$4:$B$1003,A68)),0)</f>
        <v>0</v>
      </c>
      <c r="G68" s="119">
        <f t="shared" si="1"/>
        <v>0</v>
      </c>
      <c r="H68" s="119">
        <f t="array" ref="H68">IFERROR(IF(A68="",0,INDEX(HPP_ENGINE!$I:$I,MATCH(A68,HPP_ENGINE!$A:$A,0))),0)</f>
        <v>0</v>
      </c>
      <c r="I68" s="119">
        <f>IFERROR(IF(A68="",0,SUMIFS(SALES_TRACKER!$G$4:$G$1003,SALES_TRACKER!$B$4:$B$1003,A68)),0)</f>
        <v>0</v>
      </c>
      <c r="J68" s="118">
        <f t="shared" si="2"/>
        <v>0</v>
      </c>
      <c r="K68" s="136">
        <f t="shared" si="3"/>
        <v>0</v>
      </c>
      <c r="L68" s="136">
        <f t="shared" si="4"/>
        <v>0</v>
      </c>
      <c r="M68" s="136">
        <f t="shared" si="5"/>
        <v>0</v>
      </c>
      <c r="N68" s="81" t="str">
        <f>IFERROR(IF(A68="","—",IF(COUNTIF(HPP_ENGINE!$A$4:$A$203,A68)=0,"⚠ BELUM DI HPP",IF(E68=0,"PLANNING",IF(M68&gt;=1,"SOLD OUT",IF(M68&gt;=0.7,"ON TRACK",IF(M68&gt;=0.3,"SLOW MOVE",IF(M68&gt;0,"STUCK","BELUM TERJUAL"))))))),"—")</f>
        <v>—</v>
      </c>
    </row>
    <row r="69" ht="18.75" customHeight="1">
      <c r="A69" s="72"/>
      <c r="B69" s="112" t="str">
        <f t="array" ref="B69">IFERROR(IF(A69="","",INDEX(HPP_ENGINE!$B:$B,MATCH(A69,HPP_ENGINE!$A:$A,0))),"")</f>
        <v/>
      </c>
      <c r="C69" s="137" t="str">
        <f t="array" ref="C69">IFERROR(IF(A69="","",INDEX(HPP_ENGINE!$C:$C,MATCH(A69,HPP_ENGINE!$A:$A,0))),"")</f>
        <v/>
      </c>
      <c r="D69" s="115">
        <f t="array" ref="D69">IFERROR(IF(A69="",0,INDEX(PRODUCTION_PLAN!$D:$D,MATCH(A69,PRODUCTION_PLAN!$A:$A,0))),0)</f>
        <v>0</v>
      </c>
      <c r="E69" s="115">
        <f t="array" ref="E69">IFERROR(IF(A69="",0,INDEX(HPP_ENGINE!$D:$D,MATCH(A69,HPP_ENGINE!$A:$A,0))),0)</f>
        <v>0</v>
      </c>
      <c r="F69" s="115">
        <f>IFERROR(IF(A69="",0,SUMIFS(SALES_TRACKER!$E$4:$E$1003,SALES_TRACKER!$B$4:$B$1003,A69)),0)</f>
        <v>0</v>
      </c>
      <c r="G69" s="115">
        <f t="shared" si="1"/>
        <v>0</v>
      </c>
      <c r="H69" s="115">
        <f t="array" ref="H69">IFERROR(IF(A69="",0,INDEX(HPP_ENGINE!$I:$I,MATCH(A69,HPP_ENGINE!$A:$A,0))),0)</f>
        <v>0</v>
      </c>
      <c r="I69" s="115">
        <f>IFERROR(IF(A69="",0,SUMIFS(SALES_TRACKER!$G$4:$G$1003,SALES_TRACKER!$B$4:$B$1003,A69)),0)</f>
        <v>0</v>
      </c>
      <c r="J69" s="114">
        <f t="shared" si="2"/>
        <v>0</v>
      </c>
      <c r="K69" s="133">
        <f t="shared" si="3"/>
        <v>0</v>
      </c>
      <c r="L69" s="133">
        <f t="shared" si="4"/>
        <v>0</v>
      </c>
      <c r="M69" s="133">
        <f t="shared" si="5"/>
        <v>0</v>
      </c>
      <c r="N69" s="76" t="str">
        <f>IFERROR(IF(A69="","—",IF(COUNTIF(HPP_ENGINE!$A$4:$A$203,A69)=0,"⚠ BELUM DI HPP",IF(E69=0,"PLANNING",IF(M69&gt;=1,"SOLD OUT",IF(M69&gt;=0.7,"ON TRACK",IF(M69&gt;=0.3,"SLOW MOVE",IF(M69&gt;0,"STUCK","BELUM TERJUAL"))))))),"—")</f>
        <v>—</v>
      </c>
    </row>
    <row r="70" ht="18.75" customHeight="1">
      <c r="A70" s="77"/>
      <c r="B70" s="116" t="str">
        <f t="array" ref="B70">IFERROR(IF(A70="","",INDEX(HPP_ENGINE!$B:$B,MATCH(A70,HPP_ENGINE!$A:$A,0))),"")</f>
        <v/>
      </c>
      <c r="C70" s="135" t="str">
        <f t="array" ref="C70">IFERROR(IF(A70="","",INDEX(HPP_ENGINE!$C:$C,MATCH(A70,HPP_ENGINE!$A:$A,0))),"")</f>
        <v/>
      </c>
      <c r="D70" s="119">
        <f t="array" ref="D70">IFERROR(IF(A70="",0,INDEX(PRODUCTION_PLAN!$D:$D,MATCH(A70,PRODUCTION_PLAN!$A:$A,0))),0)</f>
        <v>0</v>
      </c>
      <c r="E70" s="119">
        <f t="array" ref="E70">IFERROR(IF(A70="",0,INDEX(HPP_ENGINE!$D:$D,MATCH(A70,HPP_ENGINE!$A:$A,0))),0)</f>
        <v>0</v>
      </c>
      <c r="F70" s="119">
        <f>IFERROR(IF(A70="",0,SUMIFS(SALES_TRACKER!$E$4:$E$1003,SALES_TRACKER!$B$4:$B$1003,A70)),0)</f>
        <v>0</v>
      </c>
      <c r="G70" s="119">
        <f t="shared" si="1"/>
        <v>0</v>
      </c>
      <c r="H70" s="119">
        <f t="array" ref="H70">IFERROR(IF(A70="",0,INDEX(HPP_ENGINE!$I:$I,MATCH(A70,HPP_ENGINE!$A:$A,0))),0)</f>
        <v>0</v>
      </c>
      <c r="I70" s="119">
        <f>IFERROR(IF(A70="",0,SUMIFS(SALES_TRACKER!$G$4:$G$1003,SALES_TRACKER!$B$4:$B$1003,A70)),0)</f>
        <v>0</v>
      </c>
      <c r="J70" s="118">
        <f t="shared" si="2"/>
        <v>0</v>
      </c>
      <c r="K70" s="136">
        <f t="shared" si="3"/>
        <v>0</v>
      </c>
      <c r="L70" s="136">
        <f t="shared" si="4"/>
        <v>0</v>
      </c>
      <c r="M70" s="136">
        <f t="shared" si="5"/>
        <v>0</v>
      </c>
      <c r="N70" s="81" t="str">
        <f>IFERROR(IF(A70="","—",IF(COUNTIF(HPP_ENGINE!$A$4:$A$203,A70)=0,"⚠ BELUM DI HPP",IF(E70=0,"PLANNING",IF(M70&gt;=1,"SOLD OUT",IF(M70&gt;=0.7,"ON TRACK",IF(M70&gt;=0.3,"SLOW MOVE",IF(M70&gt;0,"STUCK","BELUM TERJUAL"))))))),"—")</f>
        <v>—</v>
      </c>
    </row>
    <row r="71" ht="18.75" customHeight="1">
      <c r="A71" s="72"/>
      <c r="B71" s="112" t="str">
        <f t="array" ref="B71">IFERROR(IF(A71="","",INDEX(HPP_ENGINE!$B:$B,MATCH(A71,HPP_ENGINE!$A:$A,0))),"")</f>
        <v/>
      </c>
      <c r="C71" s="137" t="str">
        <f t="array" ref="C71">IFERROR(IF(A71="","",INDEX(HPP_ENGINE!$C:$C,MATCH(A71,HPP_ENGINE!$A:$A,0))),"")</f>
        <v/>
      </c>
      <c r="D71" s="115">
        <f t="array" ref="D71">IFERROR(IF(A71="",0,INDEX(PRODUCTION_PLAN!$D:$D,MATCH(A71,PRODUCTION_PLAN!$A:$A,0))),0)</f>
        <v>0</v>
      </c>
      <c r="E71" s="115">
        <f t="array" ref="E71">IFERROR(IF(A71="",0,INDEX(HPP_ENGINE!$D:$D,MATCH(A71,HPP_ENGINE!$A:$A,0))),0)</f>
        <v>0</v>
      </c>
      <c r="F71" s="115">
        <f>IFERROR(IF(A71="",0,SUMIFS(SALES_TRACKER!$E$4:$E$1003,SALES_TRACKER!$B$4:$B$1003,A71)),0)</f>
        <v>0</v>
      </c>
      <c r="G71" s="115">
        <f t="shared" si="1"/>
        <v>0</v>
      </c>
      <c r="H71" s="115">
        <f t="array" ref="H71">IFERROR(IF(A71="",0,INDEX(HPP_ENGINE!$I:$I,MATCH(A71,HPP_ENGINE!$A:$A,0))),0)</f>
        <v>0</v>
      </c>
      <c r="I71" s="115">
        <f>IFERROR(IF(A71="",0,SUMIFS(SALES_TRACKER!$G$4:$G$1003,SALES_TRACKER!$B$4:$B$1003,A71)),0)</f>
        <v>0</v>
      </c>
      <c r="J71" s="114">
        <f t="shared" si="2"/>
        <v>0</v>
      </c>
      <c r="K71" s="133">
        <f t="shared" si="3"/>
        <v>0</v>
      </c>
      <c r="L71" s="133">
        <f t="shared" si="4"/>
        <v>0</v>
      </c>
      <c r="M71" s="133">
        <f t="shared" si="5"/>
        <v>0</v>
      </c>
      <c r="N71" s="76" t="str">
        <f>IFERROR(IF(A71="","—",IF(COUNTIF(HPP_ENGINE!$A$4:$A$203,A71)=0,"⚠ BELUM DI HPP",IF(E71=0,"PLANNING",IF(M71&gt;=1,"SOLD OUT",IF(M71&gt;=0.7,"ON TRACK",IF(M71&gt;=0.3,"SLOW MOVE",IF(M71&gt;0,"STUCK","BELUM TERJUAL"))))))),"—")</f>
        <v>—</v>
      </c>
    </row>
    <row r="72" ht="18.75" customHeight="1">
      <c r="A72" s="77"/>
      <c r="B72" s="116" t="str">
        <f t="array" ref="B72">IFERROR(IF(A72="","",INDEX(HPP_ENGINE!$B:$B,MATCH(A72,HPP_ENGINE!$A:$A,0))),"")</f>
        <v/>
      </c>
      <c r="C72" s="135" t="str">
        <f t="array" ref="C72">IFERROR(IF(A72="","",INDEX(HPP_ENGINE!$C:$C,MATCH(A72,HPP_ENGINE!$A:$A,0))),"")</f>
        <v/>
      </c>
      <c r="D72" s="119">
        <f t="array" ref="D72">IFERROR(IF(A72="",0,INDEX(PRODUCTION_PLAN!$D:$D,MATCH(A72,PRODUCTION_PLAN!$A:$A,0))),0)</f>
        <v>0</v>
      </c>
      <c r="E72" s="119">
        <f t="array" ref="E72">IFERROR(IF(A72="",0,INDEX(HPP_ENGINE!$D:$D,MATCH(A72,HPP_ENGINE!$A:$A,0))),0)</f>
        <v>0</v>
      </c>
      <c r="F72" s="119">
        <f>IFERROR(IF(A72="",0,SUMIFS(SALES_TRACKER!$E$4:$E$1003,SALES_TRACKER!$B$4:$B$1003,A72)),0)</f>
        <v>0</v>
      </c>
      <c r="G72" s="119">
        <f t="shared" si="1"/>
        <v>0</v>
      </c>
      <c r="H72" s="119">
        <f t="array" ref="H72">IFERROR(IF(A72="",0,INDEX(HPP_ENGINE!$I:$I,MATCH(A72,HPP_ENGINE!$A:$A,0))),0)</f>
        <v>0</v>
      </c>
      <c r="I72" s="119">
        <f>IFERROR(IF(A72="",0,SUMIFS(SALES_TRACKER!$G$4:$G$1003,SALES_TRACKER!$B$4:$B$1003,A72)),0)</f>
        <v>0</v>
      </c>
      <c r="J72" s="118">
        <f t="shared" si="2"/>
        <v>0</v>
      </c>
      <c r="K72" s="136">
        <f t="shared" si="3"/>
        <v>0</v>
      </c>
      <c r="L72" s="136">
        <f t="shared" si="4"/>
        <v>0</v>
      </c>
      <c r="M72" s="136">
        <f t="shared" si="5"/>
        <v>0</v>
      </c>
      <c r="N72" s="81" t="str">
        <f>IFERROR(IF(A72="","—",IF(COUNTIF(HPP_ENGINE!$A$4:$A$203,A72)=0,"⚠ BELUM DI HPP",IF(E72=0,"PLANNING",IF(M72&gt;=1,"SOLD OUT",IF(M72&gt;=0.7,"ON TRACK",IF(M72&gt;=0.3,"SLOW MOVE",IF(M72&gt;0,"STUCK","BELUM TERJUAL"))))))),"—")</f>
        <v>—</v>
      </c>
    </row>
    <row r="73" ht="18.75" customHeight="1">
      <c r="A73" s="72"/>
      <c r="B73" s="112" t="str">
        <f t="array" ref="B73">IFERROR(IF(A73="","",INDEX(HPP_ENGINE!$B:$B,MATCH(A73,HPP_ENGINE!$A:$A,0))),"")</f>
        <v/>
      </c>
      <c r="C73" s="137" t="str">
        <f t="array" ref="C73">IFERROR(IF(A73="","",INDEX(HPP_ENGINE!$C:$C,MATCH(A73,HPP_ENGINE!$A:$A,0))),"")</f>
        <v/>
      </c>
      <c r="D73" s="115">
        <f t="array" ref="D73">IFERROR(IF(A73="",0,INDEX(PRODUCTION_PLAN!$D:$D,MATCH(A73,PRODUCTION_PLAN!$A:$A,0))),0)</f>
        <v>0</v>
      </c>
      <c r="E73" s="115">
        <f t="array" ref="E73">IFERROR(IF(A73="",0,INDEX(HPP_ENGINE!$D:$D,MATCH(A73,HPP_ENGINE!$A:$A,0))),0)</f>
        <v>0</v>
      </c>
      <c r="F73" s="115">
        <f>IFERROR(IF(A73="",0,SUMIFS(SALES_TRACKER!$E$4:$E$1003,SALES_TRACKER!$B$4:$B$1003,A73)),0)</f>
        <v>0</v>
      </c>
      <c r="G73" s="115">
        <f t="shared" si="1"/>
        <v>0</v>
      </c>
      <c r="H73" s="115">
        <f t="array" ref="H73">IFERROR(IF(A73="",0,INDEX(HPP_ENGINE!$I:$I,MATCH(A73,HPP_ENGINE!$A:$A,0))),0)</f>
        <v>0</v>
      </c>
      <c r="I73" s="115">
        <f>IFERROR(IF(A73="",0,SUMIFS(SALES_TRACKER!$G$4:$G$1003,SALES_TRACKER!$B$4:$B$1003,A73)),0)</f>
        <v>0</v>
      </c>
      <c r="J73" s="114">
        <f t="shared" si="2"/>
        <v>0</v>
      </c>
      <c r="K73" s="133">
        <f t="shared" si="3"/>
        <v>0</v>
      </c>
      <c r="L73" s="133">
        <f t="shared" si="4"/>
        <v>0</v>
      </c>
      <c r="M73" s="133">
        <f t="shared" si="5"/>
        <v>0</v>
      </c>
      <c r="N73" s="76" t="str">
        <f>IFERROR(IF(A73="","—",IF(COUNTIF(HPP_ENGINE!$A$4:$A$203,A73)=0,"⚠ BELUM DI HPP",IF(E73=0,"PLANNING",IF(M73&gt;=1,"SOLD OUT",IF(M73&gt;=0.7,"ON TRACK",IF(M73&gt;=0.3,"SLOW MOVE",IF(M73&gt;0,"STUCK","BELUM TERJUAL"))))))),"—")</f>
        <v>—</v>
      </c>
    </row>
    <row r="74" ht="18.75" customHeight="1">
      <c r="A74" s="77"/>
      <c r="B74" s="116" t="str">
        <f t="array" ref="B74">IFERROR(IF(A74="","",INDEX(HPP_ENGINE!$B:$B,MATCH(A74,HPP_ENGINE!$A:$A,0))),"")</f>
        <v/>
      </c>
      <c r="C74" s="135" t="str">
        <f t="array" ref="C74">IFERROR(IF(A74="","",INDEX(HPP_ENGINE!$C:$C,MATCH(A74,HPP_ENGINE!$A:$A,0))),"")</f>
        <v/>
      </c>
      <c r="D74" s="119">
        <f t="array" ref="D74">IFERROR(IF(A74="",0,INDEX(PRODUCTION_PLAN!$D:$D,MATCH(A74,PRODUCTION_PLAN!$A:$A,0))),0)</f>
        <v>0</v>
      </c>
      <c r="E74" s="119">
        <f t="array" ref="E74">IFERROR(IF(A74="",0,INDEX(HPP_ENGINE!$D:$D,MATCH(A74,HPP_ENGINE!$A:$A,0))),0)</f>
        <v>0</v>
      </c>
      <c r="F74" s="119">
        <f>IFERROR(IF(A74="",0,SUMIFS(SALES_TRACKER!$E$4:$E$1003,SALES_TRACKER!$B$4:$B$1003,A74)),0)</f>
        <v>0</v>
      </c>
      <c r="G74" s="119">
        <f t="shared" si="1"/>
        <v>0</v>
      </c>
      <c r="H74" s="119">
        <f t="array" ref="H74">IFERROR(IF(A74="",0,INDEX(HPP_ENGINE!$I:$I,MATCH(A74,HPP_ENGINE!$A:$A,0))),0)</f>
        <v>0</v>
      </c>
      <c r="I74" s="119">
        <f>IFERROR(IF(A74="",0,SUMIFS(SALES_TRACKER!$G$4:$G$1003,SALES_TRACKER!$B$4:$B$1003,A74)),0)</f>
        <v>0</v>
      </c>
      <c r="J74" s="118">
        <f t="shared" si="2"/>
        <v>0</v>
      </c>
      <c r="K74" s="136">
        <f t="shared" si="3"/>
        <v>0</v>
      </c>
      <c r="L74" s="136">
        <f t="shared" si="4"/>
        <v>0</v>
      </c>
      <c r="M74" s="136">
        <f t="shared" si="5"/>
        <v>0</v>
      </c>
      <c r="N74" s="81" t="str">
        <f>IFERROR(IF(A74="","—",IF(COUNTIF(HPP_ENGINE!$A$4:$A$203,A74)=0,"⚠ BELUM DI HPP",IF(E74=0,"PLANNING",IF(M74&gt;=1,"SOLD OUT",IF(M74&gt;=0.7,"ON TRACK",IF(M74&gt;=0.3,"SLOW MOVE",IF(M74&gt;0,"STUCK","BELUM TERJUAL"))))))),"—")</f>
        <v>—</v>
      </c>
    </row>
    <row r="75" ht="18.75" customHeight="1">
      <c r="A75" s="72"/>
      <c r="B75" s="112" t="str">
        <f t="array" ref="B75">IFERROR(IF(A75="","",INDEX(HPP_ENGINE!$B:$B,MATCH(A75,HPP_ENGINE!$A:$A,0))),"")</f>
        <v/>
      </c>
      <c r="C75" s="137" t="str">
        <f t="array" ref="C75">IFERROR(IF(A75="","",INDEX(HPP_ENGINE!$C:$C,MATCH(A75,HPP_ENGINE!$A:$A,0))),"")</f>
        <v/>
      </c>
      <c r="D75" s="115">
        <f t="array" ref="D75">IFERROR(IF(A75="",0,INDEX(PRODUCTION_PLAN!$D:$D,MATCH(A75,PRODUCTION_PLAN!$A:$A,0))),0)</f>
        <v>0</v>
      </c>
      <c r="E75" s="115">
        <f t="array" ref="E75">IFERROR(IF(A75="",0,INDEX(HPP_ENGINE!$D:$D,MATCH(A75,HPP_ENGINE!$A:$A,0))),0)</f>
        <v>0</v>
      </c>
      <c r="F75" s="115">
        <f>IFERROR(IF(A75="",0,SUMIFS(SALES_TRACKER!$E$4:$E$1003,SALES_TRACKER!$B$4:$B$1003,A75)),0)</f>
        <v>0</v>
      </c>
      <c r="G75" s="115">
        <f t="shared" si="1"/>
        <v>0</v>
      </c>
      <c r="H75" s="115">
        <f t="array" ref="H75">IFERROR(IF(A75="",0,INDEX(HPP_ENGINE!$I:$I,MATCH(A75,HPP_ENGINE!$A:$A,0))),0)</f>
        <v>0</v>
      </c>
      <c r="I75" s="115">
        <f>IFERROR(IF(A75="",0,SUMIFS(SALES_TRACKER!$G$4:$G$1003,SALES_TRACKER!$B$4:$B$1003,A75)),0)</f>
        <v>0</v>
      </c>
      <c r="J75" s="114">
        <f t="shared" si="2"/>
        <v>0</v>
      </c>
      <c r="K75" s="133">
        <f t="shared" si="3"/>
        <v>0</v>
      </c>
      <c r="L75" s="133">
        <f t="shared" si="4"/>
        <v>0</v>
      </c>
      <c r="M75" s="133">
        <f t="shared" si="5"/>
        <v>0</v>
      </c>
      <c r="N75" s="76" t="str">
        <f>IFERROR(IF(A75="","—",IF(COUNTIF(HPP_ENGINE!$A$4:$A$203,A75)=0,"⚠ BELUM DI HPP",IF(E75=0,"PLANNING",IF(M75&gt;=1,"SOLD OUT",IF(M75&gt;=0.7,"ON TRACK",IF(M75&gt;=0.3,"SLOW MOVE",IF(M75&gt;0,"STUCK","BELUM TERJUAL"))))))),"—")</f>
        <v>—</v>
      </c>
    </row>
    <row r="76" ht="18.75" customHeight="1">
      <c r="A76" s="77"/>
      <c r="B76" s="116" t="str">
        <f t="array" ref="B76">IFERROR(IF(A76="","",INDEX(HPP_ENGINE!$B:$B,MATCH(A76,HPP_ENGINE!$A:$A,0))),"")</f>
        <v/>
      </c>
      <c r="C76" s="135" t="str">
        <f t="array" ref="C76">IFERROR(IF(A76="","",INDEX(HPP_ENGINE!$C:$C,MATCH(A76,HPP_ENGINE!$A:$A,0))),"")</f>
        <v/>
      </c>
      <c r="D76" s="119">
        <f t="array" ref="D76">IFERROR(IF(A76="",0,INDEX(PRODUCTION_PLAN!$D:$D,MATCH(A76,PRODUCTION_PLAN!$A:$A,0))),0)</f>
        <v>0</v>
      </c>
      <c r="E76" s="119">
        <f t="array" ref="E76">IFERROR(IF(A76="",0,INDEX(HPP_ENGINE!$D:$D,MATCH(A76,HPP_ENGINE!$A:$A,0))),0)</f>
        <v>0</v>
      </c>
      <c r="F76" s="119">
        <f>IFERROR(IF(A76="",0,SUMIFS(SALES_TRACKER!$E$4:$E$1003,SALES_TRACKER!$B$4:$B$1003,A76)),0)</f>
        <v>0</v>
      </c>
      <c r="G76" s="119">
        <f t="shared" si="1"/>
        <v>0</v>
      </c>
      <c r="H76" s="119">
        <f t="array" ref="H76">IFERROR(IF(A76="",0,INDEX(HPP_ENGINE!$I:$I,MATCH(A76,HPP_ENGINE!$A:$A,0))),0)</f>
        <v>0</v>
      </c>
      <c r="I76" s="119">
        <f>IFERROR(IF(A76="",0,SUMIFS(SALES_TRACKER!$G$4:$G$1003,SALES_TRACKER!$B$4:$B$1003,A76)),0)</f>
        <v>0</v>
      </c>
      <c r="J76" s="118">
        <f t="shared" si="2"/>
        <v>0</v>
      </c>
      <c r="K76" s="136">
        <f t="shared" si="3"/>
        <v>0</v>
      </c>
      <c r="L76" s="136">
        <f t="shared" si="4"/>
        <v>0</v>
      </c>
      <c r="M76" s="136">
        <f t="shared" si="5"/>
        <v>0</v>
      </c>
      <c r="N76" s="81" t="str">
        <f>IFERROR(IF(A76="","—",IF(COUNTIF(HPP_ENGINE!$A$4:$A$203,A76)=0,"⚠ BELUM DI HPP",IF(E76=0,"PLANNING",IF(M76&gt;=1,"SOLD OUT",IF(M76&gt;=0.7,"ON TRACK",IF(M76&gt;=0.3,"SLOW MOVE",IF(M76&gt;0,"STUCK","BELUM TERJUAL"))))))),"—")</f>
        <v>—</v>
      </c>
    </row>
    <row r="77" ht="18.75" customHeight="1">
      <c r="A77" s="72"/>
      <c r="B77" s="112" t="str">
        <f t="array" ref="B77">IFERROR(IF(A77="","",INDEX(HPP_ENGINE!$B:$B,MATCH(A77,HPP_ENGINE!$A:$A,0))),"")</f>
        <v/>
      </c>
      <c r="C77" s="137" t="str">
        <f t="array" ref="C77">IFERROR(IF(A77="","",INDEX(HPP_ENGINE!$C:$C,MATCH(A77,HPP_ENGINE!$A:$A,0))),"")</f>
        <v/>
      </c>
      <c r="D77" s="115">
        <f t="array" ref="D77">IFERROR(IF(A77="",0,INDEX(PRODUCTION_PLAN!$D:$D,MATCH(A77,PRODUCTION_PLAN!$A:$A,0))),0)</f>
        <v>0</v>
      </c>
      <c r="E77" s="115">
        <f t="array" ref="E77">IFERROR(IF(A77="",0,INDEX(HPP_ENGINE!$D:$D,MATCH(A77,HPP_ENGINE!$A:$A,0))),0)</f>
        <v>0</v>
      </c>
      <c r="F77" s="115">
        <f>IFERROR(IF(A77="",0,SUMIFS(SALES_TRACKER!$E$4:$E$1003,SALES_TRACKER!$B$4:$B$1003,A77)),0)</f>
        <v>0</v>
      </c>
      <c r="G77" s="115">
        <f t="shared" si="1"/>
        <v>0</v>
      </c>
      <c r="H77" s="115">
        <f t="array" ref="H77">IFERROR(IF(A77="",0,INDEX(HPP_ENGINE!$I:$I,MATCH(A77,HPP_ENGINE!$A:$A,0))),0)</f>
        <v>0</v>
      </c>
      <c r="I77" s="115">
        <f>IFERROR(IF(A77="",0,SUMIFS(SALES_TRACKER!$G$4:$G$1003,SALES_TRACKER!$B$4:$B$1003,A77)),0)</f>
        <v>0</v>
      </c>
      <c r="J77" s="114">
        <f t="shared" si="2"/>
        <v>0</v>
      </c>
      <c r="K77" s="133">
        <f t="shared" si="3"/>
        <v>0</v>
      </c>
      <c r="L77" s="133">
        <f t="shared" si="4"/>
        <v>0</v>
      </c>
      <c r="M77" s="133">
        <f t="shared" si="5"/>
        <v>0</v>
      </c>
      <c r="N77" s="76" t="str">
        <f>IFERROR(IF(A77="","—",IF(COUNTIF(HPP_ENGINE!$A$4:$A$203,A77)=0,"⚠ BELUM DI HPP",IF(E77=0,"PLANNING",IF(M77&gt;=1,"SOLD OUT",IF(M77&gt;=0.7,"ON TRACK",IF(M77&gt;=0.3,"SLOW MOVE",IF(M77&gt;0,"STUCK","BELUM TERJUAL"))))))),"—")</f>
        <v>—</v>
      </c>
    </row>
    <row r="78" ht="18.75" customHeight="1">
      <c r="A78" s="77"/>
      <c r="B78" s="116" t="str">
        <f t="array" ref="B78">IFERROR(IF(A78="","",INDEX(HPP_ENGINE!$B:$B,MATCH(A78,HPP_ENGINE!$A:$A,0))),"")</f>
        <v/>
      </c>
      <c r="C78" s="135" t="str">
        <f t="array" ref="C78">IFERROR(IF(A78="","",INDEX(HPP_ENGINE!$C:$C,MATCH(A78,HPP_ENGINE!$A:$A,0))),"")</f>
        <v/>
      </c>
      <c r="D78" s="119">
        <f t="array" ref="D78">IFERROR(IF(A78="",0,INDEX(PRODUCTION_PLAN!$D:$D,MATCH(A78,PRODUCTION_PLAN!$A:$A,0))),0)</f>
        <v>0</v>
      </c>
      <c r="E78" s="119">
        <f t="array" ref="E78">IFERROR(IF(A78="",0,INDEX(HPP_ENGINE!$D:$D,MATCH(A78,HPP_ENGINE!$A:$A,0))),0)</f>
        <v>0</v>
      </c>
      <c r="F78" s="119">
        <f>IFERROR(IF(A78="",0,SUMIFS(SALES_TRACKER!$E$4:$E$1003,SALES_TRACKER!$B$4:$B$1003,A78)),0)</f>
        <v>0</v>
      </c>
      <c r="G78" s="119">
        <f t="shared" si="1"/>
        <v>0</v>
      </c>
      <c r="H78" s="119">
        <f t="array" ref="H78">IFERROR(IF(A78="",0,INDEX(HPP_ENGINE!$I:$I,MATCH(A78,HPP_ENGINE!$A:$A,0))),0)</f>
        <v>0</v>
      </c>
      <c r="I78" s="119">
        <f>IFERROR(IF(A78="",0,SUMIFS(SALES_TRACKER!$G$4:$G$1003,SALES_TRACKER!$B$4:$B$1003,A78)),0)</f>
        <v>0</v>
      </c>
      <c r="J78" s="118">
        <f t="shared" si="2"/>
        <v>0</v>
      </c>
      <c r="K78" s="136">
        <f t="shared" si="3"/>
        <v>0</v>
      </c>
      <c r="L78" s="136">
        <f t="shared" si="4"/>
        <v>0</v>
      </c>
      <c r="M78" s="136">
        <f t="shared" si="5"/>
        <v>0</v>
      </c>
      <c r="N78" s="81" t="str">
        <f>IFERROR(IF(A78="","—",IF(COUNTIF(HPP_ENGINE!$A$4:$A$203,A78)=0,"⚠ BELUM DI HPP",IF(E78=0,"PLANNING",IF(M78&gt;=1,"SOLD OUT",IF(M78&gt;=0.7,"ON TRACK",IF(M78&gt;=0.3,"SLOW MOVE",IF(M78&gt;0,"STUCK","BELUM TERJUAL"))))))),"—")</f>
        <v>—</v>
      </c>
    </row>
    <row r="79" ht="18.75" customHeight="1">
      <c r="A79" s="72"/>
      <c r="B79" s="112" t="str">
        <f t="array" ref="B79">IFERROR(IF(A79="","",INDEX(HPP_ENGINE!$B:$B,MATCH(A79,HPP_ENGINE!$A:$A,0))),"")</f>
        <v/>
      </c>
      <c r="C79" s="137" t="str">
        <f t="array" ref="C79">IFERROR(IF(A79="","",INDEX(HPP_ENGINE!$C:$C,MATCH(A79,HPP_ENGINE!$A:$A,0))),"")</f>
        <v/>
      </c>
      <c r="D79" s="115">
        <f t="array" ref="D79">IFERROR(IF(A79="",0,INDEX(PRODUCTION_PLAN!$D:$D,MATCH(A79,PRODUCTION_PLAN!$A:$A,0))),0)</f>
        <v>0</v>
      </c>
      <c r="E79" s="115">
        <f t="array" ref="E79">IFERROR(IF(A79="",0,INDEX(HPP_ENGINE!$D:$D,MATCH(A79,HPP_ENGINE!$A:$A,0))),0)</f>
        <v>0</v>
      </c>
      <c r="F79" s="115">
        <f>IFERROR(IF(A79="",0,SUMIFS(SALES_TRACKER!$E$4:$E$1003,SALES_TRACKER!$B$4:$B$1003,A79)),0)</f>
        <v>0</v>
      </c>
      <c r="G79" s="115">
        <f t="shared" si="1"/>
        <v>0</v>
      </c>
      <c r="H79" s="115">
        <f t="array" ref="H79">IFERROR(IF(A79="",0,INDEX(HPP_ENGINE!$I:$I,MATCH(A79,HPP_ENGINE!$A:$A,0))),0)</f>
        <v>0</v>
      </c>
      <c r="I79" s="115">
        <f>IFERROR(IF(A79="",0,SUMIFS(SALES_TRACKER!$G$4:$G$1003,SALES_TRACKER!$B$4:$B$1003,A79)),0)</f>
        <v>0</v>
      </c>
      <c r="J79" s="114">
        <f t="shared" si="2"/>
        <v>0</v>
      </c>
      <c r="K79" s="133">
        <f t="shared" si="3"/>
        <v>0</v>
      </c>
      <c r="L79" s="133">
        <f t="shared" si="4"/>
        <v>0</v>
      </c>
      <c r="M79" s="133">
        <f t="shared" si="5"/>
        <v>0</v>
      </c>
      <c r="N79" s="76" t="str">
        <f>IFERROR(IF(A79="","—",IF(COUNTIF(HPP_ENGINE!$A$4:$A$203,A79)=0,"⚠ BELUM DI HPP",IF(E79=0,"PLANNING",IF(M79&gt;=1,"SOLD OUT",IF(M79&gt;=0.7,"ON TRACK",IF(M79&gt;=0.3,"SLOW MOVE",IF(M79&gt;0,"STUCK","BELUM TERJUAL"))))))),"—")</f>
        <v>—</v>
      </c>
    </row>
    <row r="80" ht="18.75" customHeight="1">
      <c r="A80" s="77"/>
      <c r="B80" s="116" t="str">
        <f t="array" ref="B80">IFERROR(IF(A80="","",INDEX(HPP_ENGINE!$B:$B,MATCH(A80,HPP_ENGINE!$A:$A,0))),"")</f>
        <v/>
      </c>
      <c r="C80" s="135" t="str">
        <f t="array" ref="C80">IFERROR(IF(A80="","",INDEX(HPP_ENGINE!$C:$C,MATCH(A80,HPP_ENGINE!$A:$A,0))),"")</f>
        <v/>
      </c>
      <c r="D80" s="119">
        <f t="array" ref="D80">IFERROR(IF(A80="",0,INDEX(PRODUCTION_PLAN!$D:$D,MATCH(A80,PRODUCTION_PLAN!$A:$A,0))),0)</f>
        <v>0</v>
      </c>
      <c r="E80" s="119">
        <f t="array" ref="E80">IFERROR(IF(A80="",0,INDEX(HPP_ENGINE!$D:$D,MATCH(A80,HPP_ENGINE!$A:$A,0))),0)</f>
        <v>0</v>
      </c>
      <c r="F80" s="119">
        <f>IFERROR(IF(A80="",0,SUMIFS(SALES_TRACKER!$E$4:$E$1003,SALES_TRACKER!$B$4:$B$1003,A80)),0)</f>
        <v>0</v>
      </c>
      <c r="G80" s="119">
        <f t="shared" si="1"/>
        <v>0</v>
      </c>
      <c r="H80" s="119">
        <f t="array" ref="H80">IFERROR(IF(A80="",0,INDEX(HPP_ENGINE!$I:$I,MATCH(A80,HPP_ENGINE!$A:$A,0))),0)</f>
        <v>0</v>
      </c>
      <c r="I80" s="119">
        <f>IFERROR(IF(A80="",0,SUMIFS(SALES_TRACKER!$G$4:$G$1003,SALES_TRACKER!$B$4:$B$1003,A80)),0)</f>
        <v>0</v>
      </c>
      <c r="J80" s="118">
        <f t="shared" si="2"/>
        <v>0</v>
      </c>
      <c r="K80" s="136">
        <f t="shared" si="3"/>
        <v>0</v>
      </c>
      <c r="L80" s="136">
        <f t="shared" si="4"/>
        <v>0</v>
      </c>
      <c r="M80" s="136">
        <f t="shared" si="5"/>
        <v>0</v>
      </c>
      <c r="N80" s="81" t="str">
        <f>IFERROR(IF(A80="","—",IF(COUNTIF(HPP_ENGINE!$A$4:$A$203,A80)=0,"⚠ BELUM DI HPP",IF(E80=0,"PLANNING",IF(M80&gt;=1,"SOLD OUT",IF(M80&gt;=0.7,"ON TRACK",IF(M80&gt;=0.3,"SLOW MOVE",IF(M80&gt;0,"STUCK","BELUM TERJUAL"))))))),"—")</f>
        <v>—</v>
      </c>
    </row>
    <row r="81" ht="18.75" customHeight="1">
      <c r="A81" s="72"/>
      <c r="B81" s="112" t="str">
        <f t="array" ref="B81">IFERROR(IF(A81="","",INDEX(HPP_ENGINE!$B:$B,MATCH(A81,HPP_ENGINE!$A:$A,0))),"")</f>
        <v/>
      </c>
      <c r="C81" s="137" t="str">
        <f t="array" ref="C81">IFERROR(IF(A81="","",INDEX(HPP_ENGINE!$C:$C,MATCH(A81,HPP_ENGINE!$A:$A,0))),"")</f>
        <v/>
      </c>
      <c r="D81" s="115">
        <f t="array" ref="D81">IFERROR(IF(A81="",0,INDEX(PRODUCTION_PLAN!$D:$D,MATCH(A81,PRODUCTION_PLAN!$A:$A,0))),0)</f>
        <v>0</v>
      </c>
      <c r="E81" s="115">
        <f t="array" ref="E81">IFERROR(IF(A81="",0,INDEX(HPP_ENGINE!$D:$D,MATCH(A81,HPP_ENGINE!$A:$A,0))),0)</f>
        <v>0</v>
      </c>
      <c r="F81" s="115">
        <f>IFERROR(IF(A81="",0,SUMIFS(SALES_TRACKER!$E$4:$E$1003,SALES_TRACKER!$B$4:$B$1003,A81)),0)</f>
        <v>0</v>
      </c>
      <c r="G81" s="115">
        <f t="shared" si="1"/>
        <v>0</v>
      </c>
      <c r="H81" s="115">
        <f t="array" ref="H81">IFERROR(IF(A81="",0,INDEX(HPP_ENGINE!$I:$I,MATCH(A81,HPP_ENGINE!$A:$A,0))),0)</f>
        <v>0</v>
      </c>
      <c r="I81" s="115">
        <f>IFERROR(IF(A81="",0,SUMIFS(SALES_TRACKER!$G$4:$G$1003,SALES_TRACKER!$B$4:$B$1003,A81)),0)</f>
        <v>0</v>
      </c>
      <c r="J81" s="114">
        <f t="shared" si="2"/>
        <v>0</v>
      </c>
      <c r="K81" s="133">
        <f t="shared" si="3"/>
        <v>0</v>
      </c>
      <c r="L81" s="133">
        <f t="shared" si="4"/>
        <v>0</v>
      </c>
      <c r="M81" s="133">
        <f t="shared" si="5"/>
        <v>0</v>
      </c>
      <c r="N81" s="76" t="str">
        <f>IFERROR(IF(A81="","—",IF(COUNTIF(HPP_ENGINE!$A$4:$A$203,A81)=0,"⚠ BELUM DI HPP",IF(E81=0,"PLANNING",IF(M81&gt;=1,"SOLD OUT",IF(M81&gt;=0.7,"ON TRACK",IF(M81&gt;=0.3,"SLOW MOVE",IF(M81&gt;0,"STUCK","BELUM TERJUAL"))))))),"—")</f>
        <v>—</v>
      </c>
    </row>
    <row r="82" ht="18.75" customHeight="1">
      <c r="A82" s="77"/>
      <c r="B82" s="116" t="str">
        <f t="array" ref="B82">IFERROR(IF(A82="","",INDEX(HPP_ENGINE!$B:$B,MATCH(A82,HPP_ENGINE!$A:$A,0))),"")</f>
        <v/>
      </c>
      <c r="C82" s="135" t="str">
        <f t="array" ref="C82">IFERROR(IF(A82="","",INDEX(HPP_ENGINE!$C:$C,MATCH(A82,HPP_ENGINE!$A:$A,0))),"")</f>
        <v/>
      </c>
      <c r="D82" s="119">
        <f t="array" ref="D82">IFERROR(IF(A82="",0,INDEX(PRODUCTION_PLAN!$D:$D,MATCH(A82,PRODUCTION_PLAN!$A:$A,0))),0)</f>
        <v>0</v>
      </c>
      <c r="E82" s="119">
        <f t="array" ref="E82">IFERROR(IF(A82="",0,INDEX(HPP_ENGINE!$D:$D,MATCH(A82,HPP_ENGINE!$A:$A,0))),0)</f>
        <v>0</v>
      </c>
      <c r="F82" s="119">
        <f>IFERROR(IF(A82="",0,SUMIFS(SALES_TRACKER!$E$4:$E$1003,SALES_TRACKER!$B$4:$B$1003,A82)),0)</f>
        <v>0</v>
      </c>
      <c r="G82" s="119">
        <f t="shared" si="1"/>
        <v>0</v>
      </c>
      <c r="H82" s="119">
        <f t="array" ref="H82">IFERROR(IF(A82="",0,INDEX(HPP_ENGINE!$I:$I,MATCH(A82,HPP_ENGINE!$A:$A,0))),0)</f>
        <v>0</v>
      </c>
      <c r="I82" s="119">
        <f>IFERROR(IF(A82="",0,SUMIFS(SALES_TRACKER!$G$4:$G$1003,SALES_TRACKER!$B$4:$B$1003,A82)),0)</f>
        <v>0</v>
      </c>
      <c r="J82" s="118">
        <f t="shared" si="2"/>
        <v>0</v>
      </c>
      <c r="K82" s="136">
        <f t="shared" si="3"/>
        <v>0</v>
      </c>
      <c r="L82" s="136">
        <f t="shared" si="4"/>
        <v>0</v>
      </c>
      <c r="M82" s="136">
        <f t="shared" si="5"/>
        <v>0</v>
      </c>
      <c r="N82" s="81" t="str">
        <f>IFERROR(IF(A82="","—",IF(COUNTIF(HPP_ENGINE!$A$4:$A$203,A82)=0,"⚠ BELUM DI HPP",IF(E82=0,"PLANNING",IF(M82&gt;=1,"SOLD OUT",IF(M82&gt;=0.7,"ON TRACK",IF(M82&gt;=0.3,"SLOW MOVE",IF(M82&gt;0,"STUCK","BELUM TERJUAL"))))))),"—")</f>
        <v>—</v>
      </c>
    </row>
    <row r="83" ht="18.75" customHeight="1">
      <c r="A83" s="72"/>
      <c r="B83" s="112" t="str">
        <f t="array" ref="B83">IFERROR(IF(A83="","",INDEX(HPP_ENGINE!$B:$B,MATCH(A83,HPP_ENGINE!$A:$A,0))),"")</f>
        <v/>
      </c>
      <c r="C83" s="137" t="str">
        <f t="array" ref="C83">IFERROR(IF(A83="","",INDEX(HPP_ENGINE!$C:$C,MATCH(A83,HPP_ENGINE!$A:$A,0))),"")</f>
        <v/>
      </c>
      <c r="D83" s="115">
        <f t="array" ref="D83">IFERROR(IF(A83="",0,INDEX(PRODUCTION_PLAN!$D:$D,MATCH(A83,PRODUCTION_PLAN!$A:$A,0))),0)</f>
        <v>0</v>
      </c>
      <c r="E83" s="115">
        <f t="array" ref="E83">IFERROR(IF(A83="",0,INDEX(HPP_ENGINE!$D:$D,MATCH(A83,HPP_ENGINE!$A:$A,0))),0)</f>
        <v>0</v>
      </c>
      <c r="F83" s="115">
        <f>IFERROR(IF(A83="",0,SUMIFS(SALES_TRACKER!$E$4:$E$1003,SALES_TRACKER!$B$4:$B$1003,A83)),0)</f>
        <v>0</v>
      </c>
      <c r="G83" s="115">
        <f t="shared" si="1"/>
        <v>0</v>
      </c>
      <c r="H83" s="115">
        <f t="array" ref="H83">IFERROR(IF(A83="",0,INDEX(HPP_ENGINE!$I:$I,MATCH(A83,HPP_ENGINE!$A:$A,0))),0)</f>
        <v>0</v>
      </c>
      <c r="I83" s="115">
        <f>IFERROR(IF(A83="",0,SUMIFS(SALES_TRACKER!$G$4:$G$1003,SALES_TRACKER!$B$4:$B$1003,A83)),0)</f>
        <v>0</v>
      </c>
      <c r="J83" s="114">
        <f t="shared" si="2"/>
        <v>0</v>
      </c>
      <c r="K83" s="133">
        <f t="shared" si="3"/>
        <v>0</v>
      </c>
      <c r="L83" s="133">
        <f t="shared" si="4"/>
        <v>0</v>
      </c>
      <c r="M83" s="133">
        <f t="shared" si="5"/>
        <v>0</v>
      </c>
      <c r="N83" s="76" t="str">
        <f>IFERROR(IF(A83="","—",IF(COUNTIF(HPP_ENGINE!$A$4:$A$203,A83)=0,"⚠ BELUM DI HPP",IF(E83=0,"PLANNING",IF(M83&gt;=1,"SOLD OUT",IF(M83&gt;=0.7,"ON TRACK",IF(M83&gt;=0.3,"SLOW MOVE",IF(M83&gt;0,"STUCK","BELUM TERJUAL"))))))),"—")</f>
        <v>—</v>
      </c>
    </row>
    <row r="84" ht="18.75" customHeight="1">
      <c r="A84" s="77"/>
      <c r="B84" s="116" t="str">
        <f t="array" ref="B84">IFERROR(IF(A84="","",INDEX(HPP_ENGINE!$B:$B,MATCH(A84,HPP_ENGINE!$A:$A,0))),"")</f>
        <v/>
      </c>
      <c r="C84" s="135" t="str">
        <f t="array" ref="C84">IFERROR(IF(A84="","",INDEX(HPP_ENGINE!$C:$C,MATCH(A84,HPP_ENGINE!$A:$A,0))),"")</f>
        <v/>
      </c>
      <c r="D84" s="119">
        <f t="array" ref="D84">IFERROR(IF(A84="",0,INDEX(PRODUCTION_PLAN!$D:$D,MATCH(A84,PRODUCTION_PLAN!$A:$A,0))),0)</f>
        <v>0</v>
      </c>
      <c r="E84" s="119">
        <f t="array" ref="E84">IFERROR(IF(A84="",0,INDEX(HPP_ENGINE!$D:$D,MATCH(A84,HPP_ENGINE!$A:$A,0))),0)</f>
        <v>0</v>
      </c>
      <c r="F84" s="119">
        <f>IFERROR(IF(A84="",0,SUMIFS(SALES_TRACKER!$E$4:$E$1003,SALES_TRACKER!$B$4:$B$1003,A84)),0)</f>
        <v>0</v>
      </c>
      <c r="G84" s="119">
        <f t="shared" si="1"/>
        <v>0</v>
      </c>
      <c r="H84" s="119">
        <f t="array" ref="H84">IFERROR(IF(A84="",0,INDEX(HPP_ENGINE!$I:$I,MATCH(A84,HPP_ENGINE!$A:$A,0))),0)</f>
        <v>0</v>
      </c>
      <c r="I84" s="119">
        <f>IFERROR(IF(A84="",0,SUMIFS(SALES_TRACKER!$G$4:$G$1003,SALES_TRACKER!$B$4:$B$1003,A84)),0)</f>
        <v>0</v>
      </c>
      <c r="J84" s="118">
        <f t="shared" si="2"/>
        <v>0</v>
      </c>
      <c r="K84" s="136">
        <f t="shared" si="3"/>
        <v>0</v>
      </c>
      <c r="L84" s="136">
        <f t="shared" si="4"/>
        <v>0</v>
      </c>
      <c r="M84" s="136">
        <f t="shared" si="5"/>
        <v>0</v>
      </c>
      <c r="N84" s="81" t="str">
        <f>IFERROR(IF(A84="","—",IF(COUNTIF(HPP_ENGINE!$A$4:$A$203,A84)=0,"⚠ BELUM DI HPP",IF(E84=0,"PLANNING",IF(M84&gt;=1,"SOLD OUT",IF(M84&gt;=0.7,"ON TRACK",IF(M84&gt;=0.3,"SLOW MOVE",IF(M84&gt;0,"STUCK","BELUM TERJUAL"))))))),"—")</f>
        <v>—</v>
      </c>
    </row>
    <row r="85" ht="18.75" customHeight="1">
      <c r="A85" s="72"/>
      <c r="B85" s="112" t="str">
        <f t="array" ref="B85">IFERROR(IF(A85="","",INDEX(HPP_ENGINE!$B:$B,MATCH(A85,HPP_ENGINE!$A:$A,0))),"")</f>
        <v/>
      </c>
      <c r="C85" s="137" t="str">
        <f t="array" ref="C85">IFERROR(IF(A85="","",INDEX(HPP_ENGINE!$C:$C,MATCH(A85,HPP_ENGINE!$A:$A,0))),"")</f>
        <v/>
      </c>
      <c r="D85" s="115">
        <f t="array" ref="D85">IFERROR(IF(A85="",0,INDEX(PRODUCTION_PLAN!$D:$D,MATCH(A85,PRODUCTION_PLAN!$A:$A,0))),0)</f>
        <v>0</v>
      </c>
      <c r="E85" s="115">
        <f t="array" ref="E85">IFERROR(IF(A85="",0,INDEX(HPP_ENGINE!$D:$D,MATCH(A85,HPP_ENGINE!$A:$A,0))),0)</f>
        <v>0</v>
      </c>
      <c r="F85" s="115">
        <f>IFERROR(IF(A85="",0,SUMIFS(SALES_TRACKER!$E$4:$E$1003,SALES_TRACKER!$B$4:$B$1003,A85)),0)</f>
        <v>0</v>
      </c>
      <c r="G85" s="115">
        <f t="shared" si="1"/>
        <v>0</v>
      </c>
      <c r="H85" s="115">
        <f t="array" ref="H85">IFERROR(IF(A85="",0,INDEX(HPP_ENGINE!$I:$I,MATCH(A85,HPP_ENGINE!$A:$A,0))),0)</f>
        <v>0</v>
      </c>
      <c r="I85" s="115">
        <f>IFERROR(IF(A85="",0,SUMIFS(SALES_TRACKER!$G$4:$G$1003,SALES_TRACKER!$B$4:$B$1003,A85)),0)</f>
        <v>0</v>
      </c>
      <c r="J85" s="114">
        <f t="shared" si="2"/>
        <v>0</v>
      </c>
      <c r="K85" s="133">
        <f t="shared" si="3"/>
        <v>0</v>
      </c>
      <c r="L85" s="133">
        <f t="shared" si="4"/>
        <v>0</v>
      </c>
      <c r="M85" s="133">
        <f t="shared" si="5"/>
        <v>0</v>
      </c>
      <c r="N85" s="76" t="str">
        <f>IFERROR(IF(A85="","—",IF(COUNTIF(HPP_ENGINE!$A$4:$A$203,A85)=0,"⚠ BELUM DI HPP",IF(E85=0,"PLANNING",IF(M85&gt;=1,"SOLD OUT",IF(M85&gt;=0.7,"ON TRACK",IF(M85&gt;=0.3,"SLOW MOVE",IF(M85&gt;0,"STUCK","BELUM TERJUAL"))))))),"—")</f>
        <v>—</v>
      </c>
    </row>
    <row r="86" ht="18.75" customHeight="1">
      <c r="A86" s="77"/>
      <c r="B86" s="116" t="str">
        <f t="array" ref="B86">IFERROR(IF(A86="","",INDEX(HPP_ENGINE!$B:$B,MATCH(A86,HPP_ENGINE!$A:$A,0))),"")</f>
        <v/>
      </c>
      <c r="C86" s="135" t="str">
        <f t="array" ref="C86">IFERROR(IF(A86="","",INDEX(HPP_ENGINE!$C:$C,MATCH(A86,HPP_ENGINE!$A:$A,0))),"")</f>
        <v/>
      </c>
      <c r="D86" s="119">
        <f t="array" ref="D86">IFERROR(IF(A86="",0,INDEX(PRODUCTION_PLAN!$D:$D,MATCH(A86,PRODUCTION_PLAN!$A:$A,0))),0)</f>
        <v>0</v>
      </c>
      <c r="E86" s="119">
        <f t="array" ref="E86">IFERROR(IF(A86="",0,INDEX(HPP_ENGINE!$D:$D,MATCH(A86,HPP_ENGINE!$A:$A,0))),0)</f>
        <v>0</v>
      </c>
      <c r="F86" s="119">
        <f>IFERROR(IF(A86="",0,SUMIFS(SALES_TRACKER!$E$4:$E$1003,SALES_TRACKER!$B$4:$B$1003,A86)),0)</f>
        <v>0</v>
      </c>
      <c r="G86" s="119">
        <f t="shared" si="1"/>
        <v>0</v>
      </c>
      <c r="H86" s="119">
        <f t="array" ref="H86">IFERROR(IF(A86="",0,INDEX(HPP_ENGINE!$I:$I,MATCH(A86,HPP_ENGINE!$A:$A,0))),0)</f>
        <v>0</v>
      </c>
      <c r="I86" s="119">
        <f>IFERROR(IF(A86="",0,SUMIFS(SALES_TRACKER!$G$4:$G$1003,SALES_TRACKER!$B$4:$B$1003,A86)),0)</f>
        <v>0</v>
      </c>
      <c r="J86" s="118">
        <f t="shared" si="2"/>
        <v>0</v>
      </c>
      <c r="K86" s="136">
        <f t="shared" si="3"/>
        <v>0</v>
      </c>
      <c r="L86" s="136">
        <f t="shared" si="4"/>
        <v>0</v>
      </c>
      <c r="M86" s="136">
        <f t="shared" si="5"/>
        <v>0</v>
      </c>
      <c r="N86" s="81" t="str">
        <f>IFERROR(IF(A86="","—",IF(COUNTIF(HPP_ENGINE!$A$4:$A$203,A86)=0,"⚠ BELUM DI HPP",IF(E86=0,"PLANNING",IF(M86&gt;=1,"SOLD OUT",IF(M86&gt;=0.7,"ON TRACK",IF(M86&gt;=0.3,"SLOW MOVE",IF(M86&gt;0,"STUCK","BELUM TERJUAL"))))))),"—")</f>
        <v>—</v>
      </c>
    </row>
    <row r="87" ht="18.75" customHeight="1">
      <c r="A87" s="72"/>
      <c r="B87" s="112" t="str">
        <f t="array" ref="B87">IFERROR(IF(A87="","",INDEX(HPP_ENGINE!$B:$B,MATCH(A87,HPP_ENGINE!$A:$A,0))),"")</f>
        <v/>
      </c>
      <c r="C87" s="137" t="str">
        <f t="array" ref="C87">IFERROR(IF(A87="","",INDEX(HPP_ENGINE!$C:$C,MATCH(A87,HPP_ENGINE!$A:$A,0))),"")</f>
        <v/>
      </c>
      <c r="D87" s="115">
        <f t="array" ref="D87">IFERROR(IF(A87="",0,INDEX(PRODUCTION_PLAN!$D:$D,MATCH(A87,PRODUCTION_PLAN!$A:$A,0))),0)</f>
        <v>0</v>
      </c>
      <c r="E87" s="115">
        <f t="array" ref="E87">IFERROR(IF(A87="",0,INDEX(HPP_ENGINE!$D:$D,MATCH(A87,HPP_ENGINE!$A:$A,0))),0)</f>
        <v>0</v>
      </c>
      <c r="F87" s="115">
        <f>IFERROR(IF(A87="",0,SUMIFS(SALES_TRACKER!$E$4:$E$1003,SALES_TRACKER!$B$4:$B$1003,A87)),0)</f>
        <v>0</v>
      </c>
      <c r="G87" s="115">
        <f t="shared" si="1"/>
        <v>0</v>
      </c>
      <c r="H87" s="115">
        <f t="array" ref="H87">IFERROR(IF(A87="",0,INDEX(HPP_ENGINE!$I:$I,MATCH(A87,HPP_ENGINE!$A:$A,0))),0)</f>
        <v>0</v>
      </c>
      <c r="I87" s="115">
        <f>IFERROR(IF(A87="",0,SUMIFS(SALES_TRACKER!$G$4:$G$1003,SALES_TRACKER!$B$4:$B$1003,A87)),0)</f>
        <v>0</v>
      </c>
      <c r="J87" s="114">
        <f t="shared" si="2"/>
        <v>0</v>
      </c>
      <c r="K87" s="133">
        <f t="shared" si="3"/>
        <v>0</v>
      </c>
      <c r="L87" s="133">
        <f t="shared" si="4"/>
        <v>0</v>
      </c>
      <c r="M87" s="133">
        <f t="shared" si="5"/>
        <v>0</v>
      </c>
      <c r="N87" s="76" t="str">
        <f>IFERROR(IF(A87="","—",IF(COUNTIF(HPP_ENGINE!$A$4:$A$203,A87)=0,"⚠ BELUM DI HPP",IF(E87=0,"PLANNING",IF(M87&gt;=1,"SOLD OUT",IF(M87&gt;=0.7,"ON TRACK",IF(M87&gt;=0.3,"SLOW MOVE",IF(M87&gt;0,"STUCK","BELUM TERJUAL"))))))),"—")</f>
        <v>—</v>
      </c>
    </row>
    <row r="88" ht="18.75" customHeight="1">
      <c r="A88" s="77"/>
      <c r="B88" s="116" t="str">
        <f t="array" ref="B88">IFERROR(IF(A88="","",INDEX(HPP_ENGINE!$B:$B,MATCH(A88,HPP_ENGINE!$A:$A,0))),"")</f>
        <v/>
      </c>
      <c r="C88" s="135" t="str">
        <f t="array" ref="C88">IFERROR(IF(A88="","",INDEX(HPP_ENGINE!$C:$C,MATCH(A88,HPP_ENGINE!$A:$A,0))),"")</f>
        <v/>
      </c>
      <c r="D88" s="119">
        <f t="array" ref="D88">IFERROR(IF(A88="",0,INDEX(PRODUCTION_PLAN!$D:$D,MATCH(A88,PRODUCTION_PLAN!$A:$A,0))),0)</f>
        <v>0</v>
      </c>
      <c r="E88" s="119">
        <f t="array" ref="E88">IFERROR(IF(A88="",0,INDEX(HPP_ENGINE!$D:$D,MATCH(A88,HPP_ENGINE!$A:$A,0))),0)</f>
        <v>0</v>
      </c>
      <c r="F88" s="119">
        <f>IFERROR(IF(A88="",0,SUMIFS(SALES_TRACKER!$E$4:$E$1003,SALES_TRACKER!$B$4:$B$1003,A88)),0)</f>
        <v>0</v>
      </c>
      <c r="G88" s="119">
        <f t="shared" si="1"/>
        <v>0</v>
      </c>
      <c r="H88" s="119">
        <f t="array" ref="H88">IFERROR(IF(A88="",0,INDEX(HPP_ENGINE!$I:$I,MATCH(A88,HPP_ENGINE!$A:$A,0))),0)</f>
        <v>0</v>
      </c>
      <c r="I88" s="119">
        <f>IFERROR(IF(A88="",0,SUMIFS(SALES_TRACKER!$G$4:$G$1003,SALES_TRACKER!$B$4:$B$1003,A88)),0)</f>
        <v>0</v>
      </c>
      <c r="J88" s="118">
        <f t="shared" si="2"/>
        <v>0</v>
      </c>
      <c r="K88" s="136">
        <f t="shared" si="3"/>
        <v>0</v>
      </c>
      <c r="L88" s="136">
        <f t="shared" si="4"/>
        <v>0</v>
      </c>
      <c r="M88" s="136">
        <f t="shared" si="5"/>
        <v>0</v>
      </c>
      <c r="N88" s="81" t="str">
        <f>IFERROR(IF(A88="","—",IF(COUNTIF(HPP_ENGINE!$A$4:$A$203,A88)=0,"⚠ BELUM DI HPP",IF(E88=0,"PLANNING",IF(M88&gt;=1,"SOLD OUT",IF(M88&gt;=0.7,"ON TRACK",IF(M88&gt;=0.3,"SLOW MOVE",IF(M88&gt;0,"STUCK","BELUM TERJUAL"))))))),"—")</f>
        <v>—</v>
      </c>
    </row>
    <row r="89" ht="18.75" customHeight="1">
      <c r="A89" s="72"/>
      <c r="B89" s="112" t="str">
        <f t="array" ref="B89">IFERROR(IF(A89="","",INDEX(HPP_ENGINE!$B:$B,MATCH(A89,HPP_ENGINE!$A:$A,0))),"")</f>
        <v/>
      </c>
      <c r="C89" s="137" t="str">
        <f t="array" ref="C89">IFERROR(IF(A89="","",INDEX(HPP_ENGINE!$C:$C,MATCH(A89,HPP_ENGINE!$A:$A,0))),"")</f>
        <v/>
      </c>
      <c r="D89" s="115">
        <f t="array" ref="D89">IFERROR(IF(A89="",0,INDEX(PRODUCTION_PLAN!$D:$D,MATCH(A89,PRODUCTION_PLAN!$A:$A,0))),0)</f>
        <v>0</v>
      </c>
      <c r="E89" s="115">
        <f t="array" ref="E89">IFERROR(IF(A89="",0,INDEX(HPP_ENGINE!$D:$D,MATCH(A89,HPP_ENGINE!$A:$A,0))),0)</f>
        <v>0</v>
      </c>
      <c r="F89" s="115">
        <f>IFERROR(IF(A89="",0,SUMIFS(SALES_TRACKER!$E$4:$E$1003,SALES_TRACKER!$B$4:$B$1003,A89)),0)</f>
        <v>0</v>
      </c>
      <c r="G89" s="115">
        <f t="shared" si="1"/>
        <v>0</v>
      </c>
      <c r="H89" s="115">
        <f t="array" ref="H89">IFERROR(IF(A89="",0,INDEX(HPP_ENGINE!$I:$I,MATCH(A89,HPP_ENGINE!$A:$A,0))),0)</f>
        <v>0</v>
      </c>
      <c r="I89" s="115">
        <f>IFERROR(IF(A89="",0,SUMIFS(SALES_TRACKER!$G$4:$G$1003,SALES_TRACKER!$B$4:$B$1003,A89)),0)</f>
        <v>0</v>
      </c>
      <c r="J89" s="114">
        <f t="shared" si="2"/>
        <v>0</v>
      </c>
      <c r="K89" s="133">
        <f t="shared" si="3"/>
        <v>0</v>
      </c>
      <c r="L89" s="133">
        <f t="shared" si="4"/>
        <v>0</v>
      </c>
      <c r="M89" s="133">
        <f t="shared" si="5"/>
        <v>0</v>
      </c>
      <c r="N89" s="76" t="str">
        <f>IFERROR(IF(A89="","—",IF(COUNTIF(HPP_ENGINE!$A$4:$A$203,A89)=0,"⚠ BELUM DI HPP",IF(E89=0,"PLANNING",IF(M89&gt;=1,"SOLD OUT",IF(M89&gt;=0.7,"ON TRACK",IF(M89&gt;=0.3,"SLOW MOVE",IF(M89&gt;0,"STUCK","BELUM TERJUAL"))))))),"—")</f>
        <v>—</v>
      </c>
    </row>
    <row r="90" ht="18.75" customHeight="1">
      <c r="A90" s="77"/>
      <c r="B90" s="116" t="str">
        <f t="array" ref="B90">IFERROR(IF(A90="","",INDEX(HPP_ENGINE!$B:$B,MATCH(A90,HPP_ENGINE!$A:$A,0))),"")</f>
        <v/>
      </c>
      <c r="C90" s="135" t="str">
        <f t="array" ref="C90">IFERROR(IF(A90="","",INDEX(HPP_ENGINE!$C:$C,MATCH(A90,HPP_ENGINE!$A:$A,0))),"")</f>
        <v/>
      </c>
      <c r="D90" s="119">
        <f t="array" ref="D90">IFERROR(IF(A90="",0,INDEX(PRODUCTION_PLAN!$D:$D,MATCH(A90,PRODUCTION_PLAN!$A:$A,0))),0)</f>
        <v>0</v>
      </c>
      <c r="E90" s="119">
        <f t="array" ref="E90">IFERROR(IF(A90="",0,INDEX(HPP_ENGINE!$D:$D,MATCH(A90,HPP_ENGINE!$A:$A,0))),0)</f>
        <v>0</v>
      </c>
      <c r="F90" s="119">
        <f>IFERROR(IF(A90="",0,SUMIFS(SALES_TRACKER!$E$4:$E$1003,SALES_TRACKER!$B$4:$B$1003,A90)),0)</f>
        <v>0</v>
      </c>
      <c r="G90" s="119">
        <f t="shared" si="1"/>
        <v>0</v>
      </c>
      <c r="H90" s="119">
        <f t="array" ref="H90">IFERROR(IF(A90="",0,INDEX(HPP_ENGINE!$I:$I,MATCH(A90,HPP_ENGINE!$A:$A,0))),0)</f>
        <v>0</v>
      </c>
      <c r="I90" s="119">
        <f>IFERROR(IF(A90="",0,SUMIFS(SALES_TRACKER!$G$4:$G$1003,SALES_TRACKER!$B$4:$B$1003,A90)),0)</f>
        <v>0</v>
      </c>
      <c r="J90" s="118">
        <f t="shared" si="2"/>
        <v>0</v>
      </c>
      <c r="K90" s="136">
        <f t="shared" si="3"/>
        <v>0</v>
      </c>
      <c r="L90" s="136">
        <f t="shared" si="4"/>
        <v>0</v>
      </c>
      <c r="M90" s="136">
        <f t="shared" si="5"/>
        <v>0</v>
      </c>
      <c r="N90" s="81" t="str">
        <f>IFERROR(IF(A90="","—",IF(COUNTIF(HPP_ENGINE!$A$4:$A$203,A90)=0,"⚠ BELUM DI HPP",IF(E90=0,"PLANNING",IF(M90&gt;=1,"SOLD OUT",IF(M90&gt;=0.7,"ON TRACK",IF(M90&gt;=0.3,"SLOW MOVE",IF(M90&gt;0,"STUCK","BELUM TERJUAL"))))))),"—")</f>
        <v>—</v>
      </c>
    </row>
    <row r="91" ht="18.75" customHeight="1">
      <c r="A91" s="72"/>
      <c r="B91" s="112" t="str">
        <f t="array" ref="B91">IFERROR(IF(A91="","",INDEX(HPP_ENGINE!$B:$B,MATCH(A91,HPP_ENGINE!$A:$A,0))),"")</f>
        <v/>
      </c>
      <c r="C91" s="137" t="str">
        <f t="array" ref="C91">IFERROR(IF(A91="","",INDEX(HPP_ENGINE!$C:$C,MATCH(A91,HPP_ENGINE!$A:$A,0))),"")</f>
        <v/>
      </c>
      <c r="D91" s="115">
        <f t="array" ref="D91">IFERROR(IF(A91="",0,INDEX(PRODUCTION_PLAN!$D:$D,MATCH(A91,PRODUCTION_PLAN!$A:$A,0))),0)</f>
        <v>0</v>
      </c>
      <c r="E91" s="115">
        <f t="array" ref="E91">IFERROR(IF(A91="",0,INDEX(HPP_ENGINE!$D:$D,MATCH(A91,HPP_ENGINE!$A:$A,0))),0)</f>
        <v>0</v>
      </c>
      <c r="F91" s="115">
        <f>IFERROR(IF(A91="",0,SUMIFS(SALES_TRACKER!$E$4:$E$1003,SALES_TRACKER!$B$4:$B$1003,A91)),0)</f>
        <v>0</v>
      </c>
      <c r="G91" s="115">
        <f t="shared" si="1"/>
        <v>0</v>
      </c>
      <c r="H91" s="115">
        <f t="array" ref="H91">IFERROR(IF(A91="",0,INDEX(HPP_ENGINE!$I:$I,MATCH(A91,HPP_ENGINE!$A:$A,0))),0)</f>
        <v>0</v>
      </c>
      <c r="I91" s="115">
        <f>IFERROR(IF(A91="",0,SUMIFS(SALES_TRACKER!$G$4:$G$1003,SALES_TRACKER!$B$4:$B$1003,A91)),0)</f>
        <v>0</v>
      </c>
      <c r="J91" s="114">
        <f t="shared" si="2"/>
        <v>0</v>
      </c>
      <c r="K91" s="133">
        <f t="shared" si="3"/>
        <v>0</v>
      </c>
      <c r="L91" s="133">
        <f t="shared" si="4"/>
        <v>0</v>
      </c>
      <c r="M91" s="133">
        <f t="shared" si="5"/>
        <v>0</v>
      </c>
      <c r="N91" s="76" t="str">
        <f>IFERROR(IF(A91="","—",IF(COUNTIF(HPP_ENGINE!$A$4:$A$203,A91)=0,"⚠ BELUM DI HPP",IF(E91=0,"PLANNING",IF(M91&gt;=1,"SOLD OUT",IF(M91&gt;=0.7,"ON TRACK",IF(M91&gt;=0.3,"SLOW MOVE",IF(M91&gt;0,"STUCK","BELUM TERJUAL"))))))),"—")</f>
        <v>—</v>
      </c>
    </row>
    <row r="92" ht="18.75" customHeight="1">
      <c r="A92" s="77"/>
      <c r="B92" s="116" t="str">
        <f t="array" ref="B92">IFERROR(IF(A92="","",INDEX(HPP_ENGINE!$B:$B,MATCH(A92,HPP_ENGINE!$A:$A,0))),"")</f>
        <v/>
      </c>
      <c r="C92" s="135" t="str">
        <f t="array" ref="C92">IFERROR(IF(A92="","",INDEX(HPP_ENGINE!$C:$C,MATCH(A92,HPP_ENGINE!$A:$A,0))),"")</f>
        <v/>
      </c>
      <c r="D92" s="119">
        <f t="array" ref="D92">IFERROR(IF(A92="",0,INDEX(PRODUCTION_PLAN!$D:$D,MATCH(A92,PRODUCTION_PLAN!$A:$A,0))),0)</f>
        <v>0</v>
      </c>
      <c r="E92" s="119">
        <f t="array" ref="E92">IFERROR(IF(A92="",0,INDEX(HPP_ENGINE!$D:$D,MATCH(A92,HPP_ENGINE!$A:$A,0))),0)</f>
        <v>0</v>
      </c>
      <c r="F92" s="119">
        <f>IFERROR(IF(A92="",0,SUMIFS(SALES_TRACKER!$E$4:$E$1003,SALES_TRACKER!$B$4:$B$1003,A92)),0)</f>
        <v>0</v>
      </c>
      <c r="G92" s="119">
        <f t="shared" si="1"/>
        <v>0</v>
      </c>
      <c r="H92" s="119">
        <f t="array" ref="H92">IFERROR(IF(A92="",0,INDEX(HPP_ENGINE!$I:$I,MATCH(A92,HPP_ENGINE!$A:$A,0))),0)</f>
        <v>0</v>
      </c>
      <c r="I92" s="119">
        <f>IFERROR(IF(A92="",0,SUMIFS(SALES_TRACKER!$G$4:$G$1003,SALES_TRACKER!$B$4:$B$1003,A92)),0)</f>
        <v>0</v>
      </c>
      <c r="J92" s="118">
        <f t="shared" si="2"/>
        <v>0</v>
      </c>
      <c r="K92" s="136">
        <f t="shared" si="3"/>
        <v>0</v>
      </c>
      <c r="L92" s="136">
        <f t="shared" si="4"/>
        <v>0</v>
      </c>
      <c r="M92" s="136">
        <f t="shared" si="5"/>
        <v>0</v>
      </c>
      <c r="N92" s="81" t="str">
        <f>IFERROR(IF(A92="","—",IF(COUNTIF(HPP_ENGINE!$A$4:$A$203,A92)=0,"⚠ BELUM DI HPP",IF(E92=0,"PLANNING",IF(M92&gt;=1,"SOLD OUT",IF(M92&gt;=0.7,"ON TRACK",IF(M92&gt;=0.3,"SLOW MOVE",IF(M92&gt;0,"STUCK","BELUM TERJUAL"))))))),"—")</f>
        <v>—</v>
      </c>
    </row>
    <row r="93" ht="18.75" customHeight="1">
      <c r="A93" s="72"/>
      <c r="B93" s="112" t="str">
        <f t="array" ref="B93">IFERROR(IF(A93="","",INDEX(HPP_ENGINE!$B:$B,MATCH(A93,HPP_ENGINE!$A:$A,0))),"")</f>
        <v/>
      </c>
      <c r="C93" s="137" t="str">
        <f t="array" ref="C93">IFERROR(IF(A93="","",INDEX(HPP_ENGINE!$C:$C,MATCH(A93,HPP_ENGINE!$A:$A,0))),"")</f>
        <v/>
      </c>
      <c r="D93" s="115">
        <f t="array" ref="D93">IFERROR(IF(A93="",0,INDEX(PRODUCTION_PLAN!$D:$D,MATCH(A93,PRODUCTION_PLAN!$A:$A,0))),0)</f>
        <v>0</v>
      </c>
      <c r="E93" s="115">
        <f t="array" ref="E93">IFERROR(IF(A93="",0,INDEX(HPP_ENGINE!$D:$D,MATCH(A93,HPP_ENGINE!$A:$A,0))),0)</f>
        <v>0</v>
      </c>
      <c r="F93" s="115">
        <f>IFERROR(IF(A93="",0,SUMIFS(SALES_TRACKER!$E$4:$E$1003,SALES_TRACKER!$B$4:$B$1003,A93)),0)</f>
        <v>0</v>
      </c>
      <c r="G93" s="115">
        <f t="shared" si="1"/>
        <v>0</v>
      </c>
      <c r="H93" s="115">
        <f t="array" ref="H93">IFERROR(IF(A93="",0,INDEX(HPP_ENGINE!$I:$I,MATCH(A93,HPP_ENGINE!$A:$A,0))),0)</f>
        <v>0</v>
      </c>
      <c r="I93" s="115">
        <f>IFERROR(IF(A93="",0,SUMIFS(SALES_TRACKER!$G$4:$G$1003,SALES_TRACKER!$B$4:$B$1003,A93)),0)</f>
        <v>0</v>
      </c>
      <c r="J93" s="114">
        <f t="shared" si="2"/>
        <v>0</v>
      </c>
      <c r="K93" s="133">
        <f t="shared" si="3"/>
        <v>0</v>
      </c>
      <c r="L93" s="133">
        <f t="shared" si="4"/>
        <v>0</v>
      </c>
      <c r="M93" s="133">
        <f t="shared" si="5"/>
        <v>0</v>
      </c>
      <c r="N93" s="76" t="str">
        <f>IFERROR(IF(A93="","—",IF(COUNTIF(HPP_ENGINE!$A$4:$A$203,A93)=0,"⚠ BELUM DI HPP",IF(E93=0,"PLANNING",IF(M93&gt;=1,"SOLD OUT",IF(M93&gt;=0.7,"ON TRACK",IF(M93&gt;=0.3,"SLOW MOVE",IF(M93&gt;0,"STUCK","BELUM TERJUAL"))))))),"—")</f>
        <v>—</v>
      </c>
    </row>
    <row r="94" ht="18.75" customHeight="1">
      <c r="A94" s="77"/>
      <c r="B94" s="116" t="str">
        <f t="array" ref="B94">IFERROR(IF(A94="","",INDEX(HPP_ENGINE!$B:$B,MATCH(A94,HPP_ENGINE!$A:$A,0))),"")</f>
        <v/>
      </c>
      <c r="C94" s="135" t="str">
        <f t="array" ref="C94">IFERROR(IF(A94="","",INDEX(HPP_ENGINE!$C:$C,MATCH(A94,HPP_ENGINE!$A:$A,0))),"")</f>
        <v/>
      </c>
      <c r="D94" s="119">
        <f t="array" ref="D94">IFERROR(IF(A94="",0,INDEX(PRODUCTION_PLAN!$D:$D,MATCH(A94,PRODUCTION_PLAN!$A:$A,0))),0)</f>
        <v>0</v>
      </c>
      <c r="E94" s="119">
        <f t="array" ref="E94">IFERROR(IF(A94="",0,INDEX(HPP_ENGINE!$D:$D,MATCH(A94,HPP_ENGINE!$A:$A,0))),0)</f>
        <v>0</v>
      </c>
      <c r="F94" s="119">
        <f>IFERROR(IF(A94="",0,SUMIFS(SALES_TRACKER!$E$4:$E$1003,SALES_TRACKER!$B$4:$B$1003,A94)),0)</f>
        <v>0</v>
      </c>
      <c r="G94" s="119">
        <f t="shared" si="1"/>
        <v>0</v>
      </c>
      <c r="H94" s="119">
        <f t="array" ref="H94">IFERROR(IF(A94="",0,INDEX(HPP_ENGINE!$I:$I,MATCH(A94,HPP_ENGINE!$A:$A,0))),0)</f>
        <v>0</v>
      </c>
      <c r="I94" s="119">
        <f>IFERROR(IF(A94="",0,SUMIFS(SALES_TRACKER!$G$4:$G$1003,SALES_TRACKER!$B$4:$B$1003,A94)),0)</f>
        <v>0</v>
      </c>
      <c r="J94" s="118">
        <f t="shared" si="2"/>
        <v>0</v>
      </c>
      <c r="K94" s="136">
        <f t="shared" si="3"/>
        <v>0</v>
      </c>
      <c r="L94" s="136">
        <f t="shared" si="4"/>
        <v>0</v>
      </c>
      <c r="M94" s="136">
        <f t="shared" si="5"/>
        <v>0</v>
      </c>
      <c r="N94" s="81" t="str">
        <f>IFERROR(IF(A94="","—",IF(COUNTIF(HPP_ENGINE!$A$4:$A$203,A94)=0,"⚠ BELUM DI HPP",IF(E94=0,"PLANNING",IF(M94&gt;=1,"SOLD OUT",IF(M94&gt;=0.7,"ON TRACK",IF(M94&gt;=0.3,"SLOW MOVE",IF(M94&gt;0,"STUCK","BELUM TERJUAL"))))))),"—")</f>
        <v>—</v>
      </c>
    </row>
    <row r="95" ht="18.75" customHeight="1">
      <c r="A95" s="72"/>
      <c r="B95" s="112" t="str">
        <f t="array" ref="B95">IFERROR(IF(A95="","",INDEX(HPP_ENGINE!$B:$B,MATCH(A95,HPP_ENGINE!$A:$A,0))),"")</f>
        <v/>
      </c>
      <c r="C95" s="137" t="str">
        <f t="array" ref="C95">IFERROR(IF(A95="","",INDEX(HPP_ENGINE!$C:$C,MATCH(A95,HPP_ENGINE!$A:$A,0))),"")</f>
        <v/>
      </c>
      <c r="D95" s="115">
        <f t="array" ref="D95">IFERROR(IF(A95="",0,INDEX(PRODUCTION_PLAN!$D:$D,MATCH(A95,PRODUCTION_PLAN!$A:$A,0))),0)</f>
        <v>0</v>
      </c>
      <c r="E95" s="115">
        <f t="array" ref="E95">IFERROR(IF(A95="",0,INDEX(HPP_ENGINE!$D:$D,MATCH(A95,HPP_ENGINE!$A:$A,0))),0)</f>
        <v>0</v>
      </c>
      <c r="F95" s="115">
        <f>IFERROR(IF(A95="",0,SUMIFS(SALES_TRACKER!$E$4:$E$1003,SALES_TRACKER!$B$4:$B$1003,A95)),0)</f>
        <v>0</v>
      </c>
      <c r="G95" s="115">
        <f t="shared" si="1"/>
        <v>0</v>
      </c>
      <c r="H95" s="115">
        <f t="array" ref="H95">IFERROR(IF(A95="",0,INDEX(HPP_ENGINE!$I:$I,MATCH(A95,HPP_ENGINE!$A:$A,0))),0)</f>
        <v>0</v>
      </c>
      <c r="I95" s="115">
        <f>IFERROR(IF(A95="",0,SUMIFS(SALES_TRACKER!$G$4:$G$1003,SALES_TRACKER!$B$4:$B$1003,A95)),0)</f>
        <v>0</v>
      </c>
      <c r="J95" s="114">
        <f t="shared" si="2"/>
        <v>0</v>
      </c>
      <c r="K95" s="133">
        <f t="shared" si="3"/>
        <v>0</v>
      </c>
      <c r="L95" s="133">
        <f t="shared" si="4"/>
        <v>0</v>
      </c>
      <c r="M95" s="133">
        <f t="shared" si="5"/>
        <v>0</v>
      </c>
      <c r="N95" s="76" t="str">
        <f>IFERROR(IF(A95="","—",IF(COUNTIF(HPP_ENGINE!$A$4:$A$203,A95)=0,"⚠ BELUM DI HPP",IF(E95=0,"PLANNING",IF(M95&gt;=1,"SOLD OUT",IF(M95&gt;=0.7,"ON TRACK",IF(M95&gt;=0.3,"SLOW MOVE",IF(M95&gt;0,"STUCK","BELUM TERJUAL"))))))),"—")</f>
        <v>—</v>
      </c>
    </row>
    <row r="96" ht="18.75" customHeight="1">
      <c r="A96" s="77"/>
      <c r="B96" s="116" t="str">
        <f t="array" ref="B96">IFERROR(IF(A96="","",INDEX(HPP_ENGINE!$B:$B,MATCH(A96,HPP_ENGINE!$A:$A,0))),"")</f>
        <v/>
      </c>
      <c r="C96" s="135" t="str">
        <f t="array" ref="C96">IFERROR(IF(A96="","",INDEX(HPP_ENGINE!$C:$C,MATCH(A96,HPP_ENGINE!$A:$A,0))),"")</f>
        <v/>
      </c>
      <c r="D96" s="119">
        <f t="array" ref="D96">IFERROR(IF(A96="",0,INDEX(PRODUCTION_PLAN!$D:$D,MATCH(A96,PRODUCTION_PLAN!$A:$A,0))),0)</f>
        <v>0</v>
      </c>
      <c r="E96" s="119">
        <f t="array" ref="E96">IFERROR(IF(A96="",0,INDEX(HPP_ENGINE!$D:$D,MATCH(A96,HPP_ENGINE!$A:$A,0))),0)</f>
        <v>0</v>
      </c>
      <c r="F96" s="119">
        <f>IFERROR(IF(A96="",0,SUMIFS(SALES_TRACKER!$E$4:$E$1003,SALES_TRACKER!$B$4:$B$1003,A96)),0)</f>
        <v>0</v>
      </c>
      <c r="G96" s="119">
        <f t="shared" si="1"/>
        <v>0</v>
      </c>
      <c r="H96" s="119">
        <f t="array" ref="H96">IFERROR(IF(A96="",0,INDEX(HPP_ENGINE!$I:$I,MATCH(A96,HPP_ENGINE!$A:$A,0))),0)</f>
        <v>0</v>
      </c>
      <c r="I96" s="119">
        <f>IFERROR(IF(A96="",0,SUMIFS(SALES_TRACKER!$G$4:$G$1003,SALES_TRACKER!$B$4:$B$1003,A96)),0)</f>
        <v>0</v>
      </c>
      <c r="J96" s="118">
        <f t="shared" si="2"/>
        <v>0</v>
      </c>
      <c r="K96" s="136">
        <f t="shared" si="3"/>
        <v>0</v>
      </c>
      <c r="L96" s="136">
        <f t="shared" si="4"/>
        <v>0</v>
      </c>
      <c r="M96" s="136">
        <f t="shared" si="5"/>
        <v>0</v>
      </c>
      <c r="N96" s="81" t="str">
        <f>IFERROR(IF(A96="","—",IF(COUNTIF(HPP_ENGINE!$A$4:$A$203,A96)=0,"⚠ BELUM DI HPP",IF(E96=0,"PLANNING",IF(M96&gt;=1,"SOLD OUT",IF(M96&gt;=0.7,"ON TRACK",IF(M96&gt;=0.3,"SLOW MOVE",IF(M96&gt;0,"STUCK","BELUM TERJUAL"))))))),"—")</f>
        <v>—</v>
      </c>
    </row>
    <row r="97" ht="18.75" customHeight="1">
      <c r="A97" s="72"/>
      <c r="B97" s="112" t="str">
        <f t="array" ref="B97">IFERROR(IF(A97="","",INDEX(HPP_ENGINE!$B:$B,MATCH(A97,HPP_ENGINE!$A:$A,0))),"")</f>
        <v/>
      </c>
      <c r="C97" s="137" t="str">
        <f t="array" ref="C97">IFERROR(IF(A97="","",INDEX(HPP_ENGINE!$C:$C,MATCH(A97,HPP_ENGINE!$A:$A,0))),"")</f>
        <v/>
      </c>
      <c r="D97" s="115">
        <f t="array" ref="D97">IFERROR(IF(A97="",0,INDEX(PRODUCTION_PLAN!$D:$D,MATCH(A97,PRODUCTION_PLAN!$A:$A,0))),0)</f>
        <v>0</v>
      </c>
      <c r="E97" s="115">
        <f t="array" ref="E97">IFERROR(IF(A97="",0,INDEX(HPP_ENGINE!$D:$D,MATCH(A97,HPP_ENGINE!$A:$A,0))),0)</f>
        <v>0</v>
      </c>
      <c r="F97" s="115">
        <f>IFERROR(IF(A97="",0,SUMIFS(SALES_TRACKER!$E$4:$E$1003,SALES_TRACKER!$B$4:$B$1003,A97)),0)</f>
        <v>0</v>
      </c>
      <c r="G97" s="115">
        <f t="shared" si="1"/>
        <v>0</v>
      </c>
      <c r="H97" s="115">
        <f t="array" ref="H97">IFERROR(IF(A97="",0,INDEX(HPP_ENGINE!$I:$I,MATCH(A97,HPP_ENGINE!$A:$A,0))),0)</f>
        <v>0</v>
      </c>
      <c r="I97" s="115">
        <f>IFERROR(IF(A97="",0,SUMIFS(SALES_TRACKER!$G$4:$G$1003,SALES_TRACKER!$B$4:$B$1003,A97)),0)</f>
        <v>0</v>
      </c>
      <c r="J97" s="114">
        <f t="shared" si="2"/>
        <v>0</v>
      </c>
      <c r="K97" s="133">
        <f t="shared" si="3"/>
        <v>0</v>
      </c>
      <c r="L97" s="133">
        <f t="shared" si="4"/>
        <v>0</v>
      </c>
      <c r="M97" s="133">
        <f t="shared" si="5"/>
        <v>0</v>
      </c>
      <c r="N97" s="76" t="str">
        <f>IFERROR(IF(A97="","—",IF(COUNTIF(HPP_ENGINE!$A$4:$A$203,A97)=0,"⚠ BELUM DI HPP",IF(E97=0,"PLANNING",IF(M97&gt;=1,"SOLD OUT",IF(M97&gt;=0.7,"ON TRACK",IF(M97&gt;=0.3,"SLOW MOVE",IF(M97&gt;0,"STUCK","BELUM TERJUAL"))))))),"—")</f>
        <v>—</v>
      </c>
    </row>
    <row r="98" ht="18.75" customHeight="1">
      <c r="A98" s="77"/>
      <c r="B98" s="116" t="str">
        <f t="array" ref="B98">IFERROR(IF(A98="","",INDEX(HPP_ENGINE!$B:$B,MATCH(A98,HPP_ENGINE!$A:$A,0))),"")</f>
        <v/>
      </c>
      <c r="C98" s="135" t="str">
        <f t="array" ref="C98">IFERROR(IF(A98="","",INDEX(HPP_ENGINE!$C:$C,MATCH(A98,HPP_ENGINE!$A:$A,0))),"")</f>
        <v/>
      </c>
      <c r="D98" s="119">
        <f t="array" ref="D98">IFERROR(IF(A98="",0,INDEX(PRODUCTION_PLAN!$D:$D,MATCH(A98,PRODUCTION_PLAN!$A:$A,0))),0)</f>
        <v>0</v>
      </c>
      <c r="E98" s="119">
        <f t="array" ref="E98">IFERROR(IF(A98="",0,INDEX(HPP_ENGINE!$D:$D,MATCH(A98,HPP_ENGINE!$A:$A,0))),0)</f>
        <v>0</v>
      </c>
      <c r="F98" s="119">
        <f>IFERROR(IF(A98="",0,SUMIFS(SALES_TRACKER!$E$4:$E$1003,SALES_TRACKER!$B$4:$B$1003,A98)),0)</f>
        <v>0</v>
      </c>
      <c r="G98" s="119">
        <f t="shared" si="1"/>
        <v>0</v>
      </c>
      <c r="H98" s="119">
        <f t="array" ref="H98">IFERROR(IF(A98="",0,INDEX(HPP_ENGINE!$I:$I,MATCH(A98,HPP_ENGINE!$A:$A,0))),0)</f>
        <v>0</v>
      </c>
      <c r="I98" s="119">
        <f>IFERROR(IF(A98="",0,SUMIFS(SALES_TRACKER!$G$4:$G$1003,SALES_TRACKER!$B$4:$B$1003,A98)),0)</f>
        <v>0</v>
      </c>
      <c r="J98" s="118">
        <f t="shared" si="2"/>
        <v>0</v>
      </c>
      <c r="K98" s="136">
        <f t="shared" si="3"/>
        <v>0</v>
      </c>
      <c r="L98" s="136">
        <f t="shared" si="4"/>
        <v>0</v>
      </c>
      <c r="M98" s="136">
        <f t="shared" si="5"/>
        <v>0</v>
      </c>
      <c r="N98" s="81" t="str">
        <f>IFERROR(IF(A98="","—",IF(COUNTIF(HPP_ENGINE!$A$4:$A$203,A98)=0,"⚠ BELUM DI HPP",IF(E98=0,"PLANNING",IF(M98&gt;=1,"SOLD OUT",IF(M98&gt;=0.7,"ON TRACK",IF(M98&gt;=0.3,"SLOW MOVE",IF(M98&gt;0,"STUCK","BELUM TERJUAL"))))))),"—")</f>
        <v>—</v>
      </c>
    </row>
    <row r="99" ht="18.75" customHeight="1">
      <c r="A99" s="72"/>
      <c r="B99" s="112" t="str">
        <f t="array" ref="B99">IFERROR(IF(A99="","",INDEX(HPP_ENGINE!$B:$B,MATCH(A99,HPP_ENGINE!$A:$A,0))),"")</f>
        <v/>
      </c>
      <c r="C99" s="137" t="str">
        <f t="array" ref="C99">IFERROR(IF(A99="","",INDEX(HPP_ENGINE!$C:$C,MATCH(A99,HPP_ENGINE!$A:$A,0))),"")</f>
        <v/>
      </c>
      <c r="D99" s="115">
        <f t="array" ref="D99">IFERROR(IF(A99="",0,INDEX(PRODUCTION_PLAN!$D:$D,MATCH(A99,PRODUCTION_PLAN!$A:$A,0))),0)</f>
        <v>0</v>
      </c>
      <c r="E99" s="115">
        <f t="array" ref="E99">IFERROR(IF(A99="",0,INDEX(HPP_ENGINE!$D:$D,MATCH(A99,HPP_ENGINE!$A:$A,0))),0)</f>
        <v>0</v>
      </c>
      <c r="F99" s="115">
        <f>IFERROR(IF(A99="",0,SUMIFS(SALES_TRACKER!$E$4:$E$1003,SALES_TRACKER!$B$4:$B$1003,A99)),0)</f>
        <v>0</v>
      </c>
      <c r="G99" s="115">
        <f t="shared" si="1"/>
        <v>0</v>
      </c>
      <c r="H99" s="115">
        <f t="array" ref="H99">IFERROR(IF(A99="",0,INDEX(HPP_ENGINE!$I:$I,MATCH(A99,HPP_ENGINE!$A:$A,0))),0)</f>
        <v>0</v>
      </c>
      <c r="I99" s="115">
        <f>IFERROR(IF(A99="",0,SUMIFS(SALES_TRACKER!$G$4:$G$1003,SALES_TRACKER!$B$4:$B$1003,A99)),0)</f>
        <v>0</v>
      </c>
      <c r="J99" s="114">
        <f t="shared" si="2"/>
        <v>0</v>
      </c>
      <c r="K99" s="133">
        <f t="shared" si="3"/>
        <v>0</v>
      </c>
      <c r="L99" s="133">
        <f t="shared" si="4"/>
        <v>0</v>
      </c>
      <c r="M99" s="133">
        <f t="shared" si="5"/>
        <v>0</v>
      </c>
      <c r="N99" s="76" t="str">
        <f>IFERROR(IF(A99="","—",IF(COUNTIF(HPP_ENGINE!$A$4:$A$203,A99)=0,"⚠ BELUM DI HPP",IF(E99=0,"PLANNING",IF(M99&gt;=1,"SOLD OUT",IF(M99&gt;=0.7,"ON TRACK",IF(M99&gt;=0.3,"SLOW MOVE",IF(M99&gt;0,"STUCK","BELUM TERJUAL"))))))),"—")</f>
        <v>—</v>
      </c>
    </row>
    <row r="100" ht="18.75" customHeight="1">
      <c r="A100" s="77"/>
      <c r="B100" s="116" t="str">
        <f t="array" ref="B100">IFERROR(IF(A100="","",INDEX(HPP_ENGINE!$B:$B,MATCH(A100,HPP_ENGINE!$A:$A,0))),"")</f>
        <v/>
      </c>
      <c r="C100" s="135" t="str">
        <f t="array" ref="C100">IFERROR(IF(A100="","",INDEX(HPP_ENGINE!$C:$C,MATCH(A100,HPP_ENGINE!$A:$A,0))),"")</f>
        <v/>
      </c>
      <c r="D100" s="119">
        <f t="array" ref="D100">IFERROR(IF(A100="",0,INDEX(PRODUCTION_PLAN!$D:$D,MATCH(A100,PRODUCTION_PLAN!$A:$A,0))),0)</f>
        <v>0</v>
      </c>
      <c r="E100" s="119">
        <f t="array" ref="E100">IFERROR(IF(A100="",0,INDEX(HPP_ENGINE!$D:$D,MATCH(A100,HPP_ENGINE!$A:$A,0))),0)</f>
        <v>0</v>
      </c>
      <c r="F100" s="119">
        <f>IFERROR(IF(A100="",0,SUMIFS(SALES_TRACKER!$E$4:$E$1003,SALES_TRACKER!$B$4:$B$1003,A100)),0)</f>
        <v>0</v>
      </c>
      <c r="G100" s="119">
        <f t="shared" si="1"/>
        <v>0</v>
      </c>
      <c r="H100" s="119">
        <f t="array" ref="H100">IFERROR(IF(A100="",0,INDEX(HPP_ENGINE!$I:$I,MATCH(A100,HPP_ENGINE!$A:$A,0))),0)</f>
        <v>0</v>
      </c>
      <c r="I100" s="119">
        <f>IFERROR(IF(A100="",0,SUMIFS(SALES_TRACKER!$G$4:$G$1003,SALES_TRACKER!$B$4:$B$1003,A100)),0)</f>
        <v>0</v>
      </c>
      <c r="J100" s="118">
        <f t="shared" si="2"/>
        <v>0</v>
      </c>
      <c r="K100" s="136">
        <f t="shared" si="3"/>
        <v>0</v>
      </c>
      <c r="L100" s="136">
        <f t="shared" si="4"/>
        <v>0</v>
      </c>
      <c r="M100" s="136">
        <f t="shared" si="5"/>
        <v>0</v>
      </c>
      <c r="N100" s="81" t="str">
        <f>IFERROR(IF(A100="","—",IF(COUNTIF(HPP_ENGINE!$A$4:$A$203,A100)=0,"⚠ BELUM DI HPP",IF(E100=0,"PLANNING",IF(M100&gt;=1,"SOLD OUT",IF(M100&gt;=0.7,"ON TRACK",IF(M100&gt;=0.3,"SLOW MOVE",IF(M100&gt;0,"STUCK","BELUM TERJUAL"))))))),"—")</f>
        <v>—</v>
      </c>
    </row>
    <row r="101" ht="18.75" customHeight="1">
      <c r="A101" s="72"/>
      <c r="B101" s="112" t="str">
        <f t="array" ref="B101">IFERROR(IF(A101="","",INDEX(HPP_ENGINE!$B:$B,MATCH(A101,HPP_ENGINE!$A:$A,0))),"")</f>
        <v/>
      </c>
      <c r="C101" s="137" t="str">
        <f t="array" ref="C101">IFERROR(IF(A101="","",INDEX(HPP_ENGINE!$C:$C,MATCH(A101,HPP_ENGINE!$A:$A,0))),"")</f>
        <v/>
      </c>
      <c r="D101" s="115">
        <f t="array" ref="D101">IFERROR(IF(A101="",0,INDEX(PRODUCTION_PLAN!$D:$D,MATCH(A101,PRODUCTION_PLAN!$A:$A,0))),0)</f>
        <v>0</v>
      </c>
      <c r="E101" s="115">
        <f t="array" ref="E101">IFERROR(IF(A101="",0,INDEX(HPP_ENGINE!$D:$D,MATCH(A101,HPP_ENGINE!$A:$A,0))),0)</f>
        <v>0</v>
      </c>
      <c r="F101" s="115">
        <f>IFERROR(IF(A101="",0,SUMIFS(SALES_TRACKER!$E$4:$E$1003,SALES_TRACKER!$B$4:$B$1003,A101)),0)</f>
        <v>0</v>
      </c>
      <c r="G101" s="115">
        <f t="shared" si="1"/>
        <v>0</v>
      </c>
      <c r="H101" s="115">
        <f t="array" ref="H101">IFERROR(IF(A101="",0,INDEX(HPP_ENGINE!$I:$I,MATCH(A101,HPP_ENGINE!$A:$A,0))),0)</f>
        <v>0</v>
      </c>
      <c r="I101" s="115">
        <f>IFERROR(IF(A101="",0,SUMIFS(SALES_TRACKER!$G$4:$G$1003,SALES_TRACKER!$B$4:$B$1003,A101)),0)</f>
        <v>0</v>
      </c>
      <c r="J101" s="114">
        <f t="shared" si="2"/>
        <v>0</v>
      </c>
      <c r="K101" s="133">
        <f t="shared" si="3"/>
        <v>0</v>
      </c>
      <c r="L101" s="133">
        <f t="shared" si="4"/>
        <v>0</v>
      </c>
      <c r="M101" s="133">
        <f t="shared" si="5"/>
        <v>0</v>
      </c>
      <c r="N101" s="76" t="str">
        <f>IFERROR(IF(A101="","—",IF(COUNTIF(HPP_ENGINE!$A$4:$A$203,A101)=0,"⚠ BELUM DI HPP",IF(E101=0,"PLANNING",IF(M101&gt;=1,"SOLD OUT",IF(M101&gt;=0.7,"ON TRACK",IF(M101&gt;=0.3,"SLOW MOVE",IF(M101&gt;0,"STUCK","BELUM TERJUAL"))))))),"—")</f>
        <v>—</v>
      </c>
    </row>
    <row r="102" ht="18.75" customHeight="1">
      <c r="A102" s="77"/>
      <c r="B102" s="116" t="str">
        <f t="array" ref="B102">IFERROR(IF(A102="","",INDEX(HPP_ENGINE!$B:$B,MATCH(A102,HPP_ENGINE!$A:$A,0))),"")</f>
        <v/>
      </c>
      <c r="C102" s="135" t="str">
        <f t="array" ref="C102">IFERROR(IF(A102="","",INDEX(HPP_ENGINE!$C:$C,MATCH(A102,HPP_ENGINE!$A:$A,0))),"")</f>
        <v/>
      </c>
      <c r="D102" s="119">
        <f t="array" ref="D102">IFERROR(IF(A102="",0,INDEX(PRODUCTION_PLAN!$D:$D,MATCH(A102,PRODUCTION_PLAN!$A:$A,0))),0)</f>
        <v>0</v>
      </c>
      <c r="E102" s="119">
        <f t="array" ref="E102">IFERROR(IF(A102="",0,INDEX(HPP_ENGINE!$D:$D,MATCH(A102,HPP_ENGINE!$A:$A,0))),0)</f>
        <v>0</v>
      </c>
      <c r="F102" s="119">
        <f>IFERROR(IF(A102="",0,SUMIFS(SALES_TRACKER!$E$4:$E$1003,SALES_TRACKER!$B$4:$B$1003,A102)),0)</f>
        <v>0</v>
      </c>
      <c r="G102" s="119">
        <f t="shared" si="1"/>
        <v>0</v>
      </c>
      <c r="H102" s="119">
        <f t="array" ref="H102">IFERROR(IF(A102="",0,INDEX(HPP_ENGINE!$I:$I,MATCH(A102,HPP_ENGINE!$A:$A,0))),0)</f>
        <v>0</v>
      </c>
      <c r="I102" s="119">
        <f>IFERROR(IF(A102="",0,SUMIFS(SALES_TRACKER!$G$4:$G$1003,SALES_TRACKER!$B$4:$B$1003,A102)),0)</f>
        <v>0</v>
      </c>
      <c r="J102" s="118">
        <f t="shared" si="2"/>
        <v>0</v>
      </c>
      <c r="K102" s="136">
        <f t="shared" si="3"/>
        <v>0</v>
      </c>
      <c r="L102" s="136">
        <f t="shared" si="4"/>
        <v>0</v>
      </c>
      <c r="M102" s="136">
        <f t="shared" si="5"/>
        <v>0</v>
      </c>
      <c r="N102" s="81" t="str">
        <f>IFERROR(IF(A102="","—",IF(COUNTIF(HPP_ENGINE!$A$4:$A$203,A102)=0,"⚠ BELUM DI HPP",IF(E102=0,"PLANNING",IF(M102&gt;=1,"SOLD OUT",IF(M102&gt;=0.7,"ON TRACK",IF(M102&gt;=0.3,"SLOW MOVE",IF(M102&gt;0,"STUCK","BELUM TERJUAL"))))))),"—")</f>
        <v>—</v>
      </c>
    </row>
    <row r="103" ht="18.75" customHeight="1">
      <c r="A103" s="72"/>
      <c r="B103" s="112" t="str">
        <f t="array" ref="B103">IFERROR(IF(A103="","",INDEX(HPP_ENGINE!$B:$B,MATCH(A103,HPP_ENGINE!$A:$A,0))),"")</f>
        <v/>
      </c>
      <c r="C103" s="137" t="str">
        <f t="array" ref="C103">IFERROR(IF(A103="","",INDEX(HPP_ENGINE!$C:$C,MATCH(A103,HPP_ENGINE!$A:$A,0))),"")</f>
        <v/>
      </c>
      <c r="D103" s="115">
        <f t="array" ref="D103">IFERROR(IF(A103="",0,INDEX(PRODUCTION_PLAN!$D:$D,MATCH(A103,PRODUCTION_PLAN!$A:$A,0))),0)</f>
        <v>0</v>
      </c>
      <c r="E103" s="115">
        <f t="array" ref="E103">IFERROR(IF(A103="",0,INDEX(HPP_ENGINE!$D:$D,MATCH(A103,HPP_ENGINE!$A:$A,0))),0)</f>
        <v>0</v>
      </c>
      <c r="F103" s="115">
        <f>IFERROR(IF(A103="",0,SUMIFS(SALES_TRACKER!$E$4:$E$1003,SALES_TRACKER!$B$4:$B$1003,A103)),0)</f>
        <v>0</v>
      </c>
      <c r="G103" s="115">
        <f t="shared" si="1"/>
        <v>0</v>
      </c>
      <c r="H103" s="115">
        <f t="array" ref="H103">IFERROR(IF(A103="",0,INDEX(HPP_ENGINE!$I:$I,MATCH(A103,HPP_ENGINE!$A:$A,0))),0)</f>
        <v>0</v>
      </c>
      <c r="I103" s="115">
        <f>IFERROR(IF(A103="",0,SUMIFS(SALES_TRACKER!$G$4:$G$1003,SALES_TRACKER!$B$4:$B$1003,A103)),0)</f>
        <v>0</v>
      </c>
      <c r="J103" s="114">
        <f t="shared" si="2"/>
        <v>0</v>
      </c>
      <c r="K103" s="133">
        <f t="shared" si="3"/>
        <v>0</v>
      </c>
      <c r="L103" s="133">
        <f t="shared" si="4"/>
        <v>0</v>
      </c>
      <c r="M103" s="133">
        <f t="shared" si="5"/>
        <v>0</v>
      </c>
      <c r="N103" s="76" t="str">
        <f>IFERROR(IF(A103="","—",IF(COUNTIF(HPP_ENGINE!$A$4:$A$203,A103)=0,"⚠ BELUM DI HPP",IF(E103=0,"PLANNING",IF(M103&gt;=1,"SOLD OUT",IF(M103&gt;=0.7,"ON TRACK",IF(M103&gt;=0.3,"SLOW MOVE",IF(M103&gt;0,"STUCK","BELUM TERJUAL"))))))),"—")</f>
        <v>—</v>
      </c>
    </row>
    <row r="104" ht="18.75" customHeight="1">
      <c r="A104" s="77"/>
      <c r="B104" s="116" t="str">
        <f t="array" ref="B104">IFERROR(IF(A104="","",INDEX(HPP_ENGINE!$B:$B,MATCH(A104,HPP_ENGINE!$A:$A,0))),"")</f>
        <v/>
      </c>
      <c r="C104" s="135" t="str">
        <f t="array" ref="C104">IFERROR(IF(A104="","",INDEX(HPP_ENGINE!$C:$C,MATCH(A104,HPP_ENGINE!$A:$A,0))),"")</f>
        <v/>
      </c>
      <c r="D104" s="119">
        <f t="array" ref="D104">IFERROR(IF(A104="",0,INDEX(PRODUCTION_PLAN!$D:$D,MATCH(A104,PRODUCTION_PLAN!$A:$A,0))),0)</f>
        <v>0</v>
      </c>
      <c r="E104" s="119">
        <f t="array" ref="E104">IFERROR(IF(A104="",0,INDEX(HPP_ENGINE!$D:$D,MATCH(A104,HPP_ENGINE!$A:$A,0))),0)</f>
        <v>0</v>
      </c>
      <c r="F104" s="119">
        <f>IFERROR(IF(A104="",0,SUMIFS(SALES_TRACKER!$E$4:$E$1003,SALES_TRACKER!$B$4:$B$1003,A104)),0)</f>
        <v>0</v>
      </c>
      <c r="G104" s="119">
        <f t="shared" si="1"/>
        <v>0</v>
      </c>
      <c r="H104" s="119">
        <f t="array" ref="H104">IFERROR(IF(A104="",0,INDEX(HPP_ENGINE!$I:$I,MATCH(A104,HPP_ENGINE!$A:$A,0))),0)</f>
        <v>0</v>
      </c>
      <c r="I104" s="119">
        <f>IFERROR(IF(A104="",0,SUMIFS(SALES_TRACKER!$G$4:$G$1003,SALES_TRACKER!$B$4:$B$1003,A104)),0)</f>
        <v>0</v>
      </c>
      <c r="J104" s="118">
        <f t="shared" si="2"/>
        <v>0</v>
      </c>
      <c r="K104" s="136">
        <f t="shared" si="3"/>
        <v>0</v>
      </c>
      <c r="L104" s="136">
        <f t="shared" si="4"/>
        <v>0</v>
      </c>
      <c r="M104" s="136">
        <f t="shared" si="5"/>
        <v>0</v>
      </c>
      <c r="N104" s="81" t="str">
        <f>IFERROR(IF(A104="","—",IF(COUNTIF(HPP_ENGINE!$A$4:$A$203,A104)=0,"⚠ BELUM DI HPP",IF(E104=0,"PLANNING",IF(M104&gt;=1,"SOLD OUT",IF(M104&gt;=0.7,"ON TRACK",IF(M104&gt;=0.3,"SLOW MOVE",IF(M104&gt;0,"STUCK","BELUM TERJUAL"))))))),"—")</f>
        <v>—</v>
      </c>
    </row>
    <row r="105" ht="18.75" customHeight="1">
      <c r="A105" s="72"/>
      <c r="B105" s="112" t="str">
        <f t="array" ref="B105">IFERROR(IF(A105="","",INDEX(HPP_ENGINE!$B:$B,MATCH(A105,HPP_ENGINE!$A:$A,0))),"")</f>
        <v/>
      </c>
      <c r="C105" s="137" t="str">
        <f t="array" ref="C105">IFERROR(IF(A105="","",INDEX(HPP_ENGINE!$C:$C,MATCH(A105,HPP_ENGINE!$A:$A,0))),"")</f>
        <v/>
      </c>
      <c r="D105" s="115">
        <f t="array" ref="D105">IFERROR(IF(A105="",0,INDEX(PRODUCTION_PLAN!$D:$D,MATCH(A105,PRODUCTION_PLAN!$A:$A,0))),0)</f>
        <v>0</v>
      </c>
      <c r="E105" s="115">
        <f t="array" ref="E105">IFERROR(IF(A105="",0,INDEX(HPP_ENGINE!$D:$D,MATCH(A105,HPP_ENGINE!$A:$A,0))),0)</f>
        <v>0</v>
      </c>
      <c r="F105" s="115">
        <f>IFERROR(IF(A105="",0,SUMIFS(SALES_TRACKER!$E$4:$E$1003,SALES_TRACKER!$B$4:$B$1003,A105)),0)</f>
        <v>0</v>
      </c>
      <c r="G105" s="115">
        <f t="shared" si="1"/>
        <v>0</v>
      </c>
      <c r="H105" s="115">
        <f t="array" ref="H105">IFERROR(IF(A105="",0,INDEX(HPP_ENGINE!$I:$I,MATCH(A105,HPP_ENGINE!$A:$A,0))),0)</f>
        <v>0</v>
      </c>
      <c r="I105" s="115">
        <f>IFERROR(IF(A105="",0,SUMIFS(SALES_TRACKER!$G$4:$G$1003,SALES_TRACKER!$B$4:$B$1003,A105)),0)</f>
        <v>0</v>
      </c>
      <c r="J105" s="114">
        <f t="shared" si="2"/>
        <v>0</v>
      </c>
      <c r="K105" s="133">
        <f t="shared" si="3"/>
        <v>0</v>
      </c>
      <c r="L105" s="133">
        <f t="shared" si="4"/>
        <v>0</v>
      </c>
      <c r="M105" s="133">
        <f t="shared" si="5"/>
        <v>0</v>
      </c>
      <c r="N105" s="76" t="str">
        <f>IFERROR(IF(A105="","—",IF(COUNTIF(HPP_ENGINE!$A$4:$A$203,A105)=0,"⚠ BELUM DI HPP",IF(E105=0,"PLANNING",IF(M105&gt;=1,"SOLD OUT",IF(M105&gt;=0.7,"ON TRACK",IF(M105&gt;=0.3,"SLOW MOVE",IF(M105&gt;0,"STUCK","BELUM TERJUAL"))))))),"—")</f>
        <v>—</v>
      </c>
    </row>
    <row r="106" ht="18.75" customHeight="1">
      <c r="A106" s="77"/>
      <c r="B106" s="116" t="str">
        <f t="array" ref="B106">IFERROR(IF(A106="","",INDEX(HPP_ENGINE!$B:$B,MATCH(A106,HPP_ENGINE!$A:$A,0))),"")</f>
        <v/>
      </c>
      <c r="C106" s="135" t="str">
        <f t="array" ref="C106">IFERROR(IF(A106="","",INDEX(HPP_ENGINE!$C:$C,MATCH(A106,HPP_ENGINE!$A:$A,0))),"")</f>
        <v/>
      </c>
      <c r="D106" s="119">
        <f t="array" ref="D106">IFERROR(IF(A106="",0,INDEX(PRODUCTION_PLAN!$D:$D,MATCH(A106,PRODUCTION_PLAN!$A:$A,0))),0)</f>
        <v>0</v>
      </c>
      <c r="E106" s="119">
        <f t="array" ref="E106">IFERROR(IF(A106="",0,INDEX(HPP_ENGINE!$D:$D,MATCH(A106,HPP_ENGINE!$A:$A,0))),0)</f>
        <v>0</v>
      </c>
      <c r="F106" s="119">
        <f>IFERROR(IF(A106="",0,SUMIFS(SALES_TRACKER!$E$4:$E$1003,SALES_TRACKER!$B$4:$B$1003,A106)),0)</f>
        <v>0</v>
      </c>
      <c r="G106" s="119">
        <f t="shared" si="1"/>
        <v>0</v>
      </c>
      <c r="H106" s="119">
        <f t="array" ref="H106">IFERROR(IF(A106="",0,INDEX(HPP_ENGINE!$I:$I,MATCH(A106,HPP_ENGINE!$A:$A,0))),0)</f>
        <v>0</v>
      </c>
      <c r="I106" s="119">
        <f>IFERROR(IF(A106="",0,SUMIFS(SALES_TRACKER!$G$4:$G$1003,SALES_TRACKER!$B$4:$B$1003,A106)),0)</f>
        <v>0</v>
      </c>
      <c r="J106" s="118">
        <f t="shared" si="2"/>
        <v>0</v>
      </c>
      <c r="K106" s="136">
        <f t="shared" si="3"/>
        <v>0</v>
      </c>
      <c r="L106" s="136">
        <f t="shared" si="4"/>
        <v>0</v>
      </c>
      <c r="M106" s="136">
        <f t="shared" si="5"/>
        <v>0</v>
      </c>
      <c r="N106" s="81" t="str">
        <f>IFERROR(IF(A106="","—",IF(COUNTIF(HPP_ENGINE!$A$4:$A$203,A106)=0,"⚠ BELUM DI HPP",IF(E106=0,"PLANNING",IF(M106&gt;=1,"SOLD OUT",IF(M106&gt;=0.7,"ON TRACK",IF(M106&gt;=0.3,"SLOW MOVE",IF(M106&gt;0,"STUCK","BELUM TERJUAL"))))))),"—")</f>
        <v>—</v>
      </c>
    </row>
    <row r="107" ht="18.75" customHeight="1">
      <c r="A107" s="72"/>
      <c r="B107" s="112" t="str">
        <f t="array" ref="B107">IFERROR(IF(A107="","",INDEX(HPP_ENGINE!$B:$B,MATCH(A107,HPP_ENGINE!$A:$A,0))),"")</f>
        <v/>
      </c>
      <c r="C107" s="137" t="str">
        <f t="array" ref="C107">IFERROR(IF(A107="","",INDEX(HPP_ENGINE!$C:$C,MATCH(A107,HPP_ENGINE!$A:$A,0))),"")</f>
        <v/>
      </c>
      <c r="D107" s="115">
        <f t="array" ref="D107">IFERROR(IF(A107="",0,INDEX(PRODUCTION_PLAN!$D:$D,MATCH(A107,PRODUCTION_PLAN!$A:$A,0))),0)</f>
        <v>0</v>
      </c>
      <c r="E107" s="115">
        <f t="array" ref="E107">IFERROR(IF(A107="",0,INDEX(HPP_ENGINE!$D:$D,MATCH(A107,HPP_ENGINE!$A:$A,0))),0)</f>
        <v>0</v>
      </c>
      <c r="F107" s="115">
        <f>IFERROR(IF(A107="",0,SUMIFS(SALES_TRACKER!$E$4:$E$1003,SALES_TRACKER!$B$4:$B$1003,A107)),0)</f>
        <v>0</v>
      </c>
      <c r="G107" s="115">
        <f t="shared" si="1"/>
        <v>0</v>
      </c>
      <c r="H107" s="115">
        <f t="array" ref="H107">IFERROR(IF(A107="",0,INDEX(HPP_ENGINE!$I:$I,MATCH(A107,HPP_ENGINE!$A:$A,0))),0)</f>
        <v>0</v>
      </c>
      <c r="I107" s="115">
        <f>IFERROR(IF(A107="",0,SUMIFS(SALES_TRACKER!$G$4:$G$1003,SALES_TRACKER!$B$4:$B$1003,A107)),0)</f>
        <v>0</v>
      </c>
      <c r="J107" s="114">
        <f t="shared" si="2"/>
        <v>0</v>
      </c>
      <c r="K107" s="133">
        <f t="shared" si="3"/>
        <v>0</v>
      </c>
      <c r="L107" s="133">
        <f t="shared" si="4"/>
        <v>0</v>
      </c>
      <c r="M107" s="133">
        <f t="shared" si="5"/>
        <v>0</v>
      </c>
      <c r="N107" s="76" t="str">
        <f>IFERROR(IF(A107="","—",IF(COUNTIF(HPP_ENGINE!$A$4:$A$203,A107)=0,"⚠ BELUM DI HPP",IF(E107=0,"PLANNING",IF(M107&gt;=1,"SOLD OUT",IF(M107&gt;=0.7,"ON TRACK",IF(M107&gt;=0.3,"SLOW MOVE",IF(M107&gt;0,"STUCK","BELUM TERJUAL"))))))),"—")</f>
        <v>—</v>
      </c>
    </row>
    <row r="108" ht="18.75" customHeight="1">
      <c r="A108" s="77"/>
      <c r="B108" s="116" t="str">
        <f t="array" ref="B108">IFERROR(IF(A108="","",INDEX(HPP_ENGINE!$B:$B,MATCH(A108,HPP_ENGINE!$A:$A,0))),"")</f>
        <v/>
      </c>
      <c r="C108" s="135" t="str">
        <f t="array" ref="C108">IFERROR(IF(A108="","",INDEX(HPP_ENGINE!$C:$C,MATCH(A108,HPP_ENGINE!$A:$A,0))),"")</f>
        <v/>
      </c>
      <c r="D108" s="119">
        <f t="array" ref="D108">IFERROR(IF(A108="",0,INDEX(PRODUCTION_PLAN!$D:$D,MATCH(A108,PRODUCTION_PLAN!$A:$A,0))),0)</f>
        <v>0</v>
      </c>
      <c r="E108" s="119">
        <f t="array" ref="E108">IFERROR(IF(A108="",0,INDEX(HPP_ENGINE!$D:$D,MATCH(A108,HPP_ENGINE!$A:$A,0))),0)</f>
        <v>0</v>
      </c>
      <c r="F108" s="119">
        <f>IFERROR(IF(A108="",0,SUMIFS(SALES_TRACKER!$E$4:$E$1003,SALES_TRACKER!$B$4:$B$1003,A108)),0)</f>
        <v>0</v>
      </c>
      <c r="G108" s="119">
        <f t="shared" si="1"/>
        <v>0</v>
      </c>
      <c r="H108" s="119">
        <f t="array" ref="H108">IFERROR(IF(A108="",0,INDEX(HPP_ENGINE!$I:$I,MATCH(A108,HPP_ENGINE!$A:$A,0))),0)</f>
        <v>0</v>
      </c>
      <c r="I108" s="119">
        <f>IFERROR(IF(A108="",0,SUMIFS(SALES_TRACKER!$G$4:$G$1003,SALES_TRACKER!$B$4:$B$1003,A108)),0)</f>
        <v>0</v>
      </c>
      <c r="J108" s="118">
        <f t="shared" si="2"/>
        <v>0</v>
      </c>
      <c r="K108" s="136">
        <f t="shared" si="3"/>
        <v>0</v>
      </c>
      <c r="L108" s="136">
        <f t="shared" si="4"/>
        <v>0</v>
      </c>
      <c r="M108" s="136">
        <f t="shared" si="5"/>
        <v>0</v>
      </c>
      <c r="N108" s="81" t="str">
        <f>IFERROR(IF(A108="","—",IF(COUNTIF(HPP_ENGINE!$A$4:$A$203,A108)=0,"⚠ BELUM DI HPP",IF(E108=0,"PLANNING",IF(M108&gt;=1,"SOLD OUT",IF(M108&gt;=0.7,"ON TRACK",IF(M108&gt;=0.3,"SLOW MOVE",IF(M108&gt;0,"STUCK","BELUM TERJUAL"))))))),"—")</f>
        <v>—</v>
      </c>
    </row>
    <row r="109" ht="18.75" customHeight="1">
      <c r="A109" s="72"/>
      <c r="B109" s="112" t="str">
        <f t="array" ref="B109">IFERROR(IF(A109="","",INDEX(HPP_ENGINE!$B:$B,MATCH(A109,HPP_ENGINE!$A:$A,0))),"")</f>
        <v/>
      </c>
      <c r="C109" s="137" t="str">
        <f t="array" ref="C109">IFERROR(IF(A109="","",INDEX(HPP_ENGINE!$C:$C,MATCH(A109,HPP_ENGINE!$A:$A,0))),"")</f>
        <v/>
      </c>
      <c r="D109" s="115">
        <f t="array" ref="D109">IFERROR(IF(A109="",0,INDEX(PRODUCTION_PLAN!$D:$D,MATCH(A109,PRODUCTION_PLAN!$A:$A,0))),0)</f>
        <v>0</v>
      </c>
      <c r="E109" s="115">
        <f t="array" ref="E109">IFERROR(IF(A109="",0,INDEX(HPP_ENGINE!$D:$D,MATCH(A109,HPP_ENGINE!$A:$A,0))),0)</f>
        <v>0</v>
      </c>
      <c r="F109" s="115">
        <f>IFERROR(IF(A109="",0,SUMIFS(SALES_TRACKER!$E$4:$E$1003,SALES_TRACKER!$B$4:$B$1003,A109)),0)</f>
        <v>0</v>
      </c>
      <c r="G109" s="115">
        <f t="shared" si="1"/>
        <v>0</v>
      </c>
      <c r="H109" s="115">
        <f t="array" ref="H109">IFERROR(IF(A109="",0,INDEX(HPP_ENGINE!$I:$I,MATCH(A109,HPP_ENGINE!$A:$A,0))),0)</f>
        <v>0</v>
      </c>
      <c r="I109" s="115">
        <f>IFERROR(IF(A109="",0,SUMIFS(SALES_TRACKER!$G$4:$G$1003,SALES_TRACKER!$B$4:$B$1003,A109)),0)</f>
        <v>0</v>
      </c>
      <c r="J109" s="114">
        <f t="shared" si="2"/>
        <v>0</v>
      </c>
      <c r="K109" s="133">
        <f t="shared" si="3"/>
        <v>0</v>
      </c>
      <c r="L109" s="133">
        <f t="shared" si="4"/>
        <v>0</v>
      </c>
      <c r="M109" s="133">
        <f t="shared" si="5"/>
        <v>0</v>
      </c>
      <c r="N109" s="76" t="str">
        <f>IFERROR(IF(A109="","—",IF(COUNTIF(HPP_ENGINE!$A$4:$A$203,A109)=0,"⚠ BELUM DI HPP",IF(E109=0,"PLANNING",IF(M109&gt;=1,"SOLD OUT",IF(M109&gt;=0.7,"ON TRACK",IF(M109&gt;=0.3,"SLOW MOVE",IF(M109&gt;0,"STUCK","BELUM TERJUAL"))))))),"—")</f>
        <v>—</v>
      </c>
    </row>
    <row r="110" ht="18.75" customHeight="1">
      <c r="A110" s="77"/>
      <c r="B110" s="116" t="str">
        <f t="array" ref="B110">IFERROR(IF(A110="","",INDEX(HPP_ENGINE!$B:$B,MATCH(A110,HPP_ENGINE!$A:$A,0))),"")</f>
        <v/>
      </c>
      <c r="C110" s="135" t="str">
        <f t="array" ref="C110">IFERROR(IF(A110="","",INDEX(HPP_ENGINE!$C:$C,MATCH(A110,HPP_ENGINE!$A:$A,0))),"")</f>
        <v/>
      </c>
      <c r="D110" s="119">
        <f t="array" ref="D110">IFERROR(IF(A110="",0,INDEX(PRODUCTION_PLAN!$D:$D,MATCH(A110,PRODUCTION_PLAN!$A:$A,0))),0)</f>
        <v>0</v>
      </c>
      <c r="E110" s="119">
        <f t="array" ref="E110">IFERROR(IF(A110="",0,INDEX(HPP_ENGINE!$D:$D,MATCH(A110,HPP_ENGINE!$A:$A,0))),0)</f>
        <v>0</v>
      </c>
      <c r="F110" s="119">
        <f>IFERROR(IF(A110="",0,SUMIFS(SALES_TRACKER!$E$4:$E$1003,SALES_TRACKER!$B$4:$B$1003,A110)),0)</f>
        <v>0</v>
      </c>
      <c r="G110" s="119">
        <f t="shared" si="1"/>
        <v>0</v>
      </c>
      <c r="H110" s="119">
        <f t="array" ref="H110">IFERROR(IF(A110="",0,INDEX(HPP_ENGINE!$I:$I,MATCH(A110,HPP_ENGINE!$A:$A,0))),0)</f>
        <v>0</v>
      </c>
      <c r="I110" s="119">
        <f>IFERROR(IF(A110="",0,SUMIFS(SALES_TRACKER!$G$4:$G$1003,SALES_TRACKER!$B$4:$B$1003,A110)),0)</f>
        <v>0</v>
      </c>
      <c r="J110" s="118">
        <f t="shared" si="2"/>
        <v>0</v>
      </c>
      <c r="K110" s="136">
        <f t="shared" si="3"/>
        <v>0</v>
      </c>
      <c r="L110" s="136">
        <f t="shared" si="4"/>
        <v>0</v>
      </c>
      <c r="M110" s="136">
        <f t="shared" si="5"/>
        <v>0</v>
      </c>
      <c r="N110" s="81" t="str">
        <f>IFERROR(IF(A110="","—",IF(COUNTIF(HPP_ENGINE!$A$4:$A$203,A110)=0,"⚠ BELUM DI HPP",IF(E110=0,"PLANNING",IF(M110&gt;=1,"SOLD OUT",IF(M110&gt;=0.7,"ON TRACK",IF(M110&gt;=0.3,"SLOW MOVE",IF(M110&gt;0,"STUCK","BELUM TERJUAL"))))))),"—")</f>
        <v>—</v>
      </c>
    </row>
    <row r="111" ht="18.75" customHeight="1">
      <c r="A111" s="72"/>
      <c r="B111" s="112" t="str">
        <f t="array" ref="B111">IFERROR(IF(A111="","",INDEX(HPP_ENGINE!$B:$B,MATCH(A111,HPP_ENGINE!$A:$A,0))),"")</f>
        <v/>
      </c>
      <c r="C111" s="137" t="str">
        <f t="array" ref="C111">IFERROR(IF(A111="","",INDEX(HPP_ENGINE!$C:$C,MATCH(A111,HPP_ENGINE!$A:$A,0))),"")</f>
        <v/>
      </c>
      <c r="D111" s="115">
        <f t="array" ref="D111">IFERROR(IF(A111="",0,INDEX(PRODUCTION_PLAN!$D:$D,MATCH(A111,PRODUCTION_PLAN!$A:$A,0))),0)</f>
        <v>0</v>
      </c>
      <c r="E111" s="115">
        <f t="array" ref="E111">IFERROR(IF(A111="",0,INDEX(HPP_ENGINE!$D:$D,MATCH(A111,HPP_ENGINE!$A:$A,0))),0)</f>
        <v>0</v>
      </c>
      <c r="F111" s="115">
        <f>IFERROR(IF(A111="",0,SUMIFS(SALES_TRACKER!$E$4:$E$1003,SALES_TRACKER!$B$4:$B$1003,A111)),0)</f>
        <v>0</v>
      </c>
      <c r="G111" s="115">
        <f t="shared" si="1"/>
        <v>0</v>
      </c>
      <c r="H111" s="115">
        <f t="array" ref="H111">IFERROR(IF(A111="",0,INDEX(HPP_ENGINE!$I:$I,MATCH(A111,HPP_ENGINE!$A:$A,0))),0)</f>
        <v>0</v>
      </c>
      <c r="I111" s="115">
        <f>IFERROR(IF(A111="",0,SUMIFS(SALES_TRACKER!$G$4:$G$1003,SALES_TRACKER!$B$4:$B$1003,A111)),0)</f>
        <v>0</v>
      </c>
      <c r="J111" s="114">
        <f t="shared" si="2"/>
        <v>0</v>
      </c>
      <c r="K111" s="133">
        <f t="shared" si="3"/>
        <v>0</v>
      </c>
      <c r="L111" s="133">
        <f t="shared" si="4"/>
        <v>0</v>
      </c>
      <c r="M111" s="133">
        <f t="shared" si="5"/>
        <v>0</v>
      </c>
      <c r="N111" s="76" t="str">
        <f>IFERROR(IF(A111="","—",IF(COUNTIF(HPP_ENGINE!$A$4:$A$203,A111)=0,"⚠ BELUM DI HPP",IF(E111=0,"PLANNING",IF(M111&gt;=1,"SOLD OUT",IF(M111&gt;=0.7,"ON TRACK",IF(M111&gt;=0.3,"SLOW MOVE",IF(M111&gt;0,"STUCK","BELUM TERJUAL"))))))),"—")</f>
        <v>—</v>
      </c>
    </row>
    <row r="112" ht="18.75" customHeight="1">
      <c r="A112" s="77"/>
      <c r="B112" s="116" t="str">
        <f t="array" ref="B112">IFERROR(IF(A112="","",INDEX(HPP_ENGINE!$B:$B,MATCH(A112,HPP_ENGINE!$A:$A,0))),"")</f>
        <v/>
      </c>
      <c r="C112" s="135" t="str">
        <f t="array" ref="C112">IFERROR(IF(A112="","",INDEX(HPP_ENGINE!$C:$C,MATCH(A112,HPP_ENGINE!$A:$A,0))),"")</f>
        <v/>
      </c>
      <c r="D112" s="119">
        <f t="array" ref="D112">IFERROR(IF(A112="",0,INDEX(PRODUCTION_PLAN!$D:$D,MATCH(A112,PRODUCTION_PLAN!$A:$A,0))),0)</f>
        <v>0</v>
      </c>
      <c r="E112" s="119">
        <f t="array" ref="E112">IFERROR(IF(A112="",0,INDEX(HPP_ENGINE!$D:$D,MATCH(A112,HPP_ENGINE!$A:$A,0))),0)</f>
        <v>0</v>
      </c>
      <c r="F112" s="119">
        <f>IFERROR(IF(A112="",0,SUMIFS(SALES_TRACKER!$E$4:$E$1003,SALES_TRACKER!$B$4:$B$1003,A112)),0)</f>
        <v>0</v>
      </c>
      <c r="G112" s="119">
        <f t="shared" si="1"/>
        <v>0</v>
      </c>
      <c r="H112" s="119">
        <f t="array" ref="H112">IFERROR(IF(A112="",0,INDEX(HPP_ENGINE!$I:$I,MATCH(A112,HPP_ENGINE!$A:$A,0))),0)</f>
        <v>0</v>
      </c>
      <c r="I112" s="119">
        <f>IFERROR(IF(A112="",0,SUMIFS(SALES_TRACKER!$G$4:$G$1003,SALES_TRACKER!$B$4:$B$1003,A112)),0)</f>
        <v>0</v>
      </c>
      <c r="J112" s="118">
        <f t="shared" si="2"/>
        <v>0</v>
      </c>
      <c r="K112" s="136">
        <f t="shared" si="3"/>
        <v>0</v>
      </c>
      <c r="L112" s="136">
        <f t="shared" si="4"/>
        <v>0</v>
      </c>
      <c r="M112" s="136">
        <f t="shared" si="5"/>
        <v>0</v>
      </c>
      <c r="N112" s="81" t="str">
        <f>IFERROR(IF(A112="","—",IF(COUNTIF(HPP_ENGINE!$A$4:$A$203,A112)=0,"⚠ BELUM DI HPP",IF(E112=0,"PLANNING",IF(M112&gt;=1,"SOLD OUT",IF(M112&gt;=0.7,"ON TRACK",IF(M112&gt;=0.3,"SLOW MOVE",IF(M112&gt;0,"STUCK","BELUM TERJUAL"))))))),"—")</f>
        <v>—</v>
      </c>
    </row>
    <row r="113" ht="18.75" customHeight="1">
      <c r="A113" s="72"/>
      <c r="B113" s="112" t="str">
        <f t="array" ref="B113">IFERROR(IF(A113="","",INDEX(HPP_ENGINE!$B:$B,MATCH(A113,HPP_ENGINE!$A:$A,0))),"")</f>
        <v/>
      </c>
      <c r="C113" s="137" t="str">
        <f t="array" ref="C113">IFERROR(IF(A113="","",INDEX(HPP_ENGINE!$C:$C,MATCH(A113,HPP_ENGINE!$A:$A,0))),"")</f>
        <v/>
      </c>
      <c r="D113" s="115">
        <f t="array" ref="D113">IFERROR(IF(A113="",0,INDEX(PRODUCTION_PLAN!$D:$D,MATCH(A113,PRODUCTION_PLAN!$A:$A,0))),0)</f>
        <v>0</v>
      </c>
      <c r="E113" s="115">
        <f t="array" ref="E113">IFERROR(IF(A113="",0,INDEX(HPP_ENGINE!$D:$D,MATCH(A113,HPP_ENGINE!$A:$A,0))),0)</f>
        <v>0</v>
      </c>
      <c r="F113" s="115">
        <f>IFERROR(IF(A113="",0,SUMIFS(SALES_TRACKER!$E$4:$E$1003,SALES_TRACKER!$B$4:$B$1003,A113)),0)</f>
        <v>0</v>
      </c>
      <c r="G113" s="115">
        <f t="shared" si="1"/>
        <v>0</v>
      </c>
      <c r="H113" s="115">
        <f t="array" ref="H113">IFERROR(IF(A113="",0,INDEX(HPP_ENGINE!$I:$I,MATCH(A113,HPP_ENGINE!$A:$A,0))),0)</f>
        <v>0</v>
      </c>
      <c r="I113" s="115">
        <f>IFERROR(IF(A113="",0,SUMIFS(SALES_TRACKER!$G$4:$G$1003,SALES_TRACKER!$B$4:$B$1003,A113)),0)</f>
        <v>0</v>
      </c>
      <c r="J113" s="114">
        <f t="shared" si="2"/>
        <v>0</v>
      </c>
      <c r="K113" s="133">
        <f t="shared" si="3"/>
        <v>0</v>
      </c>
      <c r="L113" s="133">
        <f t="shared" si="4"/>
        <v>0</v>
      </c>
      <c r="M113" s="133">
        <f t="shared" si="5"/>
        <v>0</v>
      </c>
      <c r="N113" s="76" t="str">
        <f>IFERROR(IF(A113="","—",IF(COUNTIF(HPP_ENGINE!$A$4:$A$203,A113)=0,"⚠ BELUM DI HPP",IF(E113=0,"PLANNING",IF(M113&gt;=1,"SOLD OUT",IF(M113&gt;=0.7,"ON TRACK",IF(M113&gt;=0.3,"SLOW MOVE",IF(M113&gt;0,"STUCK","BELUM TERJUAL"))))))),"—")</f>
        <v>—</v>
      </c>
    </row>
    <row r="114" ht="18.75" customHeight="1">
      <c r="A114" s="77"/>
      <c r="B114" s="116" t="str">
        <f t="array" ref="B114">IFERROR(IF(A114="","",INDEX(HPP_ENGINE!$B:$B,MATCH(A114,HPP_ENGINE!$A:$A,0))),"")</f>
        <v/>
      </c>
      <c r="C114" s="135" t="str">
        <f t="array" ref="C114">IFERROR(IF(A114="","",INDEX(HPP_ENGINE!$C:$C,MATCH(A114,HPP_ENGINE!$A:$A,0))),"")</f>
        <v/>
      </c>
      <c r="D114" s="119">
        <f t="array" ref="D114">IFERROR(IF(A114="",0,INDEX(PRODUCTION_PLAN!$D:$D,MATCH(A114,PRODUCTION_PLAN!$A:$A,0))),0)</f>
        <v>0</v>
      </c>
      <c r="E114" s="119">
        <f t="array" ref="E114">IFERROR(IF(A114="",0,INDEX(HPP_ENGINE!$D:$D,MATCH(A114,HPP_ENGINE!$A:$A,0))),0)</f>
        <v>0</v>
      </c>
      <c r="F114" s="119">
        <f>IFERROR(IF(A114="",0,SUMIFS(SALES_TRACKER!$E$4:$E$1003,SALES_TRACKER!$B$4:$B$1003,A114)),0)</f>
        <v>0</v>
      </c>
      <c r="G114" s="119">
        <f t="shared" si="1"/>
        <v>0</v>
      </c>
      <c r="H114" s="119">
        <f t="array" ref="H114">IFERROR(IF(A114="",0,INDEX(HPP_ENGINE!$I:$I,MATCH(A114,HPP_ENGINE!$A:$A,0))),0)</f>
        <v>0</v>
      </c>
      <c r="I114" s="119">
        <f>IFERROR(IF(A114="",0,SUMIFS(SALES_TRACKER!$G$4:$G$1003,SALES_TRACKER!$B$4:$B$1003,A114)),0)</f>
        <v>0</v>
      </c>
      <c r="J114" s="118">
        <f t="shared" si="2"/>
        <v>0</v>
      </c>
      <c r="K114" s="136">
        <f t="shared" si="3"/>
        <v>0</v>
      </c>
      <c r="L114" s="136">
        <f t="shared" si="4"/>
        <v>0</v>
      </c>
      <c r="M114" s="136">
        <f t="shared" si="5"/>
        <v>0</v>
      </c>
      <c r="N114" s="81" t="str">
        <f>IFERROR(IF(A114="","—",IF(COUNTIF(HPP_ENGINE!$A$4:$A$203,A114)=0,"⚠ BELUM DI HPP",IF(E114=0,"PLANNING",IF(M114&gt;=1,"SOLD OUT",IF(M114&gt;=0.7,"ON TRACK",IF(M114&gt;=0.3,"SLOW MOVE",IF(M114&gt;0,"STUCK","BELUM TERJUAL"))))))),"—")</f>
        <v>—</v>
      </c>
    </row>
    <row r="115" ht="18.75" customHeight="1">
      <c r="A115" s="72"/>
      <c r="B115" s="112" t="str">
        <f t="array" ref="B115">IFERROR(IF(A115="","",INDEX(HPP_ENGINE!$B:$B,MATCH(A115,HPP_ENGINE!$A:$A,0))),"")</f>
        <v/>
      </c>
      <c r="C115" s="137" t="str">
        <f t="array" ref="C115">IFERROR(IF(A115="","",INDEX(HPP_ENGINE!$C:$C,MATCH(A115,HPP_ENGINE!$A:$A,0))),"")</f>
        <v/>
      </c>
      <c r="D115" s="115">
        <f t="array" ref="D115">IFERROR(IF(A115="",0,INDEX(PRODUCTION_PLAN!$D:$D,MATCH(A115,PRODUCTION_PLAN!$A:$A,0))),0)</f>
        <v>0</v>
      </c>
      <c r="E115" s="115">
        <f t="array" ref="E115">IFERROR(IF(A115="",0,INDEX(HPP_ENGINE!$D:$D,MATCH(A115,HPP_ENGINE!$A:$A,0))),0)</f>
        <v>0</v>
      </c>
      <c r="F115" s="115">
        <f>IFERROR(IF(A115="",0,SUMIFS(SALES_TRACKER!$E$4:$E$1003,SALES_TRACKER!$B$4:$B$1003,A115)),0)</f>
        <v>0</v>
      </c>
      <c r="G115" s="115">
        <f t="shared" si="1"/>
        <v>0</v>
      </c>
      <c r="H115" s="115">
        <f t="array" ref="H115">IFERROR(IF(A115="",0,INDEX(HPP_ENGINE!$I:$I,MATCH(A115,HPP_ENGINE!$A:$A,0))),0)</f>
        <v>0</v>
      </c>
      <c r="I115" s="115">
        <f>IFERROR(IF(A115="",0,SUMIFS(SALES_TRACKER!$G$4:$G$1003,SALES_TRACKER!$B$4:$B$1003,A115)),0)</f>
        <v>0</v>
      </c>
      <c r="J115" s="114">
        <f t="shared" si="2"/>
        <v>0</v>
      </c>
      <c r="K115" s="133">
        <f t="shared" si="3"/>
        <v>0</v>
      </c>
      <c r="L115" s="133">
        <f t="shared" si="4"/>
        <v>0</v>
      </c>
      <c r="M115" s="133">
        <f t="shared" si="5"/>
        <v>0</v>
      </c>
      <c r="N115" s="76" t="str">
        <f>IFERROR(IF(A115="","—",IF(COUNTIF(HPP_ENGINE!$A$4:$A$203,A115)=0,"⚠ BELUM DI HPP",IF(E115=0,"PLANNING",IF(M115&gt;=1,"SOLD OUT",IF(M115&gt;=0.7,"ON TRACK",IF(M115&gt;=0.3,"SLOW MOVE",IF(M115&gt;0,"STUCK","BELUM TERJUAL"))))))),"—")</f>
        <v>—</v>
      </c>
    </row>
    <row r="116" ht="18.75" customHeight="1">
      <c r="A116" s="77"/>
      <c r="B116" s="116" t="str">
        <f t="array" ref="B116">IFERROR(IF(A116="","",INDEX(HPP_ENGINE!$B:$B,MATCH(A116,HPP_ENGINE!$A:$A,0))),"")</f>
        <v/>
      </c>
      <c r="C116" s="135" t="str">
        <f t="array" ref="C116">IFERROR(IF(A116="","",INDEX(HPP_ENGINE!$C:$C,MATCH(A116,HPP_ENGINE!$A:$A,0))),"")</f>
        <v/>
      </c>
      <c r="D116" s="119">
        <f t="array" ref="D116">IFERROR(IF(A116="",0,INDEX(PRODUCTION_PLAN!$D:$D,MATCH(A116,PRODUCTION_PLAN!$A:$A,0))),0)</f>
        <v>0</v>
      </c>
      <c r="E116" s="119">
        <f t="array" ref="E116">IFERROR(IF(A116="",0,INDEX(HPP_ENGINE!$D:$D,MATCH(A116,HPP_ENGINE!$A:$A,0))),0)</f>
        <v>0</v>
      </c>
      <c r="F116" s="119">
        <f>IFERROR(IF(A116="",0,SUMIFS(SALES_TRACKER!$E$4:$E$1003,SALES_TRACKER!$B$4:$B$1003,A116)),0)</f>
        <v>0</v>
      </c>
      <c r="G116" s="119">
        <f t="shared" si="1"/>
        <v>0</v>
      </c>
      <c r="H116" s="119">
        <f t="array" ref="H116">IFERROR(IF(A116="",0,INDEX(HPP_ENGINE!$I:$I,MATCH(A116,HPP_ENGINE!$A:$A,0))),0)</f>
        <v>0</v>
      </c>
      <c r="I116" s="119">
        <f>IFERROR(IF(A116="",0,SUMIFS(SALES_TRACKER!$G$4:$G$1003,SALES_TRACKER!$B$4:$B$1003,A116)),0)</f>
        <v>0</v>
      </c>
      <c r="J116" s="118">
        <f t="shared" si="2"/>
        <v>0</v>
      </c>
      <c r="K116" s="136">
        <f t="shared" si="3"/>
        <v>0</v>
      </c>
      <c r="L116" s="136">
        <f t="shared" si="4"/>
        <v>0</v>
      </c>
      <c r="M116" s="136">
        <f t="shared" si="5"/>
        <v>0</v>
      </c>
      <c r="N116" s="81" t="str">
        <f>IFERROR(IF(A116="","—",IF(COUNTIF(HPP_ENGINE!$A$4:$A$203,A116)=0,"⚠ BELUM DI HPP",IF(E116=0,"PLANNING",IF(M116&gt;=1,"SOLD OUT",IF(M116&gt;=0.7,"ON TRACK",IF(M116&gt;=0.3,"SLOW MOVE",IF(M116&gt;0,"STUCK","BELUM TERJUAL"))))))),"—")</f>
        <v>—</v>
      </c>
    </row>
    <row r="117" ht="18.75" customHeight="1">
      <c r="A117" s="72"/>
      <c r="B117" s="112" t="str">
        <f t="array" ref="B117">IFERROR(IF(A117="","",INDEX(HPP_ENGINE!$B:$B,MATCH(A117,HPP_ENGINE!$A:$A,0))),"")</f>
        <v/>
      </c>
      <c r="C117" s="137" t="str">
        <f t="array" ref="C117">IFERROR(IF(A117="","",INDEX(HPP_ENGINE!$C:$C,MATCH(A117,HPP_ENGINE!$A:$A,0))),"")</f>
        <v/>
      </c>
      <c r="D117" s="115">
        <f t="array" ref="D117">IFERROR(IF(A117="",0,INDEX(PRODUCTION_PLAN!$D:$D,MATCH(A117,PRODUCTION_PLAN!$A:$A,0))),0)</f>
        <v>0</v>
      </c>
      <c r="E117" s="115">
        <f t="array" ref="E117">IFERROR(IF(A117="",0,INDEX(HPP_ENGINE!$D:$D,MATCH(A117,HPP_ENGINE!$A:$A,0))),0)</f>
        <v>0</v>
      </c>
      <c r="F117" s="115">
        <f>IFERROR(IF(A117="",0,SUMIFS(SALES_TRACKER!$E$4:$E$1003,SALES_TRACKER!$B$4:$B$1003,A117)),0)</f>
        <v>0</v>
      </c>
      <c r="G117" s="115">
        <f t="shared" si="1"/>
        <v>0</v>
      </c>
      <c r="H117" s="115">
        <f t="array" ref="H117">IFERROR(IF(A117="",0,INDEX(HPP_ENGINE!$I:$I,MATCH(A117,HPP_ENGINE!$A:$A,0))),0)</f>
        <v>0</v>
      </c>
      <c r="I117" s="115">
        <f>IFERROR(IF(A117="",0,SUMIFS(SALES_TRACKER!$G$4:$G$1003,SALES_TRACKER!$B$4:$B$1003,A117)),0)</f>
        <v>0</v>
      </c>
      <c r="J117" s="114">
        <f t="shared" si="2"/>
        <v>0</v>
      </c>
      <c r="K117" s="133">
        <f t="shared" si="3"/>
        <v>0</v>
      </c>
      <c r="L117" s="133">
        <f t="shared" si="4"/>
        <v>0</v>
      </c>
      <c r="M117" s="133">
        <f t="shared" si="5"/>
        <v>0</v>
      </c>
      <c r="N117" s="76" t="str">
        <f>IFERROR(IF(A117="","—",IF(COUNTIF(HPP_ENGINE!$A$4:$A$203,A117)=0,"⚠ BELUM DI HPP",IF(E117=0,"PLANNING",IF(M117&gt;=1,"SOLD OUT",IF(M117&gt;=0.7,"ON TRACK",IF(M117&gt;=0.3,"SLOW MOVE",IF(M117&gt;0,"STUCK","BELUM TERJUAL"))))))),"—")</f>
        <v>—</v>
      </c>
    </row>
    <row r="118" ht="18.75" customHeight="1">
      <c r="A118" s="77"/>
      <c r="B118" s="116" t="str">
        <f t="array" ref="B118">IFERROR(IF(A118="","",INDEX(HPP_ENGINE!$B:$B,MATCH(A118,HPP_ENGINE!$A:$A,0))),"")</f>
        <v/>
      </c>
      <c r="C118" s="135" t="str">
        <f t="array" ref="C118">IFERROR(IF(A118="","",INDEX(HPP_ENGINE!$C:$C,MATCH(A118,HPP_ENGINE!$A:$A,0))),"")</f>
        <v/>
      </c>
      <c r="D118" s="119">
        <f t="array" ref="D118">IFERROR(IF(A118="",0,INDEX(PRODUCTION_PLAN!$D:$D,MATCH(A118,PRODUCTION_PLAN!$A:$A,0))),0)</f>
        <v>0</v>
      </c>
      <c r="E118" s="119">
        <f t="array" ref="E118">IFERROR(IF(A118="",0,INDEX(HPP_ENGINE!$D:$D,MATCH(A118,HPP_ENGINE!$A:$A,0))),0)</f>
        <v>0</v>
      </c>
      <c r="F118" s="119">
        <f>IFERROR(IF(A118="",0,SUMIFS(SALES_TRACKER!$E$4:$E$1003,SALES_TRACKER!$B$4:$B$1003,A118)),0)</f>
        <v>0</v>
      </c>
      <c r="G118" s="119">
        <f t="shared" si="1"/>
        <v>0</v>
      </c>
      <c r="H118" s="119">
        <f t="array" ref="H118">IFERROR(IF(A118="",0,INDEX(HPP_ENGINE!$I:$I,MATCH(A118,HPP_ENGINE!$A:$A,0))),0)</f>
        <v>0</v>
      </c>
      <c r="I118" s="119">
        <f>IFERROR(IF(A118="",0,SUMIFS(SALES_TRACKER!$G$4:$G$1003,SALES_TRACKER!$B$4:$B$1003,A118)),0)</f>
        <v>0</v>
      </c>
      <c r="J118" s="118">
        <f t="shared" si="2"/>
        <v>0</v>
      </c>
      <c r="K118" s="136">
        <f t="shared" si="3"/>
        <v>0</v>
      </c>
      <c r="L118" s="136">
        <f t="shared" si="4"/>
        <v>0</v>
      </c>
      <c r="M118" s="136">
        <f t="shared" si="5"/>
        <v>0</v>
      </c>
      <c r="N118" s="81" t="str">
        <f>IFERROR(IF(A118="","—",IF(COUNTIF(HPP_ENGINE!$A$4:$A$203,A118)=0,"⚠ BELUM DI HPP",IF(E118=0,"PLANNING",IF(M118&gt;=1,"SOLD OUT",IF(M118&gt;=0.7,"ON TRACK",IF(M118&gt;=0.3,"SLOW MOVE",IF(M118&gt;0,"STUCK","BELUM TERJUAL"))))))),"—")</f>
        <v>—</v>
      </c>
    </row>
    <row r="119" ht="18.75" customHeight="1">
      <c r="A119" s="72"/>
      <c r="B119" s="112" t="str">
        <f t="array" ref="B119">IFERROR(IF(A119="","",INDEX(HPP_ENGINE!$B:$B,MATCH(A119,HPP_ENGINE!$A:$A,0))),"")</f>
        <v/>
      </c>
      <c r="C119" s="137" t="str">
        <f t="array" ref="C119">IFERROR(IF(A119="","",INDEX(HPP_ENGINE!$C:$C,MATCH(A119,HPP_ENGINE!$A:$A,0))),"")</f>
        <v/>
      </c>
      <c r="D119" s="115">
        <f t="array" ref="D119">IFERROR(IF(A119="",0,INDEX(PRODUCTION_PLAN!$D:$D,MATCH(A119,PRODUCTION_PLAN!$A:$A,0))),0)</f>
        <v>0</v>
      </c>
      <c r="E119" s="115">
        <f t="array" ref="E119">IFERROR(IF(A119="",0,INDEX(HPP_ENGINE!$D:$D,MATCH(A119,HPP_ENGINE!$A:$A,0))),0)</f>
        <v>0</v>
      </c>
      <c r="F119" s="115">
        <f>IFERROR(IF(A119="",0,SUMIFS(SALES_TRACKER!$E$4:$E$1003,SALES_TRACKER!$B$4:$B$1003,A119)),0)</f>
        <v>0</v>
      </c>
      <c r="G119" s="115">
        <f t="shared" si="1"/>
        <v>0</v>
      </c>
      <c r="H119" s="115">
        <f t="array" ref="H119">IFERROR(IF(A119="",0,INDEX(HPP_ENGINE!$I:$I,MATCH(A119,HPP_ENGINE!$A:$A,0))),0)</f>
        <v>0</v>
      </c>
      <c r="I119" s="115">
        <f>IFERROR(IF(A119="",0,SUMIFS(SALES_TRACKER!$G$4:$G$1003,SALES_TRACKER!$B$4:$B$1003,A119)),0)</f>
        <v>0</v>
      </c>
      <c r="J119" s="114">
        <f t="shared" si="2"/>
        <v>0</v>
      </c>
      <c r="K119" s="133">
        <f t="shared" si="3"/>
        <v>0</v>
      </c>
      <c r="L119" s="133">
        <f t="shared" si="4"/>
        <v>0</v>
      </c>
      <c r="M119" s="133">
        <f t="shared" si="5"/>
        <v>0</v>
      </c>
      <c r="N119" s="76" t="str">
        <f>IFERROR(IF(A119="","—",IF(COUNTIF(HPP_ENGINE!$A$4:$A$203,A119)=0,"⚠ BELUM DI HPP",IF(E119=0,"PLANNING",IF(M119&gt;=1,"SOLD OUT",IF(M119&gt;=0.7,"ON TRACK",IF(M119&gt;=0.3,"SLOW MOVE",IF(M119&gt;0,"STUCK","BELUM TERJUAL"))))))),"—")</f>
        <v>—</v>
      </c>
    </row>
    <row r="120" ht="18.75" customHeight="1">
      <c r="A120" s="77"/>
      <c r="B120" s="116" t="str">
        <f t="array" ref="B120">IFERROR(IF(A120="","",INDEX(HPP_ENGINE!$B:$B,MATCH(A120,HPP_ENGINE!$A:$A,0))),"")</f>
        <v/>
      </c>
      <c r="C120" s="135" t="str">
        <f t="array" ref="C120">IFERROR(IF(A120="","",INDEX(HPP_ENGINE!$C:$C,MATCH(A120,HPP_ENGINE!$A:$A,0))),"")</f>
        <v/>
      </c>
      <c r="D120" s="119">
        <f t="array" ref="D120">IFERROR(IF(A120="",0,INDEX(PRODUCTION_PLAN!$D:$D,MATCH(A120,PRODUCTION_PLAN!$A:$A,0))),0)</f>
        <v>0</v>
      </c>
      <c r="E120" s="119">
        <f t="array" ref="E120">IFERROR(IF(A120="",0,INDEX(HPP_ENGINE!$D:$D,MATCH(A120,HPP_ENGINE!$A:$A,0))),0)</f>
        <v>0</v>
      </c>
      <c r="F120" s="119">
        <f>IFERROR(IF(A120="",0,SUMIFS(SALES_TRACKER!$E$4:$E$1003,SALES_TRACKER!$B$4:$B$1003,A120)),0)</f>
        <v>0</v>
      </c>
      <c r="G120" s="119">
        <f t="shared" si="1"/>
        <v>0</v>
      </c>
      <c r="H120" s="119">
        <f t="array" ref="H120">IFERROR(IF(A120="",0,INDEX(HPP_ENGINE!$I:$I,MATCH(A120,HPP_ENGINE!$A:$A,0))),0)</f>
        <v>0</v>
      </c>
      <c r="I120" s="119">
        <f>IFERROR(IF(A120="",0,SUMIFS(SALES_TRACKER!$G$4:$G$1003,SALES_TRACKER!$B$4:$B$1003,A120)),0)</f>
        <v>0</v>
      </c>
      <c r="J120" s="118">
        <f t="shared" si="2"/>
        <v>0</v>
      </c>
      <c r="K120" s="136">
        <f t="shared" si="3"/>
        <v>0</v>
      </c>
      <c r="L120" s="136">
        <f t="shared" si="4"/>
        <v>0</v>
      </c>
      <c r="M120" s="136">
        <f t="shared" si="5"/>
        <v>0</v>
      </c>
      <c r="N120" s="81" t="str">
        <f>IFERROR(IF(A120="","—",IF(COUNTIF(HPP_ENGINE!$A$4:$A$203,A120)=0,"⚠ BELUM DI HPP",IF(E120=0,"PLANNING",IF(M120&gt;=1,"SOLD OUT",IF(M120&gt;=0.7,"ON TRACK",IF(M120&gt;=0.3,"SLOW MOVE",IF(M120&gt;0,"STUCK","BELUM TERJUAL"))))))),"—")</f>
        <v>—</v>
      </c>
    </row>
    <row r="121" ht="18.75" customHeight="1">
      <c r="A121" s="72"/>
      <c r="B121" s="112" t="str">
        <f t="array" ref="B121">IFERROR(IF(A121="","",INDEX(HPP_ENGINE!$B:$B,MATCH(A121,HPP_ENGINE!$A:$A,0))),"")</f>
        <v/>
      </c>
      <c r="C121" s="137" t="str">
        <f t="array" ref="C121">IFERROR(IF(A121="","",INDEX(HPP_ENGINE!$C:$C,MATCH(A121,HPP_ENGINE!$A:$A,0))),"")</f>
        <v/>
      </c>
      <c r="D121" s="115">
        <f t="array" ref="D121">IFERROR(IF(A121="",0,INDEX(PRODUCTION_PLAN!$D:$D,MATCH(A121,PRODUCTION_PLAN!$A:$A,0))),0)</f>
        <v>0</v>
      </c>
      <c r="E121" s="115">
        <f t="array" ref="E121">IFERROR(IF(A121="",0,INDEX(HPP_ENGINE!$D:$D,MATCH(A121,HPP_ENGINE!$A:$A,0))),0)</f>
        <v>0</v>
      </c>
      <c r="F121" s="115">
        <f>IFERROR(IF(A121="",0,SUMIFS(SALES_TRACKER!$E$4:$E$1003,SALES_TRACKER!$B$4:$B$1003,A121)),0)</f>
        <v>0</v>
      </c>
      <c r="G121" s="115">
        <f t="shared" si="1"/>
        <v>0</v>
      </c>
      <c r="H121" s="115">
        <f t="array" ref="H121">IFERROR(IF(A121="",0,INDEX(HPP_ENGINE!$I:$I,MATCH(A121,HPP_ENGINE!$A:$A,0))),0)</f>
        <v>0</v>
      </c>
      <c r="I121" s="115">
        <f>IFERROR(IF(A121="",0,SUMIFS(SALES_TRACKER!$G$4:$G$1003,SALES_TRACKER!$B$4:$B$1003,A121)),0)</f>
        <v>0</v>
      </c>
      <c r="J121" s="114">
        <f t="shared" si="2"/>
        <v>0</v>
      </c>
      <c r="K121" s="133">
        <f t="shared" si="3"/>
        <v>0</v>
      </c>
      <c r="L121" s="133">
        <f t="shared" si="4"/>
        <v>0</v>
      </c>
      <c r="M121" s="133">
        <f t="shared" si="5"/>
        <v>0</v>
      </c>
      <c r="N121" s="76" t="str">
        <f>IFERROR(IF(A121="","—",IF(COUNTIF(HPP_ENGINE!$A$4:$A$203,A121)=0,"⚠ BELUM DI HPP",IF(E121=0,"PLANNING",IF(M121&gt;=1,"SOLD OUT",IF(M121&gt;=0.7,"ON TRACK",IF(M121&gt;=0.3,"SLOW MOVE",IF(M121&gt;0,"STUCK","BELUM TERJUAL"))))))),"—")</f>
        <v>—</v>
      </c>
    </row>
    <row r="122" ht="18.75" customHeight="1">
      <c r="A122" s="77"/>
      <c r="B122" s="116" t="str">
        <f t="array" ref="B122">IFERROR(IF(A122="","",INDEX(HPP_ENGINE!$B:$B,MATCH(A122,HPP_ENGINE!$A:$A,0))),"")</f>
        <v/>
      </c>
      <c r="C122" s="135" t="str">
        <f t="array" ref="C122">IFERROR(IF(A122="","",INDEX(HPP_ENGINE!$C:$C,MATCH(A122,HPP_ENGINE!$A:$A,0))),"")</f>
        <v/>
      </c>
      <c r="D122" s="119">
        <f t="array" ref="D122">IFERROR(IF(A122="",0,INDEX(PRODUCTION_PLAN!$D:$D,MATCH(A122,PRODUCTION_PLAN!$A:$A,0))),0)</f>
        <v>0</v>
      </c>
      <c r="E122" s="119">
        <f t="array" ref="E122">IFERROR(IF(A122="",0,INDEX(HPP_ENGINE!$D:$D,MATCH(A122,HPP_ENGINE!$A:$A,0))),0)</f>
        <v>0</v>
      </c>
      <c r="F122" s="119">
        <f>IFERROR(IF(A122="",0,SUMIFS(SALES_TRACKER!$E$4:$E$1003,SALES_TRACKER!$B$4:$B$1003,A122)),0)</f>
        <v>0</v>
      </c>
      <c r="G122" s="119">
        <f t="shared" si="1"/>
        <v>0</v>
      </c>
      <c r="H122" s="119">
        <f t="array" ref="H122">IFERROR(IF(A122="",0,INDEX(HPP_ENGINE!$I:$I,MATCH(A122,HPP_ENGINE!$A:$A,0))),0)</f>
        <v>0</v>
      </c>
      <c r="I122" s="119">
        <f>IFERROR(IF(A122="",0,SUMIFS(SALES_TRACKER!$G$4:$G$1003,SALES_TRACKER!$B$4:$B$1003,A122)),0)</f>
        <v>0</v>
      </c>
      <c r="J122" s="118">
        <f t="shared" si="2"/>
        <v>0</v>
      </c>
      <c r="K122" s="136">
        <f t="shared" si="3"/>
        <v>0</v>
      </c>
      <c r="L122" s="136">
        <f t="shared" si="4"/>
        <v>0</v>
      </c>
      <c r="M122" s="136">
        <f t="shared" si="5"/>
        <v>0</v>
      </c>
      <c r="N122" s="81" t="str">
        <f>IFERROR(IF(A122="","—",IF(COUNTIF(HPP_ENGINE!$A$4:$A$203,A122)=0,"⚠ BELUM DI HPP",IF(E122=0,"PLANNING",IF(M122&gt;=1,"SOLD OUT",IF(M122&gt;=0.7,"ON TRACK",IF(M122&gt;=0.3,"SLOW MOVE",IF(M122&gt;0,"STUCK","BELUM TERJUAL"))))))),"—")</f>
        <v>—</v>
      </c>
    </row>
    <row r="123" ht="18.75" customHeight="1">
      <c r="A123" s="72"/>
      <c r="B123" s="112" t="str">
        <f t="array" ref="B123">IFERROR(IF(A123="","",INDEX(HPP_ENGINE!$B:$B,MATCH(A123,HPP_ENGINE!$A:$A,0))),"")</f>
        <v/>
      </c>
      <c r="C123" s="137" t="str">
        <f t="array" ref="C123">IFERROR(IF(A123="","",INDEX(HPP_ENGINE!$C:$C,MATCH(A123,HPP_ENGINE!$A:$A,0))),"")</f>
        <v/>
      </c>
      <c r="D123" s="115">
        <f t="array" ref="D123">IFERROR(IF(A123="",0,INDEX(PRODUCTION_PLAN!$D:$D,MATCH(A123,PRODUCTION_PLAN!$A:$A,0))),0)</f>
        <v>0</v>
      </c>
      <c r="E123" s="115">
        <f t="array" ref="E123">IFERROR(IF(A123="",0,INDEX(HPP_ENGINE!$D:$D,MATCH(A123,HPP_ENGINE!$A:$A,0))),0)</f>
        <v>0</v>
      </c>
      <c r="F123" s="115">
        <f>IFERROR(IF(A123="",0,SUMIFS(SALES_TRACKER!$E$4:$E$1003,SALES_TRACKER!$B$4:$B$1003,A123)),0)</f>
        <v>0</v>
      </c>
      <c r="G123" s="115">
        <f t="shared" si="1"/>
        <v>0</v>
      </c>
      <c r="H123" s="115">
        <f t="array" ref="H123">IFERROR(IF(A123="",0,INDEX(HPP_ENGINE!$I:$I,MATCH(A123,HPP_ENGINE!$A:$A,0))),0)</f>
        <v>0</v>
      </c>
      <c r="I123" s="115">
        <f>IFERROR(IF(A123="",0,SUMIFS(SALES_TRACKER!$G$4:$G$1003,SALES_TRACKER!$B$4:$B$1003,A123)),0)</f>
        <v>0</v>
      </c>
      <c r="J123" s="114">
        <f t="shared" si="2"/>
        <v>0</v>
      </c>
      <c r="K123" s="133">
        <f t="shared" si="3"/>
        <v>0</v>
      </c>
      <c r="L123" s="133">
        <f t="shared" si="4"/>
        <v>0</v>
      </c>
      <c r="M123" s="133">
        <f t="shared" si="5"/>
        <v>0</v>
      </c>
      <c r="N123" s="76" t="str">
        <f>IFERROR(IF(A123="","—",IF(COUNTIF(HPP_ENGINE!$A$4:$A$203,A123)=0,"⚠ BELUM DI HPP",IF(E123=0,"PLANNING",IF(M123&gt;=1,"SOLD OUT",IF(M123&gt;=0.7,"ON TRACK",IF(M123&gt;=0.3,"SLOW MOVE",IF(M123&gt;0,"STUCK","BELUM TERJUAL"))))))),"—")</f>
        <v>—</v>
      </c>
    </row>
    <row r="124" ht="18.75" customHeight="1">
      <c r="A124" s="77"/>
      <c r="B124" s="116" t="str">
        <f t="array" ref="B124">IFERROR(IF(A124="","",INDEX(HPP_ENGINE!$B:$B,MATCH(A124,HPP_ENGINE!$A:$A,0))),"")</f>
        <v/>
      </c>
      <c r="C124" s="135" t="str">
        <f t="array" ref="C124">IFERROR(IF(A124="","",INDEX(HPP_ENGINE!$C:$C,MATCH(A124,HPP_ENGINE!$A:$A,0))),"")</f>
        <v/>
      </c>
      <c r="D124" s="119">
        <f t="array" ref="D124">IFERROR(IF(A124="",0,INDEX(PRODUCTION_PLAN!$D:$D,MATCH(A124,PRODUCTION_PLAN!$A:$A,0))),0)</f>
        <v>0</v>
      </c>
      <c r="E124" s="119">
        <f t="array" ref="E124">IFERROR(IF(A124="",0,INDEX(HPP_ENGINE!$D:$D,MATCH(A124,HPP_ENGINE!$A:$A,0))),0)</f>
        <v>0</v>
      </c>
      <c r="F124" s="119">
        <f>IFERROR(IF(A124="",0,SUMIFS(SALES_TRACKER!$E$4:$E$1003,SALES_TRACKER!$B$4:$B$1003,A124)),0)</f>
        <v>0</v>
      </c>
      <c r="G124" s="119">
        <f t="shared" si="1"/>
        <v>0</v>
      </c>
      <c r="H124" s="119">
        <f t="array" ref="H124">IFERROR(IF(A124="",0,INDEX(HPP_ENGINE!$I:$I,MATCH(A124,HPP_ENGINE!$A:$A,0))),0)</f>
        <v>0</v>
      </c>
      <c r="I124" s="119">
        <f>IFERROR(IF(A124="",0,SUMIFS(SALES_TRACKER!$G$4:$G$1003,SALES_TRACKER!$B$4:$B$1003,A124)),0)</f>
        <v>0</v>
      </c>
      <c r="J124" s="118">
        <f t="shared" si="2"/>
        <v>0</v>
      </c>
      <c r="K124" s="136">
        <f t="shared" si="3"/>
        <v>0</v>
      </c>
      <c r="L124" s="136">
        <f t="shared" si="4"/>
        <v>0</v>
      </c>
      <c r="M124" s="136">
        <f t="shared" si="5"/>
        <v>0</v>
      </c>
      <c r="N124" s="81" t="str">
        <f>IFERROR(IF(A124="","—",IF(COUNTIF(HPP_ENGINE!$A$4:$A$203,A124)=0,"⚠ BELUM DI HPP",IF(E124=0,"PLANNING",IF(M124&gt;=1,"SOLD OUT",IF(M124&gt;=0.7,"ON TRACK",IF(M124&gt;=0.3,"SLOW MOVE",IF(M124&gt;0,"STUCK","BELUM TERJUAL"))))))),"—")</f>
        <v>—</v>
      </c>
    </row>
    <row r="125" ht="18.75" customHeight="1">
      <c r="A125" s="72"/>
      <c r="B125" s="112" t="str">
        <f t="array" ref="B125">IFERROR(IF(A125="","",INDEX(HPP_ENGINE!$B:$B,MATCH(A125,HPP_ENGINE!$A:$A,0))),"")</f>
        <v/>
      </c>
      <c r="C125" s="137" t="str">
        <f t="array" ref="C125">IFERROR(IF(A125="","",INDEX(HPP_ENGINE!$C:$C,MATCH(A125,HPP_ENGINE!$A:$A,0))),"")</f>
        <v/>
      </c>
      <c r="D125" s="115">
        <f t="array" ref="D125">IFERROR(IF(A125="",0,INDEX(PRODUCTION_PLAN!$D:$D,MATCH(A125,PRODUCTION_PLAN!$A:$A,0))),0)</f>
        <v>0</v>
      </c>
      <c r="E125" s="115">
        <f t="array" ref="E125">IFERROR(IF(A125="",0,INDEX(HPP_ENGINE!$D:$D,MATCH(A125,HPP_ENGINE!$A:$A,0))),0)</f>
        <v>0</v>
      </c>
      <c r="F125" s="115">
        <f>IFERROR(IF(A125="",0,SUMIFS(SALES_TRACKER!$E$4:$E$1003,SALES_TRACKER!$B$4:$B$1003,A125)),0)</f>
        <v>0</v>
      </c>
      <c r="G125" s="115">
        <f t="shared" si="1"/>
        <v>0</v>
      </c>
      <c r="H125" s="115">
        <f t="array" ref="H125">IFERROR(IF(A125="",0,INDEX(HPP_ENGINE!$I:$I,MATCH(A125,HPP_ENGINE!$A:$A,0))),0)</f>
        <v>0</v>
      </c>
      <c r="I125" s="115">
        <f>IFERROR(IF(A125="",0,SUMIFS(SALES_TRACKER!$G$4:$G$1003,SALES_TRACKER!$B$4:$B$1003,A125)),0)</f>
        <v>0</v>
      </c>
      <c r="J125" s="114">
        <f t="shared" si="2"/>
        <v>0</v>
      </c>
      <c r="K125" s="133">
        <f t="shared" si="3"/>
        <v>0</v>
      </c>
      <c r="L125" s="133">
        <f t="shared" si="4"/>
        <v>0</v>
      </c>
      <c r="M125" s="133">
        <f t="shared" si="5"/>
        <v>0</v>
      </c>
      <c r="N125" s="76" t="str">
        <f>IFERROR(IF(A125="","—",IF(COUNTIF(HPP_ENGINE!$A$4:$A$203,A125)=0,"⚠ BELUM DI HPP",IF(E125=0,"PLANNING",IF(M125&gt;=1,"SOLD OUT",IF(M125&gt;=0.7,"ON TRACK",IF(M125&gt;=0.3,"SLOW MOVE",IF(M125&gt;0,"STUCK","BELUM TERJUAL"))))))),"—")</f>
        <v>—</v>
      </c>
    </row>
    <row r="126" ht="18.75" customHeight="1">
      <c r="A126" s="77"/>
      <c r="B126" s="116" t="str">
        <f t="array" ref="B126">IFERROR(IF(A126="","",INDEX(HPP_ENGINE!$B:$B,MATCH(A126,HPP_ENGINE!$A:$A,0))),"")</f>
        <v/>
      </c>
      <c r="C126" s="135" t="str">
        <f t="array" ref="C126">IFERROR(IF(A126="","",INDEX(HPP_ENGINE!$C:$C,MATCH(A126,HPP_ENGINE!$A:$A,0))),"")</f>
        <v/>
      </c>
      <c r="D126" s="119">
        <f t="array" ref="D126">IFERROR(IF(A126="",0,INDEX(PRODUCTION_PLAN!$D:$D,MATCH(A126,PRODUCTION_PLAN!$A:$A,0))),0)</f>
        <v>0</v>
      </c>
      <c r="E126" s="119">
        <f t="array" ref="E126">IFERROR(IF(A126="",0,INDEX(HPP_ENGINE!$D:$D,MATCH(A126,HPP_ENGINE!$A:$A,0))),0)</f>
        <v>0</v>
      </c>
      <c r="F126" s="119">
        <f>IFERROR(IF(A126="",0,SUMIFS(SALES_TRACKER!$E$4:$E$1003,SALES_TRACKER!$B$4:$B$1003,A126)),0)</f>
        <v>0</v>
      </c>
      <c r="G126" s="119">
        <f t="shared" si="1"/>
        <v>0</v>
      </c>
      <c r="H126" s="119">
        <f t="array" ref="H126">IFERROR(IF(A126="",0,INDEX(HPP_ENGINE!$I:$I,MATCH(A126,HPP_ENGINE!$A:$A,0))),0)</f>
        <v>0</v>
      </c>
      <c r="I126" s="119">
        <f>IFERROR(IF(A126="",0,SUMIFS(SALES_TRACKER!$G$4:$G$1003,SALES_TRACKER!$B$4:$B$1003,A126)),0)</f>
        <v>0</v>
      </c>
      <c r="J126" s="118">
        <f t="shared" si="2"/>
        <v>0</v>
      </c>
      <c r="K126" s="136">
        <f t="shared" si="3"/>
        <v>0</v>
      </c>
      <c r="L126" s="136">
        <f t="shared" si="4"/>
        <v>0</v>
      </c>
      <c r="M126" s="136">
        <f t="shared" si="5"/>
        <v>0</v>
      </c>
      <c r="N126" s="81" t="str">
        <f>IFERROR(IF(A126="","—",IF(COUNTIF(HPP_ENGINE!$A$4:$A$203,A126)=0,"⚠ BELUM DI HPP",IF(E126=0,"PLANNING",IF(M126&gt;=1,"SOLD OUT",IF(M126&gt;=0.7,"ON TRACK",IF(M126&gt;=0.3,"SLOW MOVE",IF(M126&gt;0,"STUCK","BELUM TERJUAL"))))))),"—")</f>
        <v>—</v>
      </c>
    </row>
    <row r="127" ht="18.75" customHeight="1">
      <c r="A127" s="72"/>
      <c r="B127" s="112" t="str">
        <f t="array" ref="B127">IFERROR(IF(A127="","",INDEX(HPP_ENGINE!$B:$B,MATCH(A127,HPP_ENGINE!$A:$A,0))),"")</f>
        <v/>
      </c>
      <c r="C127" s="137" t="str">
        <f t="array" ref="C127">IFERROR(IF(A127="","",INDEX(HPP_ENGINE!$C:$C,MATCH(A127,HPP_ENGINE!$A:$A,0))),"")</f>
        <v/>
      </c>
      <c r="D127" s="115">
        <f t="array" ref="D127">IFERROR(IF(A127="",0,INDEX(PRODUCTION_PLAN!$D:$D,MATCH(A127,PRODUCTION_PLAN!$A:$A,0))),0)</f>
        <v>0</v>
      </c>
      <c r="E127" s="115">
        <f t="array" ref="E127">IFERROR(IF(A127="",0,INDEX(HPP_ENGINE!$D:$D,MATCH(A127,HPP_ENGINE!$A:$A,0))),0)</f>
        <v>0</v>
      </c>
      <c r="F127" s="115">
        <f>IFERROR(IF(A127="",0,SUMIFS(SALES_TRACKER!$E$4:$E$1003,SALES_TRACKER!$B$4:$B$1003,A127)),0)</f>
        <v>0</v>
      </c>
      <c r="G127" s="115">
        <f t="shared" si="1"/>
        <v>0</v>
      </c>
      <c r="H127" s="115">
        <f t="array" ref="H127">IFERROR(IF(A127="",0,INDEX(HPP_ENGINE!$I:$I,MATCH(A127,HPP_ENGINE!$A:$A,0))),0)</f>
        <v>0</v>
      </c>
      <c r="I127" s="115">
        <f>IFERROR(IF(A127="",0,SUMIFS(SALES_TRACKER!$G$4:$G$1003,SALES_TRACKER!$B$4:$B$1003,A127)),0)</f>
        <v>0</v>
      </c>
      <c r="J127" s="114">
        <f t="shared" si="2"/>
        <v>0</v>
      </c>
      <c r="K127" s="133">
        <f t="shared" si="3"/>
        <v>0</v>
      </c>
      <c r="L127" s="133">
        <f t="shared" si="4"/>
        <v>0</v>
      </c>
      <c r="M127" s="133">
        <f t="shared" si="5"/>
        <v>0</v>
      </c>
      <c r="N127" s="76" t="str">
        <f>IFERROR(IF(A127="","—",IF(COUNTIF(HPP_ENGINE!$A$4:$A$203,A127)=0,"⚠ BELUM DI HPP",IF(E127=0,"PLANNING",IF(M127&gt;=1,"SOLD OUT",IF(M127&gt;=0.7,"ON TRACK",IF(M127&gt;=0.3,"SLOW MOVE",IF(M127&gt;0,"STUCK","BELUM TERJUAL"))))))),"—")</f>
        <v>—</v>
      </c>
    </row>
    <row r="128" ht="18.75" customHeight="1">
      <c r="A128" s="77"/>
      <c r="B128" s="116" t="str">
        <f t="array" ref="B128">IFERROR(IF(A128="","",INDEX(HPP_ENGINE!$B:$B,MATCH(A128,HPP_ENGINE!$A:$A,0))),"")</f>
        <v/>
      </c>
      <c r="C128" s="135" t="str">
        <f t="array" ref="C128">IFERROR(IF(A128="","",INDEX(HPP_ENGINE!$C:$C,MATCH(A128,HPP_ENGINE!$A:$A,0))),"")</f>
        <v/>
      </c>
      <c r="D128" s="119">
        <f t="array" ref="D128">IFERROR(IF(A128="",0,INDEX(PRODUCTION_PLAN!$D:$D,MATCH(A128,PRODUCTION_PLAN!$A:$A,0))),0)</f>
        <v>0</v>
      </c>
      <c r="E128" s="119">
        <f t="array" ref="E128">IFERROR(IF(A128="",0,INDEX(HPP_ENGINE!$D:$D,MATCH(A128,HPP_ENGINE!$A:$A,0))),0)</f>
        <v>0</v>
      </c>
      <c r="F128" s="119">
        <f>IFERROR(IF(A128="",0,SUMIFS(SALES_TRACKER!$E$4:$E$1003,SALES_TRACKER!$B$4:$B$1003,A128)),0)</f>
        <v>0</v>
      </c>
      <c r="G128" s="119">
        <f t="shared" si="1"/>
        <v>0</v>
      </c>
      <c r="H128" s="119">
        <f t="array" ref="H128">IFERROR(IF(A128="",0,INDEX(HPP_ENGINE!$I:$I,MATCH(A128,HPP_ENGINE!$A:$A,0))),0)</f>
        <v>0</v>
      </c>
      <c r="I128" s="119">
        <f>IFERROR(IF(A128="",0,SUMIFS(SALES_TRACKER!$G$4:$G$1003,SALES_TRACKER!$B$4:$B$1003,A128)),0)</f>
        <v>0</v>
      </c>
      <c r="J128" s="118">
        <f t="shared" si="2"/>
        <v>0</v>
      </c>
      <c r="K128" s="136">
        <f t="shared" si="3"/>
        <v>0</v>
      </c>
      <c r="L128" s="136">
        <f t="shared" si="4"/>
        <v>0</v>
      </c>
      <c r="M128" s="136">
        <f t="shared" si="5"/>
        <v>0</v>
      </c>
      <c r="N128" s="81" t="str">
        <f>IFERROR(IF(A128="","—",IF(COUNTIF(HPP_ENGINE!$A$4:$A$203,A128)=0,"⚠ BELUM DI HPP",IF(E128=0,"PLANNING",IF(M128&gt;=1,"SOLD OUT",IF(M128&gt;=0.7,"ON TRACK",IF(M128&gt;=0.3,"SLOW MOVE",IF(M128&gt;0,"STUCK","BELUM TERJUAL"))))))),"—")</f>
        <v>—</v>
      </c>
    </row>
    <row r="129" ht="18.75" customHeight="1">
      <c r="A129" s="72"/>
      <c r="B129" s="112" t="str">
        <f t="array" ref="B129">IFERROR(IF(A129="","",INDEX(HPP_ENGINE!$B:$B,MATCH(A129,HPP_ENGINE!$A:$A,0))),"")</f>
        <v/>
      </c>
      <c r="C129" s="137" t="str">
        <f t="array" ref="C129">IFERROR(IF(A129="","",INDEX(HPP_ENGINE!$C:$C,MATCH(A129,HPP_ENGINE!$A:$A,0))),"")</f>
        <v/>
      </c>
      <c r="D129" s="115">
        <f t="array" ref="D129">IFERROR(IF(A129="",0,INDEX(PRODUCTION_PLAN!$D:$D,MATCH(A129,PRODUCTION_PLAN!$A:$A,0))),0)</f>
        <v>0</v>
      </c>
      <c r="E129" s="115">
        <f t="array" ref="E129">IFERROR(IF(A129="",0,INDEX(HPP_ENGINE!$D:$D,MATCH(A129,HPP_ENGINE!$A:$A,0))),0)</f>
        <v>0</v>
      </c>
      <c r="F129" s="115">
        <f>IFERROR(IF(A129="",0,SUMIFS(SALES_TRACKER!$E$4:$E$1003,SALES_TRACKER!$B$4:$B$1003,A129)),0)</f>
        <v>0</v>
      </c>
      <c r="G129" s="115">
        <f t="shared" si="1"/>
        <v>0</v>
      </c>
      <c r="H129" s="115">
        <f t="array" ref="H129">IFERROR(IF(A129="",0,INDEX(HPP_ENGINE!$I:$I,MATCH(A129,HPP_ENGINE!$A:$A,0))),0)</f>
        <v>0</v>
      </c>
      <c r="I129" s="115">
        <f>IFERROR(IF(A129="",0,SUMIFS(SALES_TRACKER!$G$4:$G$1003,SALES_TRACKER!$B$4:$B$1003,A129)),0)</f>
        <v>0</v>
      </c>
      <c r="J129" s="114">
        <f t="shared" si="2"/>
        <v>0</v>
      </c>
      <c r="K129" s="133">
        <f t="shared" si="3"/>
        <v>0</v>
      </c>
      <c r="L129" s="133">
        <f t="shared" si="4"/>
        <v>0</v>
      </c>
      <c r="M129" s="133">
        <f t="shared" si="5"/>
        <v>0</v>
      </c>
      <c r="N129" s="76" t="str">
        <f>IFERROR(IF(A129="","—",IF(COUNTIF(HPP_ENGINE!$A$4:$A$203,A129)=0,"⚠ BELUM DI HPP",IF(E129=0,"PLANNING",IF(M129&gt;=1,"SOLD OUT",IF(M129&gt;=0.7,"ON TRACK",IF(M129&gt;=0.3,"SLOW MOVE",IF(M129&gt;0,"STUCK","BELUM TERJUAL"))))))),"—")</f>
        <v>—</v>
      </c>
    </row>
    <row r="130" ht="18.75" customHeight="1">
      <c r="A130" s="77"/>
      <c r="B130" s="116" t="str">
        <f t="array" ref="B130">IFERROR(IF(A130="","",INDEX(HPP_ENGINE!$B:$B,MATCH(A130,HPP_ENGINE!$A:$A,0))),"")</f>
        <v/>
      </c>
      <c r="C130" s="135" t="str">
        <f t="array" ref="C130">IFERROR(IF(A130="","",INDEX(HPP_ENGINE!$C:$C,MATCH(A130,HPP_ENGINE!$A:$A,0))),"")</f>
        <v/>
      </c>
      <c r="D130" s="119">
        <f t="array" ref="D130">IFERROR(IF(A130="",0,INDEX(PRODUCTION_PLAN!$D:$D,MATCH(A130,PRODUCTION_PLAN!$A:$A,0))),0)</f>
        <v>0</v>
      </c>
      <c r="E130" s="119">
        <f t="array" ref="E130">IFERROR(IF(A130="",0,INDEX(HPP_ENGINE!$D:$D,MATCH(A130,HPP_ENGINE!$A:$A,0))),0)</f>
        <v>0</v>
      </c>
      <c r="F130" s="119">
        <f>IFERROR(IF(A130="",0,SUMIFS(SALES_TRACKER!$E$4:$E$1003,SALES_TRACKER!$B$4:$B$1003,A130)),0)</f>
        <v>0</v>
      </c>
      <c r="G130" s="119">
        <f t="shared" si="1"/>
        <v>0</v>
      </c>
      <c r="H130" s="119">
        <f t="array" ref="H130">IFERROR(IF(A130="",0,INDEX(HPP_ENGINE!$I:$I,MATCH(A130,HPP_ENGINE!$A:$A,0))),0)</f>
        <v>0</v>
      </c>
      <c r="I130" s="119">
        <f>IFERROR(IF(A130="",0,SUMIFS(SALES_TRACKER!$G$4:$G$1003,SALES_TRACKER!$B$4:$B$1003,A130)),0)</f>
        <v>0</v>
      </c>
      <c r="J130" s="118">
        <f t="shared" si="2"/>
        <v>0</v>
      </c>
      <c r="K130" s="136">
        <f t="shared" si="3"/>
        <v>0</v>
      </c>
      <c r="L130" s="136">
        <f t="shared" si="4"/>
        <v>0</v>
      </c>
      <c r="M130" s="136">
        <f t="shared" si="5"/>
        <v>0</v>
      </c>
      <c r="N130" s="81" t="str">
        <f>IFERROR(IF(A130="","—",IF(COUNTIF(HPP_ENGINE!$A$4:$A$203,A130)=0,"⚠ BELUM DI HPP",IF(E130=0,"PLANNING",IF(M130&gt;=1,"SOLD OUT",IF(M130&gt;=0.7,"ON TRACK",IF(M130&gt;=0.3,"SLOW MOVE",IF(M130&gt;0,"STUCK","BELUM TERJUAL"))))))),"—")</f>
        <v>—</v>
      </c>
    </row>
    <row r="131" ht="18.75" customHeight="1">
      <c r="A131" s="72"/>
      <c r="B131" s="112" t="str">
        <f t="array" ref="B131">IFERROR(IF(A131="","",INDEX(HPP_ENGINE!$B:$B,MATCH(A131,HPP_ENGINE!$A:$A,0))),"")</f>
        <v/>
      </c>
      <c r="C131" s="137" t="str">
        <f t="array" ref="C131">IFERROR(IF(A131="","",INDEX(HPP_ENGINE!$C:$C,MATCH(A131,HPP_ENGINE!$A:$A,0))),"")</f>
        <v/>
      </c>
      <c r="D131" s="115">
        <f t="array" ref="D131">IFERROR(IF(A131="",0,INDEX(PRODUCTION_PLAN!$D:$D,MATCH(A131,PRODUCTION_PLAN!$A:$A,0))),0)</f>
        <v>0</v>
      </c>
      <c r="E131" s="115">
        <f t="array" ref="E131">IFERROR(IF(A131="",0,INDEX(HPP_ENGINE!$D:$D,MATCH(A131,HPP_ENGINE!$A:$A,0))),0)</f>
        <v>0</v>
      </c>
      <c r="F131" s="115">
        <f>IFERROR(IF(A131="",0,SUMIFS(SALES_TRACKER!$E$4:$E$1003,SALES_TRACKER!$B$4:$B$1003,A131)),0)</f>
        <v>0</v>
      </c>
      <c r="G131" s="115">
        <f t="shared" si="1"/>
        <v>0</v>
      </c>
      <c r="H131" s="115">
        <f t="array" ref="H131">IFERROR(IF(A131="",0,INDEX(HPP_ENGINE!$I:$I,MATCH(A131,HPP_ENGINE!$A:$A,0))),0)</f>
        <v>0</v>
      </c>
      <c r="I131" s="115">
        <f>IFERROR(IF(A131="",0,SUMIFS(SALES_TRACKER!$G$4:$G$1003,SALES_TRACKER!$B$4:$B$1003,A131)),0)</f>
        <v>0</v>
      </c>
      <c r="J131" s="114">
        <f t="shared" si="2"/>
        <v>0</v>
      </c>
      <c r="K131" s="133">
        <f t="shared" si="3"/>
        <v>0</v>
      </c>
      <c r="L131" s="133">
        <f t="shared" si="4"/>
        <v>0</v>
      </c>
      <c r="M131" s="133">
        <f t="shared" si="5"/>
        <v>0</v>
      </c>
      <c r="N131" s="76" t="str">
        <f>IFERROR(IF(A131="","—",IF(COUNTIF(HPP_ENGINE!$A$4:$A$203,A131)=0,"⚠ BELUM DI HPP",IF(E131=0,"PLANNING",IF(M131&gt;=1,"SOLD OUT",IF(M131&gt;=0.7,"ON TRACK",IF(M131&gt;=0.3,"SLOW MOVE",IF(M131&gt;0,"STUCK","BELUM TERJUAL"))))))),"—")</f>
        <v>—</v>
      </c>
    </row>
    <row r="132" ht="18.75" customHeight="1">
      <c r="A132" s="77"/>
      <c r="B132" s="116" t="str">
        <f t="array" ref="B132">IFERROR(IF(A132="","",INDEX(HPP_ENGINE!$B:$B,MATCH(A132,HPP_ENGINE!$A:$A,0))),"")</f>
        <v/>
      </c>
      <c r="C132" s="135" t="str">
        <f t="array" ref="C132">IFERROR(IF(A132="","",INDEX(HPP_ENGINE!$C:$C,MATCH(A132,HPP_ENGINE!$A:$A,0))),"")</f>
        <v/>
      </c>
      <c r="D132" s="119">
        <f t="array" ref="D132">IFERROR(IF(A132="",0,INDEX(PRODUCTION_PLAN!$D:$D,MATCH(A132,PRODUCTION_PLAN!$A:$A,0))),0)</f>
        <v>0</v>
      </c>
      <c r="E132" s="119">
        <f t="array" ref="E132">IFERROR(IF(A132="",0,INDEX(HPP_ENGINE!$D:$D,MATCH(A132,HPP_ENGINE!$A:$A,0))),0)</f>
        <v>0</v>
      </c>
      <c r="F132" s="119">
        <f>IFERROR(IF(A132="",0,SUMIFS(SALES_TRACKER!$E$4:$E$1003,SALES_TRACKER!$B$4:$B$1003,A132)),0)</f>
        <v>0</v>
      </c>
      <c r="G132" s="119">
        <f t="shared" si="1"/>
        <v>0</v>
      </c>
      <c r="H132" s="119">
        <f t="array" ref="H132">IFERROR(IF(A132="",0,INDEX(HPP_ENGINE!$I:$I,MATCH(A132,HPP_ENGINE!$A:$A,0))),0)</f>
        <v>0</v>
      </c>
      <c r="I132" s="119">
        <f>IFERROR(IF(A132="",0,SUMIFS(SALES_TRACKER!$G$4:$G$1003,SALES_TRACKER!$B$4:$B$1003,A132)),0)</f>
        <v>0</v>
      </c>
      <c r="J132" s="118">
        <f t="shared" si="2"/>
        <v>0</v>
      </c>
      <c r="K132" s="136">
        <f t="shared" si="3"/>
        <v>0</v>
      </c>
      <c r="L132" s="136">
        <f t="shared" si="4"/>
        <v>0</v>
      </c>
      <c r="M132" s="136">
        <f t="shared" si="5"/>
        <v>0</v>
      </c>
      <c r="N132" s="81" t="str">
        <f>IFERROR(IF(A132="","—",IF(COUNTIF(HPP_ENGINE!$A$4:$A$203,A132)=0,"⚠ BELUM DI HPP",IF(E132=0,"PLANNING",IF(M132&gt;=1,"SOLD OUT",IF(M132&gt;=0.7,"ON TRACK",IF(M132&gt;=0.3,"SLOW MOVE",IF(M132&gt;0,"STUCK","BELUM TERJUAL"))))))),"—")</f>
        <v>—</v>
      </c>
    </row>
    <row r="133" ht="18.75" customHeight="1">
      <c r="A133" s="72"/>
      <c r="B133" s="112" t="str">
        <f t="array" ref="B133">IFERROR(IF(A133="","",INDEX(HPP_ENGINE!$B:$B,MATCH(A133,HPP_ENGINE!$A:$A,0))),"")</f>
        <v/>
      </c>
      <c r="C133" s="137" t="str">
        <f t="array" ref="C133">IFERROR(IF(A133="","",INDEX(HPP_ENGINE!$C:$C,MATCH(A133,HPP_ENGINE!$A:$A,0))),"")</f>
        <v/>
      </c>
      <c r="D133" s="115">
        <f t="array" ref="D133">IFERROR(IF(A133="",0,INDEX(PRODUCTION_PLAN!$D:$D,MATCH(A133,PRODUCTION_PLAN!$A:$A,0))),0)</f>
        <v>0</v>
      </c>
      <c r="E133" s="115">
        <f t="array" ref="E133">IFERROR(IF(A133="",0,INDEX(HPP_ENGINE!$D:$D,MATCH(A133,HPP_ENGINE!$A:$A,0))),0)</f>
        <v>0</v>
      </c>
      <c r="F133" s="115">
        <f>IFERROR(IF(A133="",0,SUMIFS(SALES_TRACKER!$E$4:$E$1003,SALES_TRACKER!$B$4:$B$1003,A133)),0)</f>
        <v>0</v>
      </c>
      <c r="G133" s="115">
        <f t="shared" si="1"/>
        <v>0</v>
      </c>
      <c r="H133" s="115">
        <f t="array" ref="H133">IFERROR(IF(A133="",0,INDEX(HPP_ENGINE!$I:$I,MATCH(A133,HPP_ENGINE!$A:$A,0))),0)</f>
        <v>0</v>
      </c>
      <c r="I133" s="115">
        <f>IFERROR(IF(A133="",0,SUMIFS(SALES_TRACKER!$G$4:$G$1003,SALES_TRACKER!$B$4:$B$1003,A133)),0)</f>
        <v>0</v>
      </c>
      <c r="J133" s="114">
        <f t="shared" si="2"/>
        <v>0</v>
      </c>
      <c r="K133" s="133">
        <f t="shared" si="3"/>
        <v>0</v>
      </c>
      <c r="L133" s="133">
        <f t="shared" si="4"/>
        <v>0</v>
      </c>
      <c r="M133" s="133">
        <f t="shared" si="5"/>
        <v>0</v>
      </c>
      <c r="N133" s="76" t="str">
        <f>IFERROR(IF(A133="","—",IF(COUNTIF(HPP_ENGINE!$A$4:$A$203,A133)=0,"⚠ BELUM DI HPP",IF(E133=0,"PLANNING",IF(M133&gt;=1,"SOLD OUT",IF(M133&gt;=0.7,"ON TRACK",IF(M133&gt;=0.3,"SLOW MOVE",IF(M133&gt;0,"STUCK","BELUM TERJUAL"))))))),"—")</f>
        <v>—</v>
      </c>
    </row>
    <row r="134" ht="18.75" customHeight="1">
      <c r="A134" s="77"/>
      <c r="B134" s="116" t="str">
        <f t="array" ref="B134">IFERROR(IF(A134="","",INDEX(HPP_ENGINE!$B:$B,MATCH(A134,HPP_ENGINE!$A:$A,0))),"")</f>
        <v/>
      </c>
      <c r="C134" s="135" t="str">
        <f t="array" ref="C134">IFERROR(IF(A134="","",INDEX(HPP_ENGINE!$C:$C,MATCH(A134,HPP_ENGINE!$A:$A,0))),"")</f>
        <v/>
      </c>
      <c r="D134" s="119">
        <f t="array" ref="D134">IFERROR(IF(A134="",0,INDEX(PRODUCTION_PLAN!$D:$D,MATCH(A134,PRODUCTION_PLAN!$A:$A,0))),0)</f>
        <v>0</v>
      </c>
      <c r="E134" s="119">
        <f t="array" ref="E134">IFERROR(IF(A134="",0,INDEX(HPP_ENGINE!$D:$D,MATCH(A134,HPP_ENGINE!$A:$A,0))),0)</f>
        <v>0</v>
      </c>
      <c r="F134" s="119">
        <f>IFERROR(IF(A134="",0,SUMIFS(SALES_TRACKER!$E$4:$E$1003,SALES_TRACKER!$B$4:$B$1003,A134)),0)</f>
        <v>0</v>
      </c>
      <c r="G134" s="119">
        <f t="shared" si="1"/>
        <v>0</v>
      </c>
      <c r="H134" s="119">
        <f t="array" ref="H134">IFERROR(IF(A134="",0,INDEX(HPP_ENGINE!$I:$I,MATCH(A134,HPP_ENGINE!$A:$A,0))),0)</f>
        <v>0</v>
      </c>
      <c r="I134" s="119">
        <f>IFERROR(IF(A134="",0,SUMIFS(SALES_TRACKER!$G$4:$G$1003,SALES_TRACKER!$B$4:$B$1003,A134)),0)</f>
        <v>0</v>
      </c>
      <c r="J134" s="118">
        <f t="shared" si="2"/>
        <v>0</v>
      </c>
      <c r="K134" s="136">
        <f t="shared" si="3"/>
        <v>0</v>
      </c>
      <c r="L134" s="136">
        <f t="shared" si="4"/>
        <v>0</v>
      </c>
      <c r="M134" s="136">
        <f t="shared" si="5"/>
        <v>0</v>
      </c>
      <c r="N134" s="81" t="str">
        <f>IFERROR(IF(A134="","—",IF(COUNTIF(HPP_ENGINE!$A$4:$A$203,A134)=0,"⚠ BELUM DI HPP",IF(E134=0,"PLANNING",IF(M134&gt;=1,"SOLD OUT",IF(M134&gt;=0.7,"ON TRACK",IF(M134&gt;=0.3,"SLOW MOVE",IF(M134&gt;0,"STUCK","BELUM TERJUAL"))))))),"—")</f>
        <v>—</v>
      </c>
    </row>
    <row r="135" ht="18.75" customHeight="1">
      <c r="A135" s="72"/>
      <c r="B135" s="112" t="str">
        <f t="array" ref="B135">IFERROR(IF(A135="","",INDEX(HPP_ENGINE!$B:$B,MATCH(A135,HPP_ENGINE!$A:$A,0))),"")</f>
        <v/>
      </c>
      <c r="C135" s="137" t="str">
        <f t="array" ref="C135">IFERROR(IF(A135="","",INDEX(HPP_ENGINE!$C:$C,MATCH(A135,HPP_ENGINE!$A:$A,0))),"")</f>
        <v/>
      </c>
      <c r="D135" s="115">
        <f t="array" ref="D135">IFERROR(IF(A135="",0,INDEX(PRODUCTION_PLAN!$D:$D,MATCH(A135,PRODUCTION_PLAN!$A:$A,0))),0)</f>
        <v>0</v>
      </c>
      <c r="E135" s="115">
        <f t="array" ref="E135">IFERROR(IF(A135="",0,INDEX(HPP_ENGINE!$D:$D,MATCH(A135,HPP_ENGINE!$A:$A,0))),0)</f>
        <v>0</v>
      </c>
      <c r="F135" s="115">
        <f>IFERROR(IF(A135="",0,SUMIFS(SALES_TRACKER!$E$4:$E$1003,SALES_TRACKER!$B$4:$B$1003,A135)),0)</f>
        <v>0</v>
      </c>
      <c r="G135" s="115">
        <f t="shared" si="1"/>
        <v>0</v>
      </c>
      <c r="H135" s="115">
        <f t="array" ref="H135">IFERROR(IF(A135="",0,INDEX(HPP_ENGINE!$I:$I,MATCH(A135,HPP_ENGINE!$A:$A,0))),0)</f>
        <v>0</v>
      </c>
      <c r="I135" s="115">
        <f>IFERROR(IF(A135="",0,SUMIFS(SALES_TRACKER!$G$4:$G$1003,SALES_TRACKER!$B$4:$B$1003,A135)),0)</f>
        <v>0</v>
      </c>
      <c r="J135" s="114">
        <f t="shared" si="2"/>
        <v>0</v>
      </c>
      <c r="K135" s="133">
        <f t="shared" si="3"/>
        <v>0</v>
      </c>
      <c r="L135" s="133">
        <f t="shared" si="4"/>
        <v>0</v>
      </c>
      <c r="M135" s="133">
        <f t="shared" si="5"/>
        <v>0</v>
      </c>
      <c r="N135" s="76" t="str">
        <f>IFERROR(IF(A135="","—",IF(COUNTIF(HPP_ENGINE!$A$4:$A$203,A135)=0,"⚠ BELUM DI HPP",IF(E135=0,"PLANNING",IF(M135&gt;=1,"SOLD OUT",IF(M135&gt;=0.7,"ON TRACK",IF(M135&gt;=0.3,"SLOW MOVE",IF(M135&gt;0,"STUCK","BELUM TERJUAL"))))))),"—")</f>
        <v>—</v>
      </c>
    </row>
    <row r="136" ht="18.75" customHeight="1">
      <c r="A136" s="77"/>
      <c r="B136" s="116" t="str">
        <f t="array" ref="B136">IFERROR(IF(A136="","",INDEX(HPP_ENGINE!$B:$B,MATCH(A136,HPP_ENGINE!$A:$A,0))),"")</f>
        <v/>
      </c>
      <c r="C136" s="135" t="str">
        <f t="array" ref="C136">IFERROR(IF(A136="","",INDEX(HPP_ENGINE!$C:$C,MATCH(A136,HPP_ENGINE!$A:$A,0))),"")</f>
        <v/>
      </c>
      <c r="D136" s="119">
        <f t="array" ref="D136">IFERROR(IF(A136="",0,INDEX(PRODUCTION_PLAN!$D:$D,MATCH(A136,PRODUCTION_PLAN!$A:$A,0))),0)</f>
        <v>0</v>
      </c>
      <c r="E136" s="119">
        <f t="array" ref="E136">IFERROR(IF(A136="",0,INDEX(HPP_ENGINE!$D:$D,MATCH(A136,HPP_ENGINE!$A:$A,0))),0)</f>
        <v>0</v>
      </c>
      <c r="F136" s="119">
        <f>IFERROR(IF(A136="",0,SUMIFS(SALES_TRACKER!$E$4:$E$1003,SALES_TRACKER!$B$4:$B$1003,A136)),0)</f>
        <v>0</v>
      </c>
      <c r="G136" s="119">
        <f t="shared" si="1"/>
        <v>0</v>
      </c>
      <c r="H136" s="119">
        <f t="array" ref="H136">IFERROR(IF(A136="",0,INDEX(HPP_ENGINE!$I:$I,MATCH(A136,HPP_ENGINE!$A:$A,0))),0)</f>
        <v>0</v>
      </c>
      <c r="I136" s="119">
        <f>IFERROR(IF(A136="",0,SUMIFS(SALES_TRACKER!$G$4:$G$1003,SALES_TRACKER!$B$4:$B$1003,A136)),0)</f>
        <v>0</v>
      </c>
      <c r="J136" s="118">
        <f t="shared" si="2"/>
        <v>0</v>
      </c>
      <c r="K136" s="136">
        <f t="shared" si="3"/>
        <v>0</v>
      </c>
      <c r="L136" s="136">
        <f t="shared" si="4"/>
        <v>0</v>
      </c>
      <c r="M136" s="136">
        <f t="shared" si="5"/>
        <v>0</v>
      </c>
      <c r="N136" s="81" t="str">
        <f>IFERROR(IF(A136="","—",IF(COUNTIF(HPP_ENGINE!$A$4:$A$203,A136)=0,"⚠ BELUM DI HPP",IF(E136=0,"PLANNING",IF(M136&gt;=1,"SOLD OUT",IF(M136&gt;=0.7,"ON TRACK",IF(M136&gt;=0.3,"SLOW MOVE",IF(M136&gt;0,"STUCK","BELUM TERJUAL"))))))),"—")</f>
        <v>—</v>
      </c>
    </row>
    <row r="137" ht="18.75" customHeight="1">
      <c r="A137" s="72"/>
      <c r="B137" s="112" t="str">
        <f t="array" ref="B137">IFERROR(IF(A137="","",INDEX(HPP_ENGINE!$B:$B,MATCH(A137,HPP_ENGINE!$A:$A,0))),"")</f>
        <v/>
      </c>
      <c r="C137" s="137" t="str">
        <f t="array" ref="C137">IFERROR(IF(A137="","",INDEX(HPP_ENGINE!$C:$C,MATCH(A137,HPP_ENGINE!$A:$A,0))),"")</f>
        <v/>
      </c>
      <c r="D137" s="115">
        <f t="array" ref="D137">IFERROR(IF(A137="",0,INDEX(PRODUCTION_PLAN!$D:$D,MATCH(A137,PRODUCTION_PLAN!$A:$A,0))),0)</f>
        <v>0</v>
      </c>
      <c r="E137" s="115">
        <f t="array" ref="E137">IFERROR(IF(A137="",0,INDEX(HPP_ENGINE!$D:$D,MATCH(A137,HPP_ENGINE!$A:$A,0))),0)</f>
        <v>0</v>
      </c>
      <c r="F137" s="115">
        <f>IFERROR(IF(A137="",0,SUMIFS(SALES_TRACKER!$E$4:$E$1003,SALES_TRACKER!$B$4:$B$1003,A137)),0)</f>
        <v>0</v>
      </c>
      <c r="G137" s="115">
        <f t="shared" si="1"/>
        <v>0</v>
      </c>
      <c r="H137" s="115">
        <f t="array" ref="H137">IFERROR(IF(A137="",0,INDEX(HPP_ENGINE!$I:$I,MATCH(A137,HPP_ENGINE!$A:$A,0))),0)</f>
        <v>0</v>
      </c>
      <c r="I137" s="115">
        <f>IFERROR(IF(A137="",0,SUMIFS(SALES_TRACKER!$G$4:$G$1003,SALES_TRACKER!$B$4:$B$1003,A137)),0)</f>
        <v>0</v>
      </c>
      <c r="J137" s="114">
        <f t="shared" si="2"/>
        <v>0</v>
      </c>
      <c r="K137" s="133">
        <f t="shared" si="3"/>
        <v>0</v>
      </c>
      <c r="L137" s="133">
        <f t="shared" si="4"/>
        <v>0</v>
      </c>
      <c r="M137" s="133">
        <f t="shared" si="5"/>
        <v>0</v>
      </c>
      <c r="N137" s="76" t="str">
        <f>IFERROR(IF(A137="","—",IF(COUNTIF(HPP_ENGINE!$A$4:$A$203,A137)=0,"⚠ BELUM DI HPP",IF(E137=0,"PLANNING",IF(M137&gt;=1,"SOLD OUT",IF(M137&gt;=0.7,"ON TRACK",IF(M137&gt;=0.3,"SLOW MOVE",IF(M137&gt;0,"STUCK","BELUM TERJUAL"))))))),"—")</f>
        <v>—</v>
      </c>
    </row>
    <row r="138" ht="18.75" customHeight="1">
      <c r="A138" s="77"/>
      <c r="B138" s="116" t="str">
        <f t="array" ref="B138">IFERROR(IF(A138="","",INDEX(HPP_ENGINE!$B:$B,MATCH(A138,HPP_ENGINE!$A:$A,0))),"")</f>
        <v/>
      </c>
      <c r="C138" s="135" t="str">
        <f t="array" ref="C138">IFERROR(IF(A138="","",INDEX(HPP_ENGINE!$C:$C,MATCH(A138,HPP_ENGINE!$A:$A,0))),"")</f>
        <v/>
      </c>
      <c r="D138" s="119">
        <f t="array" ref="D138">IFERROR(IF(A138="",0,INDEX(PRODUCTION_PLAN!$D:$D,MATCH(A138,PRODUCTION_PLAN!$A:$A,0))),0)</f>
        <v>0</v>
      </c>
      <c r="E138" s="119">
        <f t="array" ref="E138">IFERROR(IF(A138="",0,INDEX(HPP_ENGINE!$D:$D,MATCH(A138,HPP_ENGINE!$A:$A,0))),0)</f>
        <v>0</v>
      </c>
      <c r="F138" s="119">
        <f>IFERROR(IF(A138="",0,SUMIFS(SALES_TRACKER!$E$4:$E$1003,SALES_TRACKER!$B$4:$B$1003,A138)),0)</f>
        <v>0</v>
      </c>
      <c r="G138" s="119">
        <f t="shared" si="1"/>
        <v>0</v>
      </c>
      <c r="H138" s="119">
        <f t="array" ref="H138">IFERROR(IF(A138="",0,INDEX(HPP_ENGINE!$I:$I,MATCH(A138,HPP_ENGINE!$A:$A,0))),0)</f>
        <v>0</v>
      </c>
      <c r="I138" s="119">
        <f>IFERROR(IF(A138="",0,SUMIFS(SALES_TRACKER!$G$4:$G$1003,SALES_TRACKER!$B$4:$B$1003,A138)),0)</f>
        <v>0</v>
      </c>
      <c r="J138" s="118">
        <f t="shared" si="2"/>
        <v>0</v>
      </c>
      <c r="K138" s="136">
        <f t="shared" si="3"/>
        <v>0</v>
      </c>
      <c r="L138" s="136">
        <f t="shared" si="4"/>
        <v>0</v>
      </c>
      <c r="M138" s="136">
        <f t="shared" si="5"/>
        <v>0</v>
      </c>
      <c r="N138" s="81" t="str">
        <f>IFERROR(IF(A138="","—",IF(COUNTIF(HPP_ENGINE!$A$4:$A$203,A138)=0,"⚠ BELUM DI HPP",IF(E138=0,"PLANNING",IF(M138&gt;=1,"SOLD OUT",IF(M138&gt;=0.7,"ON TRACK",IF(M138&gt;=0.3,"SLOW MOVE",IF(M138&gt;0,"STUCK","BELUM TERJUAL"))))))),"—")</f>
        <v>—</v>
      </c>
    </row>
    <row r="139" ht="18.75" customHeight="1">
      <c r="A139" s="72"/>
      <c r="B139" s="112" t="str">
        <f t="array" ref="B139">IFERROR(IF(A139="","",INDEX(HPP_ENGINE!$B:$B,MATCH(A139,HPP_ENGINE!$A:$A,0))),"")</f>
        <v/>
      </c>
      <c r="C139" s="137" t="str">
        <f t="array" ref="C139">IFERROR(IF(A139="","",INDEX(HPP_ENGINE!$C:$C,MATCH(A139,HPP_ENGINE!$A:$A,0))),"")</f>
        <v/>
      </c>
      <c r="D139" s="115">
        <f t="array" ref="D139">IFERROR(IF(A139="",0,INDEX(PRODUCTION_PLAN!$D:$D,MATCH(A139,PRODUCTION_PLAN!$A:$A,0))),0)</f>
        <v>0</v>
      </c>
      <c r="E139" s="115">
        <f t="array" ref="E139">IFERROR(IF(A139="",0,INDEX(HPP_ENGINE!$D:$D,MATCH(A139,HPP_ENGINE!$A:$A,0))),0)</f>
        <v>0</v>
      </c>
      <c r="F139" s="115">
        <f>IFERROR(IF(A139="",0,SUMIFS(SALES_TRACKER!$E$4:$E$1003,SALES_TRACKER!$B$4:$B$1003,A139)),0)</f>
        <v>0</v>
      </c>
      <c r="G139" s="115">
        <f t="shared" si="1"/>
        <v>0</v>
      </c>
      <c r="H139" s="115">
        <f t="array" ref="H139">IFERROR(IF(A139="",0,INDEX(HPP_ENGINE!$I:$I,MATCH(A139,HPP_ENGINE!$A:$A,0))),0)</f>
        <v>0</v>
      </c>
      <c r="I139" s="115">
        <f>IFERROR(IF(A139="",0,SUMIFS(SALES_TRACKER!$G$4:$G$1003,SALES_TRACKER!$B$4:$B$1003,A139)),0)</f>
        <v>0</v>
      </c>
      <c r="J139" s="114">
        <f t="shared" si="2"/>
        <v>0</v>
      </c>
      <c r="K139" s="133">
        <f t="shared" si="3"/>
        <v>0</v>
      </c>
      <c r="L139" s="133">
        <f t="shared" si="4"/>
        <v>0</v>
      </c>
      <c r="M139" s="133">
        <f t="shared" si="5"/>
        <v>0</v>
      </c>
      <c r="N139" s="76" t="str">
        <f>IFERROR(IF(A139="","—",IF(COUNTIF(HPP_ENGINE!$A$4:$A$203,A139)=0,"⚠ BELUM DI HPP",IF(E139=0,"PLANNING",IF(M139&gt;=1,"SOLD OUT",IF(M139&gt;=0.7,"ON TRACK",IF(M139&gt;=0.3,"SLOW MOVE",IF(M139&gt;0,"STUCK","BELUM TERJUAL"))))))),"—")</f>
        <v>—</v>
      </c>
    </row>
    <row r="140" ht="18.75" customHeight="1">
      <c r="A140" s="77"/>
      <c r="B140" s="116" t="str">
        <f t="array" ref="B140">IFERROR(IF(A140="","",INDEX(HPP_ENGINE!$B:$B,MATCH(A140,HPP_ENGINE!$A:$A,0))),"")</f>
        <v/>
      </c>
      <c r="C140" s="135" t="str">
        <f t="array" ref="C140">IFERROR(IF(A140="","",INDEX(HPP_ENGINE!$C:$C,MATCH(A140,HPP_ENGINE!$A:$A,0))),"")</f>
        <v/>
      </c>
      <c r="D140" s="119">
        <f t="array" ref="D140">IFERROR(IF(A140="",0,INDEX(PRODUCTION_PLAN!$D:$D,MATCH(A140,PRODUCTION_PLAN!$A:$A,0))),0)</f>
        <v>0</v>
      </c>
      <c r="E140" s="119">
        <f t="array" ref="E140">IFERROR(IF(A140="",0,INDEX(HPP_ENGINE!$D:$D,MATCH(A140,HPP_ENGINE!$A:$A,0))),0)</f>
        <v>0</v>
      </c>
      <c r="F140" s="119">
        <f>IFERROR(IF(A140="",0,SUMIFS(SALES_TRACKER!$E$4:$E$1003,SALES_TRACKER!$B$4:$B$1003,A140)),0)</f>
        <v>0</v>
      </c>
      <c r="G140" s="119">
        <f t="shared" si="1"/>
        <v>0</v>
      </c>
      <c r="H140" s="119">
        <f t="array" ref="H140">IFERROR(IF(A140="",0,INDEX(HPP_ENGINE!$I:$I,MATCH(A140,HPP_ENGINE!$A:$A,0))),0)</f>
        <v>0</v>
      </c>
      <c r="I140" s="119">
        <f>IFERROR(IF(A140="",0,SUMIFS(SALES_TRACKER!$G$4:$G$1003,SALES_TRACKER!$B$4:$B$1003,A140)),0)</f>
        <v>0</v>
      </c>
      <c r="J140" s="118">
        <f t="shared" si="2"/>
        <v>0</v>
      </c>
      <c r="K140" s="136">
        <f t="shared" si="3"/>
        <v>0</v>
      </c>
      <c r="L140" s="136">
        <f t="shared" si="4"/>
        <v>0</v>
      </c>
      <c r="M140" s="136">
        <f t="shared" si="5"/>
        <v>0</v>
      </c>
      <c r="N140" s="81" t="str">
        <f>IFERROR(IF(A140="","—",IF(COUNTIF(HPP_ENGINE!$A$4:$A$203,A140)=0,"⚠ BELUM DI HPP",IF(E140=0,"PLANNING",IF(M140&gt;=1,"SOLD OUT",IF(M140&gt;=0.7,"ON TRACK",IF(M140&gt;=0.3,"SLOW MOVE",IF(M140&gt;0,"STUCK","BELUM TERJUAL"))))))),"—")</f>
        <v>—</v>
      </c>
    </row>
    <row r="141" ht="18.75" customHeight="1">
      <c r="A141" s="72"/>
      <c r="B141" s="112" t="str">
        <f t="array" ref="B141">IFERROR(IF(A141="","",INDEX(HPP_ENGINE!$B:$B,MATCH(A141,HPP_ENGINE!$A:$A,0))),"")</f>
        <v/>
      </c>
      <c r="C141" s="137" t="str">
        <f t="array" ref="C141">IFERROR(IF(A141="","",INDEX(HPP_ENGINE!$C:$C,MATCH(A141,HPP_ENGINE!$A:$A,0))),"")</f>
        <v/>
      </c>
      <c r="D141" s="115">
        <f t="array" ref="D141">IFERROR(IF(A141="",0,INDEX(PRODUCTION_PLAN!$D:$D,MATCH(A141,PRODUCTION_PLAN!$A:$A,0))),0)</f>
        <v>0</v>
      </c>
      <c r="E141" s="115">
        <f t="array" ref="E141">IFERROR(IF(A141="",0,INDEX(HPP_ENGINE!$D:$D,MATCH(A141,HPP_ENGINE!$A:$A,0))),0)</f>
        <v>0</v>
      </c>
      <c r="F141" s="115">
        <f>IFERROR(IF(A141="",0,SUMIFS(SALES_TRACKER!$E$4:$E$1003,SALES_TRACKER!$B$4:$B$1003,A141)),0)</f>
        <v>0</v>
      </c>
      <c r="G141" s="115">
        <f t="shared" si="1"/>
        <v>0</v>
      </c>
      <c r="H141" s="115">
        <f t="array" ref="H141">IFERROR(IF(A141="",0,INDEX(HPP_ENGINE!$I:$I,MATCH(A141,HPP_ENGINE!$A:$A,0))),0)</f>
        <v>0</v>
      </c>
      <c r="I141" s="115">
        <f>IFERROR(IF(A141="",0,SUMIFS(SALES_TRACKER!$G$4:$G$1003,SALES_TRACKER!$B$4:$B$1003,A141)),0)</f>
        <v>0</v>
      </c>
      <c r="J141" s="114">
        <f t="shared" si="2"/>
        <v>0</v>
      </c>
      <c r="K141" s="133">
        <f t="shared" si="3"/>
        <v>0</v>
      </c>
      <c r="L141" s="133">
        <f t="shared" si="4"/>
        <v>0</v>
      </c>
      <c r="M141" s="133">
        <f t="shared" si="5"/>
        <v>0</v>
      </c>
      <c r="N141" s="76" t="str">
        <f>IFERROR(IF(A141="","—",IF(COUNTIF(HPP_ENGINE!$A$4:$A$203,A141)=0,"⚠ BELUM DI HPP",IF(E141=0,"PLANNING",IF(M141&gt;=1,"SOLD OUT",IF(M141&gt;=0.7,"ON TRACK",IF(M141&gt;=0.3,"SLOW MOVE",IF(M141&gt;0,"STUCK","BELUM TERJUAL"))))))),"—")</f>
        <v>—</v>
      </c>
    </row>
    <row r="142" ht="18.75" customHeight="1">
      <c r="A142" s="77"/>
      <c r="B142" s="116" t="str">
        <f t="array" ref="B142">IFERROR(IF(A142="","",INDEX(HPP_ENGINE!$B:$B,MATCH(A142,HPP_ENGINE!$A:$A,0))),"")</f>
        <v/>
      </c>
      <c r="C142" s="135" t="str">
        <f t="array" ref="C142">IFERROR(IF(A142="","",INDEX(HPP_ENGINE!$C:$C,MATCH(A142,HPP_ENGINE!$A:$A,0))),"")</f>
        <v/>
      </c>
      <c r="D142" s="119">
        <f t="array" ref="D142">IFERROR(IF(A142="",0,INDEX(PRODUCTION_PLAN!$D:$D,MATCH(A142,PRODUCTION_PLAN!$A:$A,0))),0)</f>
        <v>0</v>
      </c>
      <c r="E142" s="119">
        <f t="array" ref="E142">IFERROR(IF(A142="",0,INDEX(HPP_ENGINE!$D:$D,MATCH(A142,HPP_ENGINE!$A:$A,0))),0)</f>
        <v>0</v>
      </c>
      <c r="F142" s="119">
        <f>IFERROR(IF(A142="",0,SUMIFS(SALES_TRACKER!$E$4:$E$1003,SALES_TRACKER!$B$4:$B$1003,A142)),0)</f>
        <v>0</v>
      </c>
      <c r="G142" s="119">
        <f t="shared" si="1"/>
        <v>0</v>
      </c>
      <c r="H142" s="119">
        <f t="array" ref="H142">IFERROR(IF(A142="",0,INDEX(HPP_ENGINE!$I:$I,MATCH(A142,HPP_ENGINE!$A:$A,0))),0)</f>
        <v>0</v>
      </c>
      <c r="I142" s="119">
        <f>IFERROR(IF(A142="",0,SUMIFS(SALES_TRACKER!$G$4:$G$1003,SALES_TRACKER!$B$4:$B$1003,A142)),0)</f>
        <v>0</v>
      </c>
      <c r="J142" s="118">
        <f t="shared" si="2"/>
        <v>0</v>
      </c>
      <c r="K142" s="136">
        <f t="shared" si="3"/>
        <v>0</v>
      </c>
      <c r="L142" s="136">
        <f t="shared" si="4"/>
        <v>0</v>
      </c>
      <c r="M142" s="136">
        <f t="shared" si="5"/>
        <v>0</v>
      </c>
      <c r="N142" s="81" t="str">
        <f>IFERROR(IF(A142="","—",IF(COUNTIF(HPP_ENGINE!$A$4:$A$203,A142)=0,"⚠ BELUM DI HPP",IF(E142=0,"PLANNING",IF(M142&gt;=1,"SOLD OUT",IF(M142&gt;=0.7,"ON TRACK",IF(M142&gt;=0.3,"SLOW MOVE",IF(M142&gt;0,"STUCK","BELUM TERJUAL"))))))),"—")</f>
        <v>—</v>
      </c>
    </row>
    <row r="143" ht="18.75" customHeight="1">
      <c r="A143" s="72"/>
      <c r="B143" s="112" t="str">
        <f t="array" ref="B143">IFERROR(IF(A143="","",INDEX(HPP_ENGINE!$B:$B,MATCH(A143,HPP_ENGINE!$A:$A,0))),"")</f>
        <v/>
      </c>
      <c r="C143" s="137" t="str">
        <f t="array" ref="C143">IFERROR(IF(A143="","",INDEX(HPP_ENGINE!$C:$C,MATCH(A143,HPP_ENGINE!$A:$A,0))),"")</f>
        <v/>
      </c>
      <c r="D143" s="115">
        <f t="array" ref="D143">IFERROR(IF(A143="",0,INDEX(PRODUCTION_PLAN!$D:$D,MATCH(A143,PRODUCTION_PLAN!$A:$A,0))),0)</f>
        <v>0</v>
      </c>
      <c r="E143" s="115">
        <f t="array" ref="E143">IFERROR(IF(A143="",0,INDEX(HPP_ENGINE!$D:$D,MATCH(A143,HPP_ENGINE!$A:$A,0))),0)</f>
        <v>0</v>
      </c>
      <c r="F143" s="115">
        <f>IFERROR(IF(A143="",0,SUMIFS(SALES_TRACKER!$E$4:$E$1003,SALES_TRACKER!$B$4:$B$1003,A143)),0)</f>
        <v>0</v>
      </c>
      <c r="G143" s="115">
        <f t="shared" si="1"/>
        <v>0</v>
      </c>
      <c r="H143" s="115">
        <f t="array" ref="H143">IFERROR(IF(A143="",0,INDEX(HPP_ENGINE!$I:$I,MATCH(A143,HPP_ENGINE!$A:$A,0))),0)</f>
        <v>0</v>
      </c>
      <c r="I143" s="115">
        <f>IFERROR(IF(A143="",0,SUMIFS(SALES_TRACKER!$G$4:$G$1003,SALES_TRACKER!$B$4:$B$1003,A143)),0)</f>
        <v>0</v>
      </c>
      <c r="J143" s="114">
        <f t="shared" si="2"/>
        <v>0</v>
      </c>
      <c r="K143" s="133">
        <f t="shared" si="3"/>
        <v>0</v>
      </c>
      <c r="L143" s="133">
        <f t="shared" si="4"/>
        <v>0</v>
      </c>
      <c r="M143" s="133">
        <f t="shared" si="5"/>
        <v>0</v>
      </c>
      <c r="N143" s="76" t="str">
        <f>IFERROR(IF(A143="","—",IF(COUNTIF(HPP_ENGINE!$A$4:$A$203,A143)=0,"⚠ BELUM DI HPP",IF(E143=0,"PLANNING",IF(M143&gt;=1,"SOLD OUT",IF(M143&gt;=0.7,"ON TRACK",IF(M143&gt;=0.3,"SLOW MOVE",IF(M143&gt;0,"STUCK","BELUM TERJUAL"))))))),"—")</f>
        <v>—</v>
      </c>
    </row>
    <row r="144" ht="18.75" customHeight="1">
      <c r="A144" s="77"/>
      <c r="B144" s="116" t="str">
        <f t="array" ref="B144">IFERROR(IF(A144="","",INDEX(HPP_ENGINE!$B:$B,MATCH(A144,HPP_ENGINE!$A:$A,0))),"")</f>
        <v/>
      </c>
      <c r="C144" s="135" t="str">
        <f t="array" ref="C144">IFERROR(IF(A144="","",INDEX(HPP_ENGINE!$C:$C,MATCH(A144,HPP_ENGINE!$A:$A,0))),"")</f>
        <v/>
      </c>
      <c r="D144" s="119">
        <f t="array" ref="D144">IFERROR(IF(A144="",0,INDEX(PRODUCTION_PLAN!$D:$D,MATCH(A144,PRODUCTION_PLAN!$A:$A,0))),0)</f>
        <v>0</v>
      </c>
      <c r="E144" s="119">
        <f t="array" ref="E144">IFERROR(IF(A144="",0,INDEX(HPP_ENGINE!$D:$D,MATCH(A144,HPP_ENGINE!$A:$A,0))),0)</f>
        <v>0</v>
      </c>
      <c r="F144" s="119">
        <f>IFERROR(IF(A144="",0,SUMIFS(SALES_TRACKER!$E$4:$E$1003,SALES_TRACKER!$B$4:$B$1003,A144)),0)</f>
        <v>0</v>
      </c>
      <c r="G144" s="119">
        <f t="shared" si="1"/>
        <v>0</v>
      </c>
      <c r="H144" s="119">
        <f t="array" ref="H144">IFERROR(IF(A144="",0,INDEX(HPP_ENGINE!$I:$I,MATCH(A144,HPP_ENGINE!$A:$A,0))),0)</f>
        <v>0</v>
      </c>
      <c r="I144" s="119">
        <f>IFERROR(IF(A144="",0,SUMIFS(SALES_TRACKER!$G$4:$G$1003,SALES_TRACKER!$B$4:$B$1003,A144)),0)</f>
        <v>0</v>
      </c>
      <c r="J144" s="118">
        <f t="shared" si="2"/>
        <v>0</v>
      </c>
      <c r="K144" s="136">
        <f t="shared" si="3"/>
        <v>0</v>
      </c>
      <c r="L144" s="136">
        <f t="shared" si="4"/>
        <v>0</v>
      </c>
      <c r="M144" s="136">
        <f t="shared" si="5"/>
        <v>0</v>
      </c>
      <c r="N144" s="81" t="str">
        <f>IFERROR(IF(A144="","—",IF(COUNTIF(HPP_ENGINE!$A$4:$A$203,A144)=0,"⚠ BELUM DI HPP",IF(E144=0,"PLANNING",IF(M144&gt;=1,"SOLD OUT",IF(M144&gt;=0.7,"ON TRACK",IF(M144&gt;=0.3,"SLOW MOVE",IF(M144&gt;0,"STUCK","BELUM TERJUAL"))))))),"—")</f>
        <v>—</v>
      </c>
    </row>
    <row r="145" ht="18.75" customHeight="1">
      <c r="A145" s="72"/>
      <c r="B145" s="112" t="str">
        <f t="array" ref="B145">IFERROR(IF(A145="","",INDEX(HPP_ENGINE!$B:$B,MATCH(A145,HPP_ENGINE!$A:$A,0))),"")</f>
        <v/>
      </c>
      <c r="C145" s="137" t="str">
        <f t="array" ref="C145">IFERROR(IF(A145="","",INDEX(HPP_ENGINE!$C:$C,MATCH(A145,HPP_ENGINE!$A:$A,0))),"")</f>
        <v/>
      </c>
      <c r="D145" s="115">
        <f t="array" ref="D145">IFERROR(IF(A145="",0,INDEX(PRODUCTION_PLAN!$D:$D,MATCH(A145,PRODUCTION_PLAN!$A:$A,0))),0)</f>
        <v>0</v>
      </c>
      <c r="E145" s="115">
        <f t="array" ref="E145">IFERROR(IF(A145="",0,INDEX(HPP_ENGINE!$D:$D,MATCH(A145,HPP_ENGINE!$A:$A,0))),0)</f>
        <v>0</v>
      </c>
      <c r="F145" s="115">
        <f>IFERROR(IF(A145="",0,SUMIFS(SALES_TRACKER!$E$4:$E$1003,SALES_TRACKER!$B$4:$B$1003,A145)),0)</f>
        <v>0</v>
      </c>
      <c r="G145" s="115">
        <f t="shared" si="1"/>
        <v>0</v>
      </c>
      <c r="H145" s="115">
        <f t="array" ref="H145">IFERROR(IF(A145="",0,INDEX(HPP_ENGINE!$I:$I,MATCH(A145,HPP_ENGINE!$A:$A,0))),0)</f>
        <v>0</v>
      </c>
      <c r="I145" s="115">
        <f>IFERROR(IF(A145="",0,SUMIFS(SALES_TRACKER!$G$4:$G$1003,SALES_TRACKER!$B$4:$B$1003,A145)),0)</f>
        <v>0</v>
      </c>
      <c r="J145" s="114">
        <f t="shared" si="2"/>
        <v>0</v>
      </c>
      <c r="K145" s="133">
        <f t="shared" si="3"/>
        <v>0</v>
      </c>
      <c r="L145" s="133">
        <f t="shared" si="4"/>
        <v>0</v>
      </c>
      <c r="M145" s="133">
        <f t="shared" si="5"/>
        <v>0</v>
      </c>
      <c r="N145" s="76" t="str">
        <f>IFERROR(IF(A145="","—",IF(COUNTIF(HPP_ENGINE!$A$4:$A$203,A145)=0,"⚠ BELUM DI HPP",IF(E145=0,"PLANNING",IF(M145&gt;=1,"SOLD OUT",IF(M145&gt;=0.7,"ON TRACK",IF(M145&gt;=0.3,"SLOW MOVE",IF(M145&gt;0,"STUCK","BELUM TERJUAL"))))))),"—")</f>
        <v>—</v>
      </c>
    </row>
    <row r="146" ht="18.75" customHeight="1">
      <c r="A146" s="77"/>
      <c r="B146" s="116" t="str">
        <f t="array" ref="B146">IFERROR(IF(A146="","",INDEX(HPP_ENGINE!$B:$B,MATCH(A146,HPP_ENGINE!$A:$A,0))),"")</f>
        <v/>
      </c>
      <c r="C146" s="135" t="str">
        <f t="array" ref="C146">IFERROR(IF(A146="","",INDEX(HPP_ENGINE!$C:$C,MATCH(A146,HPP_ENGINE!$A:$A,0))),"")</f>
        <v/>
      </c>
      <c r="D146" s="119">
        <f t="array" ref="D146">IFERROR(IF(A146="",0,INDEX(PRODUCTION_PLAN!$D:$D,MATCH(A146,PRODUCTION_PLAN!$A:$A,0))),0)</f>
        <v>0</v>
      </c>
      <c r="E146" s="119">
        <f t="array" ref="E146">IFERROR(IF(A146="",0,INDEX(HPP_ENGINE!$D:$D,MATCH(A146,HPP_ENGINE!$A:$A,0))),0)</f>
        <v>0</v>
      </c>
      <c r="F146" s="119">
        <f>IFERROR(IF(A146="",0,SUMIFS(SALES_TRACKER!$E$4:$E$1003,SALES_TRACKER!$B$4:$B$1003,A146)),0)</f>
        <v>0</v>
      </c>
      <c r="G146" s="119">
        <f t="shared" si="1"/>
        <v>0</v>
      </c>
      <c r="H146" s="119">
        <f t="array" ref="H146">IFERROR(IF(A146="",0,INDEX(HPP_ENGINE!$I:$I,MATCH(A146,HPP_ENGINE!$A:$A,0))),0)</f>
        <v>0</v>
      </c>
      <c r="I146" s="119">
        <f>IFERROR(IF(A146="",0,SUMIFS(SALES_TRACKER!$G$4:$G$1003,SALES_TRACKER!$B$4:$B$1003,A146)),0)</f>
        <v>0</v>
      </c>
      <c r="J146" s="118">
        <f t="shared" si="2"/>
        <v>0</v>
      </c>
      <c r="K146" s="136">
        <f t="shared" si="3"/>
        <v>0</v>
      </c>
      <c r="L146" s="136">
        <f t="shared" si="4"/>
        <v>0</v>
      </c>
      <c r="M146" s="136">
        <f t="shared" si="5"/>
        <v>0</v>
      </c>
      <c r="N146" s="81" t="str">
        <f>IFERROR(IF(A146="","—",IF(COUNTIF(HPP_ENGINE!$A$4:$A$203,A146)=0,"⚠ BELUM DI HPP",IF(E146=0,"PLANNING",IF(M146&gt;=1,"SOLD OUT",IF(M146&gt;=0.7,"ON TRACK",IF(M146&gt;=0.3,"SLOW MOVE",IF(M146&gt;0,"STUCK","BELUM TERJUAL"))))))),"—")</f>
        <v>—</v>
      </c>
    </row>
    <row r="147" ht="18.75" customHeight="1">
      <c r="A147" s="72"/>
      <c r="B147" s="112" t="str">
        <f t="array" ref="B147">IFERROR(IF(A147="","",INDEX(HPP_ENGINE!$B:$B,MATCH(A147,HPP_ENGINE!$A:$A,0))),"")</f>
        <v/>
      </c>
      <c r="C147" s="137" t="str">
        <f t="array" ref="C147">IFERROR(IF(A147="","",INDEX(HPP_ENGINE!$C:$C,MATCH(A147,HPP_ENGINE!$A:$A,0))),"")</f>
        <v/>
      </c>
      <c r="D147" s="115">
        <f t="array" ref="D147">IFERROR(IF(A147="",0,INDEX(PRODUCTION_PLAN!$D:$D,MATCH(A147,PRODUCTION_PLAN!$A:$A,0))),0)</f>
        <v>0</v>
      </c>
      <c r="E147" s="115">
        <f t="array" ref="E147">IFERROR(IF(A147="",0,INDEX(HPP_ENGINE!$D:$D,MATCH(A147,HPP_ENGINE!$A:$A,0))),0)</f>
        <v>0</v>
      </c>
      <c r="F147" s="115">
        <f>IFERROR(IF(A147="",0,SUMIFS(SALES_TRACKER!$E$4:$E$1003,SALES_TRACKER!$B$4:$B$1003,A147)),0)</f>
        <v>0</v>
      </c>
      <c r="G147" s="115">
        <f t="shared" si="1"/>
        <v>0</v>
      </c>
      <c r="H147" s="115">
        <f t="array" ref="H147">IFERROR(IF(A147="",0,INDEX(HPP_ENGINE!$I:$I,MATCH(A147,HPP_ENGINE!$A:$A,0))),0)</f>
        <v>0</v>
      </c>
      <c r="I147" s="115">
        <f>IFERROR(IF(A147="",0,SUMIFS(SALES_TRACKER!$G$4:$G$1003,SALES_TRACKER!$B$4:$B$1003,A147)),0)</f>
        <v>0</v>
      </c>
      <c r="J147" s="114">
        <f t="shared" si="2"/>
        <v>0</v>
      </c>
      <c r="K147" s="133">
        <f t="shared" si="3"/>
        <v>0</v>
      </c>
      <c r="L147" s="133">
        <f t="shared" si="4"/>
        <v>0</v>
      </c>
      <c r="M147" s="133">
        <f t="shared" si="5"/>
        <v>0</v>
      </c>
      <c r="N147" s="76" t="str">
        <f>IFERROR(IF(A147="","—",IF(COUNTIF(HPP_ENGINE!$A$4:$A$203,A147)=0,"⚠ BELUM DI HPP",IF(E147=0,"PLANNING",IF(M147&gt;=1,"SOLD OUT",IF(M147&gt;=0.7,"ON TRACK",IF(M147&gt;=0.3,"SLOW MOVE",IF(M147&gt;0,"STUCK","BELUM TERJUAL"))))))),"—")</f>
        <v>—</v>
      </c>
    </row>
    <row r="148" ht="18.75" customHeight="1">
      <c r="A148" s="77"/>
      <c r="B148" s="116" t="str">
        <f t="array" ref="B148">IFERROR(IF(A148="","",INDEX(HPP_ENGINE!$B:$B,MATCH(A148,HPP_ENGINE!$A:$A,0))),"")</f>
        <v/>
      </c>
      <c r="C148" s="135" t="str">
        <f t="array" ref="C148">IFERROR(IF(A148="","",INDEX(HPP_ENGINE!$C:$C,MATCH(A148,HPP_ENGINE!$A:$A,0))),"")</f>
        <v/>
      </c>
      <c r="D148" s="119">
        <f t="array" ref="D148">IFERROR(IF(A148="",0,INDEX(PRODUCTION_PLAN!$D:$D,MATCH(A148,PRODUCTION_PLAN!$A:$A,0))),0)</f>
        <v>0</v>
      </c>
      <c r="E148" s="119">
        <f t="array" ref="E148">IFERROR(IF(A148="",0,INDEX(HPP_ENGINE!$D:$D,MATCH(A148,HPP_ENGINE!$A:$A,0))),0)</f>
        <v>0</v>
      </c>
      <c r="F148" s="119">
        <f>IFERROR(IF(A148="",0,SUMIFS(SALES_TRACKER!$E$4:$E$1003,SALES_TRACKER!$B$4:$B$1003,A148)),0)</f>
        <v>0</v>
      </c>
      <c r="G148" s="119">
        <f t="shared" si="1"/>
        <v>0</v>
      </c>
      <c r="H148" s="119">
        <f t="array" ref="H148">IFERROR(IF(A148="",0,INDEX(HPP_ENGINE!$I:$I,MATCH(A148,HPP_ENGINE!$A:$A,0))),0)</f>
        <v>0</v>
      </c>
      <c r="I148" s="119">
        <f>IFERROR(IF(A148="",0,SUMIFS(SALES_TRACKER!$G$4:$G$1003,SALES_TRACKER!$B$4:$B$1003,A148)),0)</f>
        <v>0</v>
      </c>
      <c r="J148" s="118">
        <f t="shared" si="2"/>
        <v>0</v>
      </c>
      <c r="K148" s="136">
        <f t="shared" si="3"/>
        <v>0</v>
      </c>
      <c r="L148" s="136">
        <f t="shared" si="4"/>
        <v>0</v>
      </c>
      <c r="M148" s="136">
        <f t="shared" si="5"/>
        <v>0</v>
      </c>
      <c r="N148" s="81" t="str">
        <f>IFERROR(IF(A148="","—",IF(COUNTIF(HPP_ENGINE!$A$4:$A$203,A148)=0,"⚠ BELUM DI HPP",IF(E148=0,"PLANNING",IF(M148&gt;=1,"SOLD OUT",IF(M148&gt;=0.7,"ON TRACK",IF(M148&gt;=0.3,"SLOW MOVE",IF(M148&gt;0,"STUCK","BELUM TERJUAL"))))))),"—")</f>
        <v>—</v>
      </c>
    </row>
    <row r="149" ht="18.75" customHeight="1">
      <c r="A149" s="72"/>
      <c r="B149" s="112" t="str">
        <f t="array" ref="B149">IFERROR(IF(A149="","",INDEX(HPP_ENGINE!$B:$B,MATCH(A149,HPP_ENGINE!$A:$A,0))),"")</f>
        <v/>
      </c>
      <c r="C149" s="137" t="str">
        <f t="array" ref="C149">IFERROR(IF(A149="","",INDEX(HPP_ENGINE!$C:$C,MATCH(A149,HPP_ENGINE!$A:$A,0))),"")</f>
        <v/>
      </c>
      <c r="D149" s="115">
        <f t="array" ref="D149">IFERROR(IF(A149="",0,INDEX(PRODUCTION_PLAN!$D:$D,MATCH(A149,PRODUCTION_PLAN!$A:$A,0))),0)</f>
        <v>0</v>
      </c>
      <c r="E149" s="115">
        <f t="array" ref="E149">IFERROR(IF(A149="",0,INDEX(HPP_ENGINE!$D:$D,MATCH(A149,HPP_ENGINE!$A:$A,0))),0)</f>
        <v>0</v>
      </c>
      <c r="F149" s="115">
        <f>IFERROR(IF(A149="",0,SUMIFS(SALES_TRACKER!$E$4:$E$1003,SALES_TRACKER!$B$4:$B$1003,A149)),0)</f>
        <v>0</v>
      </c>
      <c r="G149" s="115">
        <f t="shared" si="1"/>
        <v>0</v>
      </c>
      <c r="H149" s="115">
        <f t="array" ref="H149">IFERROR(IF(A149="",0,INDEX(HPP_ENGINE!$I:$I,MATCH(A149,HPP_ENGINE!$A:$A,0))),0)</f>
        <v>0</v>
      </c>
      <c r="I149" s="115">
        <f>IFERROR(IF(A149="",0,SUMIFS(SALES_TRACKER!$G$4:$G$1003,SALES_TRACKER!$B$4:$B$1003,A149)),0)</f>
        <v>0</v>
      </c>
      <c r="J149" s="114">
        <f t="shared" si="2"/>
        <v>0</v>
      </c>
      <c r="K149" s="133">
        <f t="shared" si="3"/>
        <v>0</v>
      </c>
      <c r="L149" s="133">
        <f t="shared" si="4"/>
        <v>0</v>
      </c>
      <c r="M149" s="133">
        <f t="shared" si="5"/>
        <v>0</v>
      </c>
      <c r="N149" s="76" t="str">
        <f>IFERROR(IF(A149="","—",IF(COUNTIF(HPP_ENGINE!$A$4:$A$203,A149)=0,"⚠ BELUM DI HPP",IF(E149=0,"PLANNING",IF(M149&gt;=1,"SOLD OUT",IF(M149&gt;=0.7,"ON TRACK",IF(M149&gt;=0.3,"SLOW MOVE",IF(M149&gt;0,"STUCK","BELUM TERJUAL"))))))),"—")</f>
        <v>—</v>
      </c>
    </row>
    <row r="150" ht="18.75" customHeight="1">
      <c r="A150" s="77"/>
      <c r="B150" s="116" t="str">
        <f t="array" ref="B150">IFERROR(IF(A150="","",INDEX(HPP_ENGINE!$B:$B,MATCH(A150,HPP_ENGINE!$A:$A,0))),"")</f>
        <v/>
      </c>
      <c r="C150" s="135" t="str">
        <f t="array" ref="C150">IFERROR(IF(A150="","",INDEX(HPP_ENGINE!$C:$C,MATCH(A150,HPP_ENGINE!$A:$A,0))),"")</f>
        <v/>
      </c>
      <c r="D150" s="119">
        <f t="array" ref="D150">IFERROR(IF(A150="",0,INDEX(PRODUCTION_PLAN!$D:$D,MATCH(A150,PRODUCTION_PLAN!$A:$A,0))),0)</f>
        <v>0</v>
      </c>
      <c r="E150" s="119">
        <f t="array" ref="E150">IFERROR(IF(A150="",0,INDEX(HPP_ENGINE!$D:$D,MATCH(A150,HPP_ENGINE!$A:$A,0))),0)</f>
        <v>0</v>
      </c>
      <c r="F150" s="119">
        <f>IFERROR(IF(A150="",0,SUMIFS(SALES_TRACKER!$E$4:$E$1003,SALES_TRACKER!$B$4:$B$1003,A150)),0)</f>
        <v>0</v>
      </c>
      <c r="G150" s="119">
        <f t="shared" si="1"/>
        <v>0</v>
      </c>
      <c r="H150" s="119">
        <f t="array" ref="H150">IFERROR(IF(A150="",0,INDEX(HPP_ENGINE!$I:$I,MATCH(A150,HPP_ENGINE!$A:$A,0))),0)</f>
        <v>0</v>
      </c>
      <c r="I150" s="119">
        <f>IFERROR(IF(A150="",0,SUMIFS(SALES_TRACKER!$G$4:$G$1003,SALES_TRACKER!$B$4:$B$1003,A150)),0)</f>
        <v>0</v>
      </c>
      <c r="J150" s="118">
        <f t="shared" si="2"/>
        <v>0</v>
      </c>
      <c r="K150" s="136">
        <f t="shared" si="3"/>
        <v>0</v>
      </c>
      <c r="L150" s="136">
        <f t="shared" si="4"/>
        <v>0</v>
      </c>
      <c r="M150" s="136">
        <f t="shared" si="5"/>
        <v>0</v>
      </c>
      <c r="N150" s="81" t="str">
        <f>IFERROR(IF(A150="","—",IF(COUNTIF(HPP_ENGINE!$A$4:$A$203,A150)=0,"⚠ BELUM DI HPP",IF(E150=0,"PLANNING",IF(M150&gt;=1,"SOLD OUT",IF(M150&gt;=0.7,"ON TRACK",IF(M150&gt;=0.3,"SLOW MOVE",IF(M150&gt;0,"STUCK","BELUM TERJUAL"))))))),"—")</f>
        <v>—</v>
      </c>
    </row>
    <row r="151" ht="18.75" customHeight="1">
      <c r="A151" s="72"/>
      <c r="B151" s="112" t="str">
        <f t="array" ref="B151">IFERROR(IF(A151="","",INDEX(HPP_ENGINE!$B:$B,MATCH(A151,HPP_ENGINE!$A:$A,0))),"")</f>
        <v/>
      </c>
      <c r="C151" s="137" t="str">
        <f t="array" ref="C151">IFERROR(IF(A151="","",INDEX(HPP_ENGINE!$C:$C,MATCH(A151,HPP_ENGINE!$A:$A,0))),"")</f>
        <v/>
      </c>
      <c r="D151" s="115">
        <f t="array" ref="D151">IFERROR(IF(A151="",0,INDEX(PRODUCTION_PLAN!$D:$D,MATCH(A151,PRODUCTION_PLAN!$A:$A,0))),0)</f>
        <v>0</v>
      </c>
      <c r="E151" s="115">
        <f t="array" ref="E151">IFERROR(IF(A151="",0,INDEX(HPP_ENGINE!$D:$D,MATCH(A151,HPP_ENGINE!$A:$A,0))),0)</f>
        <v>0</v>
      </c>
      <c r="F151" s="115">
        <f>IFERROR(IF(A151="",0,SUMIFS(SALES_TRACKER!$E$4:$E$1003,SALES_TRACKER!$B$4:$B$1003,A151)),0)</f>
        <v>0</v>
      </c>
      <c r="G151" s="115">
        <f t="shared" si="1"/>
        <v>0</v>
      </c>
      <c r="H151" s="115">
        <f t="array" ref="H151">IFERROR(IF(A151="",0,INDEX(HPP_ENGINE!$I:$I,MATCH(A151,HPP_ENGINE!$A:$A,0))),0)</f>
        <v>0</v>
      </c>
      <c r="I151" s="115">
        <f>IFERROR(IF(A151="",0,SUMIFS(SALES_TRACKER!$G$4:$G$1003,SALES_TRACKER!$B$4:$B$1003,A151)),0)</f>
        <v>0</v>
      </c>
      <c r="J151" s="114">
        <f t="shared" si="2"/>
        <v>0</v>
      </c>
      <c r="K151" s="133">
        <f t="shared" si="3"/>
        <v>0</v>
      </c>
      <c r="L151" s="133">
        <f t="shared" si="4"/>
        <v>0</v>
      </c>
      <c r="M151" s="133">
        <f t="shared" si="5"/>
        <v>0</v>
      </c>
      <c r="N151" s="76" t="str">
        <f>IFERROR(IF(A151="","—",IF(COUNTIF(HPP_ENGINE!$A$4:$A$203,A151)=0,"⚠ BELUM DI HPP",IF(E151=0,"PLANNING",IF(M151&gt;=1,"SOLD OUT",IF(M151&gt;=0.7,"ON TRACK",IF(M151&gt;=0.3,"SLOW MOVE",IF(M151&gt;0,"STUCK","BELUM TERJUAL"))))))),"—")</f>
        <v>—</v>
      </c>
    </row>
    <row r="152" ht="18.75" customHeight="1">
      <c r="A152" s="77"/>
      <c r="B152" s="116" t="str">
        <f t="array" ref="B152">IFERROR(IF(A152="","",INDEX(HPP_ENGINE!$B:$B,MATCH(A152,HPP_ENGINE!$A:$A,0))),"")</f>
        <v/>
      </c>
      <c r="C152" s="135" t="str">
        <f t="array" ref="C152">IFERROR(IF(A152="","",INDEX(HPP_ENGINE!$C:$C,MATCH(A152,HPP_ENGINE!$A:$A,0))),"")</f>
        <v/>
      </c>
      <c r="D152" s="119">
        <f t="array" ref="D152">IFERROR(IF(A152="",0,INDEX(PRODUCTION_PLAN!$D:$D,MATCH(A152,PRODUCTION_PLAN!$A:$A,0))),0)</f>
        <v>0</v>
      </c>
      <c r="E152" s="119">
        <f t="array" ref="E152">IFERROR(IF(A152="",0,INDEX(HPP_ENGINE!$D:$D,MATCH(A152,HPP_ENGINE!$A:$A,0))),0)</f>
        <v>0</v>
      </c>
      <c r="F152" s="119">
        <f>IFERROR(IF(A152="",0,SUMIFS(SALES_TRACKER!$E$4:$E$1003,SALES_TRACKER!$B$4:$B$1003,A152)),0)</f>
        <v>0</v>
      </c>
      <c r="G152" s="119">
        <f t="shared" si="1"/>
        <v>0</v>
      </c>
      <c r="H152" s="119">
        <f t="array" ref="H152">IFERROR(IF(A152="",0,INDEX(HPP_ENGINE!$I:$I,MATCH(A152,HPP_ENGINE!$A:$A,0))),0)</f>
        <v>0</v>
      </c>
      <c r="I152" s="119">
        <f>IFERROR(IF(A152="",0,SUMIFS(SALES_TRACKER!$G$4:$G$1003,SALES_TRACKER!$B$4:$B$1003,A152)),0)</f>
        <v>0</v>
      </c>
      <c r="J152" s="118">
        <f t="shared" si="2"/>
        <v>0</v>
      </c>
      <c r="K152" s="136">
        <f t="shared" si="3"/>
        <v>0</v>
      </c>
      <c r="L152" s="136">
        <f t="shared" si="4"/>
        <v>0</v>
      </c>
      <c r="M152" s="136">
        <f t="shared" si="5"/>
        <v>0</v>
      </c>
      <c r="N152" s="81" t="str">
        <f>IFERROR(IF(A152="","—",IF(COUNTIF(HPP_ENGINE!$A$4:$A$203,A152)=0,"⚠ BELUM DI HPP",IF(E152=0,"PLANNING",IF(M152&gt;=1,"SOLD OUT",IF(M152&gt;=0.7,"ON TRACK",IF(M152&gt;=0.3,"SLOW MOVE",IF(M152&gt;0,"STUCK","BELUM TERJUAL"))))))),"—")</f>
        <v>—</v>
      </c>
    </row>
    <row r="153" ht="18.75" customHeight="1">
      <c r="A153" s="72"/>
      <c r="B153" s="112" t="str">
        <f t="array" ref="B153">IFERROR(IF(A153="","",INDEX(HPP_ENGINE!$B:$B,MATCH(A153,HPP_ENGINE!$A:$A,0))),"")</f>
        <v/>
      </c>
      <c r="C153" s="137" t="str">
        <f t="array" ref="C153">IFERROR(IF(A153="","",INDEX(HPP_ENGINE!$C:$C,MATCH(A153,HPP_ENGINE!$A:$A,0))),"")</f>
        <v/>
      </c>
      <c r="D153" s="115">
        <f t="array" ref="D153">IFERROR(IF(A153="",0,INDEX(PRODUCTION_PLAN!$D:$D,MATCH(A153,PRODUCTION_PLAN!$A:$A,0))),0)</f>
        <v>0</v>
      </c>
      <c r="E153" s="115">
        <f t="array" ref="E153">IFERROR(IF(A153="",0,INDEX(HPP_ENGINE!$D:$D,MATCH(A153,HPP_ENGINE!$A:$A,0))),0)</f>
        <v>0</v>
      </c>
      <c r="F153" s="115">
        <f>IFERROR(IF(A153="",0,SUMIFS(SALES_TRACKER!$E$4:$E$1003,SALES_TRACKER!$B$4:$B$1003,A153)),0)</f>
        <v>0</v>
      </c>
      <c r="G153" s="115">
        <f t="shared" si="1"/>
        <v>0</v>
      </c>
      <c r="H153" s="115">
        <f t="array" ref="H153">IFERROR(IF(A153="",0,INDEX(HPP_ENGINE!$I:$I,MATCH(A153,HPP_ENGINE!$A:$A,0))),0)</f>
        <v>0</v>
      </c>
      <c r="I153" s="115">
        <f>IFERROR(IF(A153="",0,SUMIFS(SALES_TRACKER!$G$4:$G$1003,SALES_TRACKER!$B$4:$B$1003,A153)),0)</f>
        <v>0</v>
      </c>
      <c r="J153" s="114">
        <f t="shared" si="2"/>
        <v>0</v>
      </c>
      <c r="K153" s="133">
        <f t="shared" si="3"/>
        <v>0</v>
      </c>
      <c r="L153" s="133">
        <f t="shared" si="4"/>
        <v>0</v>
      </c>
      <c r="M153" s="133">
        <f t="shared" si="5"/>
        <v>0</v>
      </c>
      <c r="N153" s="76" t="str">
        <f>IFERROR(IF(A153="","—",IF(COUNTIF(HPP_ENGINE!$A$4:$A$203,A153)=0,"⚠ BELUM DI HPP",IF(E153=0,"PLANNING",IF(M153&gt;=1,"SOLD OUT",IF(M153&gt;=0.7,"ON TRACK",IF(M153&gt;=0.3,"SLOW MOVE",IF(M153&gt;0,"STUCK","BELUM TERJUAL"))))))),"—")</f>
        <v>—</v>
      </c>
    </row>
    <row r="154" ht="18.75" customHeight="1">
      <c r="A154" s="77"/>
      <c r="B154" s="116" t="str">
        <f t="array" ref="B154">IFERROR(IF(A154="","",INDEX(HPP_ENGINE!$B:$B,MATCH(A154,HPP_ENGINE!$A:$A,0))),"")</f>
        <v/>
      </c>
      <c r="C154" s="135" t="str">
        <f t="array" ref="C154">IFERROR(IF(A154="","",INDEX(HPP_ENGINE!$C:$C,MATCH(A154,HPP_ENGINE!$A:$A,0))),"")</f>
        <v/>
      </c>
      <c r="D154" s="119">
        <f t="array" ref="D154">IFERROR(IF(A154="",0,INDEX(PRODUCTION_PLAN!$D:$D,MATCH(A154,PRODUCTION_PLAN!$A:$A,0))),0)</f>
        <v>0</v>
      </c>
      <c r="E154" s="119">
        <f t="array" ref="E154">IFERROR(IF(A154="",0,INDEX(HPP_ENGINE!$D:$D,MATCH(A154,HPP_ENGINE!$A:$A,0))),0)</f>
        <v>0</v>
      </c>
      <c r="F154" s="119">
        <f>IFERROR(IF(A154="",0,SUMIFS(SALES_TRACKER!$E$4:$E$1003,SALES_TRACKER!$B$4:$B$1003,A154)),0)</f>
        <v>0</v>
      </c>
      <c r="G154" s="119">
        <f t="shared" si="1"/>
        <v>0</v>
      </c>
      <c r="H154" s="119">
        <f t="array" ref="H154">IFERROR(IF(A154="",0,INDEX(HPP_ENGINE!$I:$I,MATCH(A154,HPP_ENGINE!$A:$A,0))),0)</f>
        <v>0</v>
      </c>
      <c r="I154" s="119">
        <f>IFERROR(IF(A154="",0,SUMIFS(SALES_TRACKER!$G$4:$G$1003,SALES_TRACKER!$B$4:$B$1003,A154)),0)</f>
        <v>0</v>
      </c>
      <c r="J154" s="118">
        <f t="shared" si="2"/>
        <v>0</v>
      </c>
      <c r="K154" s="136">
        <f t="shared" si="3"/>
        <v>0</v>
      </c>
      <c r="L154" s="136">
        <f t="shared" si="4"/>
        <v>0</v>
      </c>
      <c r="M154" s="136">
        <f t="shared" si="5"/>
        <v>0</v>
      </c>
      <c r="N154" s="81" t="str">
        <f>IFERROR(IF(A154="","—",IF(COUNTIF(HPP_ENGINE!$A$4:$A$203,A154)=0,"⚠ BELUM DI HPP",IF(E154=0,"PLANNING",IF(M154&gt;=1,"SOLD OUT",IF(M154&gt;=0.7,"ON TRACK",IF(M154&gt;=0.3,"SLOW MOVE",IF(M154&gt;0,"STUCK","BELUM TERJUAL"))))))),"—")</f>
        <v>—</v>
      </c>
    </row>
    <row r="155" ht="18.75" customHeight="1">
      <c r="A155" s="72"/>
      <c r="B155" s="112" t="str">
        <f t="array" ref="B155">IFERROR(IF(A155="","",INDEX(HPP_ENGINE!$B:$B,MATCH(A155,HPP_ENGINE!$A:$A,0))),"")</f>
        <v/>
      </c>
      <c r="C155" s="137" t="str">
        <f t="array" ref="C155">IFERROR(IF(A155="","",INDEX(HPP_ENGINE!$C:$C,MATCH(A155,HPP_ENGINE!$A:$A,0))),"")</f>
        <v/>
      </c>
      <c r="D155" s="115">
        <f t="array" ref="D155">IFERROR(IF(A155="",0,INDEX(PRODUCTION_PLAN!$D:$D,MATCH(A155,PRODUCTION_PLAN!$A:$A,0))),0)</f>
        <v>0</v>
      </c>
      <c r="E155" s="115">
        <f t="array" ref="E155">IFERROR(IF(A155="",0,INDEX(HPP_ENGINE!$D:$D,MATCH(A155,HPP_ENGINE!$A:$A,0))),0)</f>
        <v>0</v>
      </c>
      <c r="F155" s="115">
        <f>IFERROR(IF(A155="",0,SUMIFS(SALES_TRACKER!$E$4:$E$1003,SALES_TRACKER!$B$4:$B$1003,A155)),0)</f>
        <v>0</v>
      </c>
      <c r="G155" s="115">
        <f t="shared" si="1"/>
        <v>0</v>
      </c>
      <c r="H155" s="115">
        <f t="array" ref="H155">IFERROR(IF(A155="",0,INDEX(HPP_ENGINE!$I:$I,MATCH(A155,HPP_ENGINE!$A:$A,0))),0)</f>
        <v>0</v>
      </c>
      <c r="I155" s="115">
        <f>IFERROR(IF(A155="",0,SUMIFS(SALES_TRACKER!$G$4:$G$1003,SALES_TRACKER!$B$4:$B$1003,A155)),0)</f>
        <v>0</v>
      </c>
      <c r="J155" s="114">
        <f t="shared" si="2"/>
        <v>0</v>
      </c>
      <c r="K155" s="133">
        <f t="shared" si="3"/>
        <v>0</v>
      </c>
      <c r="L155" s="133">
        <f t="shared" si="4"/>
        <v>0</v>
      </c>
      <c r="M155" s="133">
        <f t="shared" si="5"/>
        <v>0</v>
      </c>
      <c r="N155" s="76" t="str">
        <f>IFERROR(IF(A155="","—",IF(COUNTIF(HPP_ENGINE!$A$4:$A$203,A155)=0,"⚠ BELUM DI HPP",IF(E155=0,"PLANNING",IF(M155&gt;=1,"SOLD OUT",IF(M155&gt;=0.7,"ON TRACK",IF(M155&gt;=0.3,"SLOW MOVE",IF(M155&gt;0,"STUCK","BELUM TERJUAL"))))))),"—")</f>
        <v>—</v>
      </c>
    </row>
    <row r="156" ht="18.75" customHeight="1">
      <c r="A156" s="77"/>
      <c r="B156" s="116" t="str">
        <f t="array" ref="B156">IFERROR(IF(A156="","",INDEX(HPP_ENGINE!$B:$B,MATCH(A156,HPP_ENGINE!$A:$A,0))),"")</f>
        <v/>
      </c>
      <c r="C156" s="135" t="str">
        <f t="array" ref="C156">IFERROR(IF(A156="","",INDEX(HPP_ENGINE!$C:$C,MATCH(A156,HPP_ENGINE!$A:$A,0))),"")</f>
        <v/>
      </c>
      <c r="D156" s="119">
        <f t="array" ref="D156">IFERROR(IF(A156="",0,INDEX(PRODUCTION_PLAN!$D:$D,MATCH(A156,PRODUCTION_PLAN!$A:$A,0))),0)</f>
        <v>0</v>
      </c>
      <c r="E156" s="119">
        <f t="array" ref="E156">IFERROR(IF(A156="",0,INDEX(HPP_ENGINE!$D:$D,MATCH(A156,HPP_ENGINE!$A:$A,0))),0)</f>
        <v>0</v>
      </c>
      <c r="F156" s="119">
        <f>IFERROR(IF(A156="",0,SUMIFS(SALES_TRACKER!$E$4:$E$1003,SALES_TRACKER!$B$4:$B$1003,A156)),0)</f>
        <v>0</v>
      </c>
      <c r="G156" s="119">
        <f t="shared" si="1"/>
        <v>0</v>
      </c>
      <c r="H156" s="119">
        <f t="array" ref="H156">IFERROR(IF(A156="",0,INDEX(HPP_ENGINE!$I:$I,MATCH(A156,HPP_ENGINE!$A:$A,0))),0)</f>
        <v>0</v>
      </c>
      <c r="I156" s="119">
        <f>IFERROR(IF(A156="",0,SUMIFS(SALES_TRACKER!$G$4:$G$1003,SALES_TRACKER!$B$4:$B$1003,A156)),0)</f>
        <v>0</v>
      </c>
      <c r="J156" s="118">
        <f t="shared" si="2"/>
        <v>0</v>
      </c>
      <c r="K156" s="136">
        <f t="shared" si="3"/>
        <v>0</v>
      </c>
      <c r="L156" s="136">
        <f t="shared" si="4"/>
        <v>0</v>
      </c>
      <c r="M156" s="136">
        <f t="shared" si="5"/>
        <v>0</v>
      </c>
      <c r="N156" s="81" t="str">
        <f>IFERROR(IF(A156="","—",IF(COUNTIF(HPP_ENGINE!$A$4:$A$203,A156)=0,"⚠ BELUM DI HPP",IF(E156=0,"PLANNING",IF(M156&gt;=1,"SOLD OUT",IF(M156&gt;=0.7,"ON TRACK",IF(M156&gt;=0.3,"SLOW MOVE",IF(M156&gt;0,"STUCK","BELUM TERJUAL"))))))),"—")</f>
        <v>—</v>
      </c>
    </row>
    <row r="157" ht="18.75" customHeight="1">
      <c r="A157" s="72"/>
      <c r="B157" s="112" t="str">
        <f t="array" ref="B157">IFERROR(IF(A157="","",INDEX(HPP_ENGINE!$B:$B,MATCH(A157,HPP_ENGINE!$A:$A,0))),"")</f>
        <v/>
      </c>
      <c r="C157" s="137" t="str">
        <f t="array" ref="C157">IFERROR(IF(A157="","",INDEX(HPP_ENGINE!$C:$C,MATCH(A157,HPP_ENGINE!$A:$A,0))),"")</f>
        <v/>
      </c>
      <c r="D157" s="115">
        <f t="array" ref="D157">IFERROR(IF(A157="",0,INDEX(PRODUCTION_PLAN!$D:$D,MATCH(A157,PRODUCTION_PLAN!$A:$A,0))),0)</f>
        <v>0</v>
      </c>
      <c r="E157" s="115">
        <f t="array" ref="E157">IFERROR(IF(A157="",0,INDEX(HPP_ENGINE!$D:$D,MATCH(A157,HPP_ENGINE!$A:$A,0))),0)</f>
        <v>0</v>
      </c>
      <c r="F157" s="115">
        <f>IFERROR(IF(A157="",0,SUMIFS(SALES_TRACKER!$E$4:$E$1003,SALES_TRACKER!$B$4:$B$1003,A157)),0)</f>
        <v>0</v>
      </c>
      <c r="G157" s="115">
        <f t="shared" si="1"/>
        <v>0</v>
      </c>
      <c r="H157" s="115">
        <f t="array" ref="H157">IFERROR(IF(A157="",0,INDEX(HPP_ENGINE!$I:$I,MATCH(A157,HPP_ENGINE!$A:$A,0))),0)</f>
        <v>0</v>
      </c>
      <c r="I157" s="115">
        <f>IFERROR(IF(A157="",0,SUMIFS(SALES_TRACKER!$G$4:$G$1003,SALES_TRACKER!$B$4:$B$1003,A157)),0)</f>
        <v>0</v>
      </c>
      <c r="J157" s="114">
        <f t="shared" si="2"/>
        <v>0</v>
      </c>
      <c r="K157" s="133">
        <f t="shared" si="3"/>
        <v>0</v>
      </c>
      <c r="L157" s="133">
        <f t="shared" si="4"/>
        <v>0</v>
      </c>
      <c r="M157" s="133">
        <f t="shared" si="5"/>
        <v>0</v>
      </c>
      <c r="N157" s="76" t="str">
        <f>IFERROR(IF(A157="","—",IF(COUNTIF(HPP_ENGINE!$A$4:$A$203,A157)=0,"⚠ BELUM DI HPP",IF(E157=0,"PLANNING",IF(M157&gt;=1,"SOLD OUT",IF(M157&gt;=0.7,"ON TRACK",IF(M157&gt;=0.3,"SLOW MOVE",IF(M157&gt;0,"STUCK","BELUM TERJUAL"))))))),"—")</f>
        <v>—</v>
      </c>
    </row>
    <row r="158" ht="18.75" customHeight="1">
      <c r="A158" s="77"/>
      <c r="B158" s="116" t="str">
        <f t="array" ref="B158">IFERROR(IF(A158="","",INDEX(HPP_ENGINE!$B:$B,MATCH(A158,HPP_ENGINE!$A:$A,0))),"")</f>
        <v/>
      </c>
      <c r="C158" s="135" t="str">
        <f t="array" ref="C158">IFERROR(IF(A158="","",INDEX(HPP_ENGINE!$C:$C,MATCH(A158,HPP_ENGINE!$A:$A,0))),"")</f>
        <v/>
      </c>
      <c r="D158" s="119">
        <f t="array" ref="D158">IFERROR(IF(A158="",0,INDEX(PRODUCTION_PLAN!$D:$D,MATCH(A158,PRODUCTION_PLAN!$A:$A,0))),0)</f>
        <v>0</v>
      </c>
      <c r="E158" s="119">
        <f t="array" ref="E158">IFERROR(IF(A158="",0,INDEX(HPP_ENGINE!$D:$D,MATCH(A158,HPP_ENGINE!$A:$A,0))),0)</f>
        <v>0</v>
      </c>
      <c r="F158" s="119">
        <f>IFERROR(IF(A158="",0,SUMIFS(SALES_TRACKER!$E$4:$E$1003,SALES_TRACKER!$B$4:$B$1003,A158)),0)</f>
        <v>0</v>
      </c>
      <c r="G158" s="119">
        <f t="shared" si="1"/>
        <v>0</v>
      </c>
      <c r="H158" s="119">
        <f t="array" ref="H158">IFERROR(IF(A158="",0,INDEX(HPP_ENGINE!$I:$I,MATCH(A158,HPP_ENGINE!$A:$A,0))),0)</f>
        <v>0</v>
      </c>
      <c r="I158" s="119">
        <f>IFERROR(IF(A158="",0,SUMIFS(SALES_TRACKER!$G$4:$G$1003,SALES_TRACKER!$B$4:$B$1003,A158)),0)</f>
        <v>0</v>
      </c>
      <c r="J158" s="118">
        <f t="shared" si="2"/>
        <v>0</v>
      </c>
      <c r="K158" s="136">
        <f t="shared" si="3"/>
        <v>0</v>
      </c>
      <c r="L158" s="136">
        <f t="shared" si="4"/>
        <v>0</v>
      </c>
      <c r="M158" s="136">
        <f t="shared" si="5"/>
        <v>0</v>
      </c>
      <c r="N158" s="81" t="str">
        <f>IFERROR(IF(A158="","—",IF(COUNTIF(HPP_ENGINE!$A$4:$A$203,A158)=0,"⚠ BELUM DI HPP",IF(E158=0,"PLANNING",IF(M158&gt;=1,"SOLD OUT",IF(M158&gt;=0.7,"ON TRACK",IF(M158&gt;=0.3,"SLOW MOVE",IF(M158&gt;0,"STUCK","BELUM TERJUAL"))))))),"—")</f>
        <v>—</v>
      </c>
    </row>
    <row r="159" ht="18.75" customHeight="1">
      <c r="A159" s="72"/>
      <c r="B159" s="112" t="str">
        <f t="array" ref="B159">IFERROR(IF(A159="","",INDEX(HPP_ENGINE!$B:$B,MATCH(A159,HPP_ENGINE!$A:$A,0))),"")</f>
        <v/>
      </c>
      <c r="C159" s="137" t="str">
        <f t="array" ref="C159">IFERROR(IF(A159="","",INDEX(HPP_ENGINE!$C:$C,MATCH(A159,HPP_ENGINE!$A:$A,0))),"")</f>
        <v/>
      </c>
      <c r="D159" s="115">
        <f t="array" ref="D159">IFERROR(IF(A159="",0,INDEX(PRODUCTION_PLAN!$D:$D,MATCH(A159,PRODUCTION_PLAN!$A:$A,0))),0)</f>
        <v>0</v>
      </c>
      <c r="E159" s="115">
        <f t="array" ref="E159">IFERROR(IF(A159="",0,INDEX(HPP_ENGINE!$D:$D,MATCH(A159,HPP_ENGINE!$A:$A,0))),0)</f>
        <v>0</v>
      </c>
      <c r="F159" s="115">
        <f>IFERROR(IF(A159="",0,SUMIFS(SALES_TRACKER!$E$4:$E$1003,SALES_TRACKER!$B$4:$B$1003,A159)),0)</f>
        <v>0</v>
      </c>
      <c r="G159" s="115">
        <f t="shared" si="1"/>
        <v>0</v>
      </c>
      <c r="H159" s="115">
        <f t="array" ref="H159">IFERROR(IF(A159="",0,INDEX(HPP_ENGINE!$I:$I,MATCH(A159,HPP_ENGINE!$A:$A,0))),0)</f>
        <v>0</v>
      </c>
      <c r="I159" s="115">
        <f>IFERROR(IF(A159="",0,SUMIFS(SALES_TRACKER!$G$4:$G$1003,SALES_TRACKER!$B$4:$B$1003,A159)),0)</f>
        <v>0</v>
      </c>
      <c r="J159" s="114">
        <f t="shared" si="2"/>
        <v>0</v>
      </c>
      <c r="K159" s="133">
        <f t="shared" si="3"/>
        <v>0</v>
      </c>
      <c r="L159" s="133">
        <f t="shared" si="4"/>
        <v>0</v>
      </c>
      <c r="M159" s="133">
        <f t="shared" si="5"/>
        <v>0</v>
      </c>
      <c r="N159" s="76" t="str">
        <f>IFERROR(IF(A159="","—",IF(COUNTIF(HPP_ENGINE!$A$4:$A$203,A159)=0,"⚠ BELUM DI HPP",IF(E159=0,"PLANNING",IF(M159&gt;=1,"SOLD OUT",IF(M159&gt;=0.7,"ON TRACK",IF(M159&gt;=0.3,"SLOW MOVE",IF(M159&gt;0,"STUCK","BELUM TERJUAL"))))))),"—")</f>
        <v>—</v>
      </c>
    </row>
    <row r="160" ht="18.75" customHeight="1">
      <c r="A160" s="77"/>
      <c r="B160" s="116" t="str">
        <f t="array" ref="B160">IFERROR(IF(A160="","",INDEX(HPP_ENGINE!$B:$B,MATCH(A160,HPP_ENGINE!$A:$A,0))),"")</f>
        <v/>
      </c>
      <c r="C160" s="135" t="str">
        <f t="array" ref="C160">IFERROR(IF(A160="","",INDEX(HPP_ENGINE!$C:$C,MATCH(A160,HPP_ENGINE!$A:$A,0))),"")</f>
        <v/>
      </c>
      <c r="D160" s="119">
        <f t="array" ref="D160">IFERROR(IF(A160="",0,INDEX(PRODUCTION_PLAN!$D:$D,MATCH(A160,PRODUCTION_PLAN!$A:$A,0))),0)</f>
        <v>0</v>
      </c>
      <c r="E160" s="119">
        <f t="array" ref="E160">IFERROR(IF(A160="",0,INDEX(HPP_ENGINE!$D:$D,MATCH(A160,HPP_ENGINE!$A:$A,0))),0)</f>
        <v>0</v>
      </c>
      <c r="F160" s="119">
        <f>IFERROR(IF(A160="",0,SUMIFS(SALES_TRACKER!$E$4:$E$1003,SALES_TRACKER!$B$4:$B$1003,A160)),0)</f>
        <v>0</v>
      </c>
      <c r="G160" s="119">
        <f t="shared" si="1"/>
        <v>0</v>
      </c>
      <c r="H160" s="119">
        <f t="array" ref="H160">IFERROR(IF(A160="",0,INDEX(HPP_ENGINE!$I:$I,MATCH(A160,HPP_ENGINE!$A:$A,0))),0)</f>
        <v>0</v>
      </c>
      <c r="I160" s="119">
        <f>IFERROR(IF(A160="",0,SUMIFS(SALES_TRACKER!$G$4:$G$1003,SALES_TRACKER!$B$4:$B$1003,A160)),0)</f>
        <v>0</v>
      </c>
      <c r="J160" s="118">
        <f t="shared" si="2"/>
        <v>0</v>
      </c>
      <c r="K160" s="136">
        <f t="shared" si="3"/>
        <v>0</v>
      </c>
      <c r="L160" s="136">
        <f t="shared" si="4"/>
        <v>0</v>
      </c>
      <c r="M160" s="136">
        <f t="shared" si="5"/>
        <v>0</v>
      </c>
      <c r="N160" s="81" t="str">
        <f>IFERROR(IF(A160="","—",IF(COUNTIF(HPP_ENGINE!$A$4:$A$203,A160)=0,"⚠ BELUM DI HPP",IF(E160=0,"PLANNING",IF(M160&gt;=1,"SOLD OUT",IF(M160&gt;=0.7,"ON TRACK",IF(M160&gt;=0.3,"SLOW MOVE",IF(M160&gt;0,"STUCK","BELUM TERJUAL"))))))),"—")</f>
        <v>—</v>
      </c>
    </row>
    <row r="161" ht="18.75" customHeight="1">
      <c r="A161" s="72"/>
      <c r="B161" s="112" t="str">
        <f t="array" ref="B161">IFERROR(IF(A161="","",INDEX(HPP_ENGINE!$B:$B,MATCH(A161,HPP_ENGINE!$A:$A,0))),"")</f>
        <v/>
      </c>
      <c r="C161" s="137" t="str">
        <f t="array" ref="C161">IFERROR(IF(A161="","",INDEX(HPP_ENGINE!$C:$C,MATCH(A161,HPP_ENGINE!$A:$A,0))),"")</f>
        <v/>
      </c>
      <c r="D161" s="115">
        <f t="array" ref="D161">IFERROR(IF(A161="",0,INDEX(PRODUCTION_PLAN!$D:$D,MATCH(A161,PRODUCTION_PLAN!$A:$A,0))),0)</f>
        <v>0</v>
      </c>
      <c r="E161" s="115">
        <f t="array" ref="E161">IFERROR(IF(A161="",0,INDEX(HPP_ENGINE!$D:$D,MATCH(A161,HPP_ENGINE!$A:$A,0))),0)</f>
        <v>0</v>
      </c>
      <c r="F161" s="115">
        <f>IFERROR(IF(A161="",0,SUMIFS(SALES_TRACKER!$E$4:$E$1003,SALES_TRACKER!$B$4:$B$1003,A161)),0)</f>
        <v>0</v>
      </c>
      <c r="G161" s="115">
        <f t="shared" si="1"/>
        <v>0</v>
      </c>
      <c r="H161" s="115">
        <f t="array" ref="H161">IFERROR(IF(A161="",0,INDEX(HPP_ENGINE!$I:$I,MATCH(A161,HPP_ENGINE!$A:$A,0))),0)</f>
        <v>0</v>
      </c>
      <c r="I161" s="115">
        <f>IFERROR(IF(A161="",0,SUMIFS(SALES_TRACKER!$G$4:$G$1003,SALES_TRACKER!$B$4:$B$1003,A161)),0)</f>
        <v>0</v>
      </c>
      <c r="J161" s="114">
        <f t="shared" si="2"/>
        <v>0</v>
      </c>
      <c r="K161" s="133">
        <f t="shared" si="3"/>
        <v>0</v>
      </c>
      <c r="L161" s="133">
        <f t="shared" si="4"/>
        <v>0</v>
      </c>
      <c r="M161" s="133">
        <f t="shared" si="5"/>
        <v>0</v>
      </c>
      <c r="N161" s="76" t="str">
        <f>IFERROR(IF(A161="","—",IF(COUNTIF(HPP_ENGINE!$A$4:$A$203,A161)=0,"⚠ BELUM DI HPP",IF(E161=0,"PLANNING",IF(M161&gt;=1,"SOLD OUT",IF(M161&gt;=0.7,"ON TRACK",IF(M161&gt;=0.3,"SLOW MOVE",IF(M161&gt;0,"STUCK","BELUM TERJUAL"))))))),"—")</f>
        <v>—</v>
      </c>
    </row>
    <row r="162" ht="18.75" customHeight="1">
      <c r="A162" s="77"/>
      <c r="B162" s="116" t="str">
        <f t="array" ref="B162">IFERROR(IF(A162="","",INDEX(HPP_ENGINE!$B:$B,MATCH(A162,HPP_ENGINE!$A:$A,0))),"")</f>
        <v/>
      </c>
      <c r="C162" s="135" t="str">
        <f t="array" ref="C162">IFERROR(IF(A162="","",INDEX(HPP_ENGINE!$C:$C,MATCH(A162,HPP_ENGINE!$A:$A,0))),"")</f>
        <v/>
      </c>
      <c r="D162" s="119">
        <f t="array" ref="D162">IFERROR(IF(A162="",0,INDEX(PRODUCTION_PLAN!$D:$D,MATCH(A162,PRODUCTION_PLAN!$A:$A,0))),0)</f>
        <v>0</v>
      </c>
      <c r="E162" s="119">
        <f t="array" ref="E162">IFERROR(IF(A162="",0,INDEX(HPP_ENGINE!$D:$D,MATCH(A162,HPP_ENGINE!$A:$A,0))),0)</f>
        <v>0</v>
      </c>
      <c r="F162" s="119">
        <f>IFERROR(IF(A162="",0,SUMIFS(SALES_TRACKER!$E$4:$E$1003,SALES_TRACKER!$B$4:$B$1003,A162)),0)</f>
        <v>0</v>
      </c>
      <c r="G162" s="119">
        <f t="shared" si="1"/>
        <v>0</v>
      </c>
      <c r="H162" s="119">
        <f t="array" ref="H162">IFERROR(IF(A162="",0,INDEX(HPP_ENGINE!$I:$I,MATCH(A162,HPP_ENGINE!$A:$A,0))),0)</f>
        <v>0</v>
      </c>
      <c r="I162" s="119">
        <f>IFERROR(IF(A162="",0,SUMIFS(SALES_TRACKER!$G$4:$G$1003,SALES_TRACKER!$B$4:$B$1003,A162)),0)</f>
        <v>0</v>
      </c>
      <c r="J162" s="118">
        <f t="shared" si="2"/>
        <v>0</v>
      </c>
      <c r="K162" s="136">
        <f t="shared" si="3"/>
        <v>0</v>
      </c>
      <c r="L162" s="136">
        <f t="shared" si="4"/>
        <v>0</v>
      </c>
      <c r="M162" s="136">
        <f t="shared" si="5"/>
        <v>0</v>
      </c>
      <c r="N162" s="81" t="str">
        <f>IFERROR(IF(A162="","—",IF(COUNTIF(HPP_ENGINE!$A$4:$A$203,A162)=0,"⚠ BELUM DI HPP",IF(E162=0,"PLANNING",IF(M162&gt;=1,"SOLD OUT",IF(M162&gt;=0.7,"ON TRACK",IF(M162&gt;=0.3,"SLOW MOVE",IF(M162&gt;0,"STUCK","BELUM TERJUAL"))))))),"—")</f>
        <v>—</v>
      </c>
    </row>
    <row r="163" ht="18.75" customHeight="1">
      <c r="A163" s="72"/>
      <c r="B163" s="112" t="str">
        <f t="array" ref="B163">IFERROR(IF(A163="","",INDEX(HPP_ENGINE!$B:$B,MATCH(A163,HPP_ENGINE!$A:$A,0))),"")</f>
        <v/>
      </c>
      <c r="C163" s="137" t="str">
        <f t="array" ref="C163">IFERROR(IF(A163="","",INDEX(HPP_ENGINE!$C:$C,MATCH(A163,HPP_ENGINE!$A:$A,0))),"")</f>
        <v/>
      </c>
      <c r="D163" s="115">
        <f t="array" ref="D163">IFERROR(IF(A163="",0,INDEX(PRODUCTION_PLAN!$D:$D,MATCH(A163,PRODUCTION_PLAN!$A:$A,0))),0)</f>
        <v>0</v>
      </c>
      <c r="E163" s="115">
        <f t="array" ref="E163">IFERROR(IF(A163="",0,INDEX(HPP_ENGINE!$D:$D,MATCH(A163,HPP_ENGINE!$A:$A,0))),0)</f>
        <v>0</v>
      </c>
      <c r="F163" s="115">
        <f>IFERROR(IF(A163="",0,SUMIFS(SALES_TRACKER!$E$4:$E$1003,SALES_TRACKER!$B$4:$B$1003,A163)),0)</f>
        <v>0</v>
      </c>
      <c r="G163" s="115">
        <f t="shared" si="1"/>
        <v>0</v>
      </c>
      <c r="H163" s="115">
        <f t="array" ref="H163">IFERROR(IF(A163="",0,INDEX(HPP_ENGINE!$I:$I,MATCH(A163,HPP_ENGINE!$A:$A,0))),0)</f>
        <v>0</v>
      </c>
      <c r="I163" s="115">
        <f>IFERROR(IF(A163="",0,SUMIFS(SALES_TRACKER!$G$4:$G$1003,SALES_TRACKER!$B$4:$B$1003,A163)),0)</f>
        <v>0</v>
      </c>
      <c r="J163" s="114">
        <f t="shared" si="2"/>
        <v>0</v>
      </c>
      <c r="K163" s="133">
        <f t="shared" si="3"/>
        <v>0</v>
      </c>
      <c r="L163" s="133">
        <f t="shared" si="4"/>
        <v>0</v>
      </c>
      <c r="M163" s="133">
        <f t="shared" si="5"/>
        <v>0</v>
      </c>
      <c r="N163" s="76" t="str">
        <f>IFERROR(IF(A163="","—",IF(COUNTIF(HPP_ENGINE!$A$4:$A$203,A163)=0,"⚠ BELUM DI HPP",IF(E163=0,"PLANNING",IF(M163&gt;=1,"SOLD OUT",IF(M163&gt;=0.7,"ON TRACK",IF(M163&gt;=0.3,"SLOW MOVE",IF(M163&gt;0,"STUCK","BELUM TERJUAL"))))))),"—")</f>
        <v>—</v>
      </c>
    </row>
    <row r="164" ht="18.75" customHeight="1">
      <c r="A164" s="77"/>
      <c r="B164" s="116" t="str">
        <f t="array" ref="B164">IFERROR(IF(A164="","",INDEX(HPP_ENGINE!$B:$B,MATCH(A164,HPP_ENGINE!$A:$A,0))),"")</f>
        <v/>
      </c>
      <c r="C164" s="135" t="str">
        <f t="array" ref="C164">IFERROR(IF(A164="","",INDEX(HPP_ENGINE!$C:$C,MATCH(A164,HPP_ENGINE!$A:$A,0))),"")</f>
        <v/>
      </c>
      <c r="D164" s="119">
        <f t="array" ref="D164">IFERROR(IF(A164="",0,INDEX(PRODUCTION_PLAN!$D:$D,MATCH(A164,PRODUCTION_PLAN!$A:$A,0))),0)</f>
        <v>0</v>
      </c>
      <c r="E164" s="119">
        <f t="array" ref="E164">IFERROR(IF(A164="",0,INDEX(HPP_ENGINE!$D:$D,MATCH(A164,HPP_ENGINE!$A:$A,0))),0)</f>
        <v>0</v>
      </c>
      <c r="F164" s="119">
        <f>IFERROR(IF(A164="",0,SUMIFS(SALES_TRACKER!$E$4:$E$1003,SALES_TRACKER!$B$4:$B$1003,A164)),0)</f>
        <v>0</v>
      </c>
      <c r="G164" s="119">
        <f t="shared" si="1"/>
        <v>0</v>
      </c>
      <c r="H164" s="119">
        <f t="array" ref="H164">IFERROR(IF(A164="",0,INDEX(HPP_ENGINE!$I:$I,MATCH(A164,HPP_ENGINE!$A:$A,0))),0)</f>
        <v>0</v>
      </c>
      <c r="I164" s="119">
        <f>IFERROR(IF(A164="",0,SUMIFS(SALES_TRACKER!$G$4:$G$1003,SALES_TRACKER!$B$4:$B$1003,A164)),0)</f>
        <v>0</v>
      </c>
      <c r="J164" s="118">
        <f t="shared" si="2"/>
        <v>0</v>
      </c>
      <c r="K164" s="136">
        <f t="shared" si="3"/>
        <v>0</v>
      </c>
      <c r="L164" s="136">
        <f t="shared" si="4"/>
        <v>0</v>
      </c>
      <c r="M164" s="136">
        <f t="shared" si="5"/>
        <v>0</v>
      </c>
      <c r="N164" s="81" t="str">
        <f>IFERROR(IF(A164="","—",IF(COUNTIF(HPP_ENGINE!$A$4:$A$203,A164)=0,"⚠ BELUM DI HPP",IF(E164=0,"PLANNING",IF(M164&gt;=1,"SOLD OUT",IF(M164&gt;=0.7,"ON TRACK",IF(M164&gt;=0.3,"SLOW MOVE",IF(M164&gt;0,"STUCK","BELUM TERJUAL"))))))),"—")</f>
        <v>—</v>
      </c>
    </row>
    <row r="165" ht="18.75" customHeight="1">
      <c r="A165" s="72"/>
      <c r="B165" s="112" t="str">
        <f t="array" ref="B165">IFERROR(IF(A165="","",INDEX(HPP_ENGINE!$B:$B,MATCH(A165,HPP_ENGINE!$A:$A,0))),"")</f>
        <v/>
      </c>
      <c r="C165" s="137" t="str">
        <f t="array" ref="C165">IFERROR(IF(A165="","",INDEX(HPP_ENGINE!$C:$C,MATCH(A165,HPP_ENGINE!$A:$A,0))),"")</f>
        <v/>
      </c>
      <c r="D165" s="115">
        <f t="array" ref="D165">IFERROR(IF(A165="",0,INDEX(PRODUCTION_PLAN!$D:$D,MATCH(A165,PRODUCTION_PLAN!$A:$A,0))),0)</f>
        <v>0</v>
      </c>
      <c r="E165" s="115">
        <f t="array" ref="E165">IFERROR(IF(A165="",0,INDEX(HPP_ENGINE!$D:$D,MATCH(A165,HPP_ENGINE!$A:$A,0))),0)</f>
        <v>0</v>
      </c>
      <c r="F165" s="115">
        <f>IFERROR(IF(A165="",0,SUMIFS(SALES_TRACKER!$E$4:$E$1003,SALES_TRACKER!$B$4:$B$1003,A165)),0)</f>
        <v>0</v>
      </c>
      <c r="G165" s="115">
        <f t="shared" si="1"/>
        <v>0</v>
      </c>
      <c r="H165" s="115">
        <f t="array" ref="H165">IFERROR(IF(A165="",0,INDEX(HPP_ENGINE!$I:$I,MATCH(A165,HPP_ENGINE!$A:$A,0))),0)</f>
        <v>0</v>
      </c>
      <c r="I165" s="115">
        <f>IFERROR(IF(A165="",0,SUMIFS(SALES_TRACKER!$G$4:$G$1003,SALES_TRACKER!$B$4:$B$1003,A165)),0)</f>
        <v>0</v>
      </c>
      <c r="J165" s="114">
        <f t="shared" si="2"/>
        <v>0</v>
      </c>
      <c r="K165" s="133">
        <f t="shared" si="3"/>
        <v>0</v>
      </c>
      <c r="L165" s="133">
        <f t="shared" si="4"/>
        <v>0</v>
      </c>
      <c r="M165" s="133">
        <f t="shared" si="5"/>
        <v>0</v>
      </c>
      <c r="N165" s="76" t="str">
        <f>IFERROR(IF(A165="","—",IF(COUNTIF(HPP_ENGINE!$A$4:$A$203,A165)=0,"⚠ BELUM DI HPP",IF(E165=0,"PLANNING",IF(M165&gt;=1,"SOLD OUT",IF(M165&gt;=0.7,"ON TRACK",IF(M165&gt;=0.3,"SLOW MOVE",IF(M165&gt;0,"STUCK","BELUM TERJUAL"))))))),"—")</f>
        <v>—</v>
      </c>
    </row>
    <row r="166" ht="18.75" customHeight="1">
      <c r="A166" s="77"/>
      <c r="B166" s="116" t="str">
        <f t="array" ref="B166">IFERROR(IF(A166="","",INDEX(HPP_ENGINE!$B:$B,MATCH(A166,HPP_ENGINE!$A:$A,0))),"")</f>
        <v/>
      </c>
      <c r="C166" s="135" t="str">
        <f t="array" ref="C166">IFERROR(IF(A166="","",INDEX(HPP_ENGINE!$C:$C,MATCH(A166,HPP_ENGINE!$A:$A,0))),"")</f>
        <v/>
      </c>
      <c r="D166" s="119">
        <f t="array" ref="D166">IFERROR(IF(A166="",0,INDEX(PRODUCTION_PLAN!$D:$D,MATCH(A166,PRODUCTION_PLAN!$A:$A,0))),0)</f>
        <v>0</v>
      </c>
      <c r="E166" s="119">
        <f t="array" ref="E166">IFERROR(IF(A166="",0,INDEX(HPP_ENGINE!$D:$D,MATCH(A166,HPP_ENGINE!$A:$A,0))),0)</f>
        <v>0</v>
      </c>
      <c r="F166" s="119">
        <f>IFERROR(IF(A166="",0,SUMIFS(SALES_TRACKER!$E$4:$E$1003,SALES_TRACKER!$B$4:$B$1003,A166)),0)</f>
        <v>0</v>
      </c>
      <c r="G166" s="119">
        <f t="shared" si="1"/>
        <v>0</v>
      </c>
      <c r="H166" s="119">
        <f t="array" ref="H166">IFERROR(IF(A166="",0,INDEX(HPP_ENGINE!$I:$I,MATCH(A166,HPP_ENGINE!$A:$A,0))),0)</f>
        <v>0</v>
      </c>
      <c r="I166" s="119">
        <f>IFERROR(IF(A166="",0,SUMIFS(SALES_TRACKER!$G$4:$G$1003,SALES_TRACKER!$B$4:$B$1003,A166)),0)</f>
        <v>0</v>
      </c>
      <c r="J166" s="118">
        <f t="shared" si="2"/>
        <v>0</v>
      </c>
      <c r="K166" s="136">
        <f t="shared" si="3"/>
        <v>0</v>
      </c>
      <c r="L166" s="136">
        <f t="shared" si="4"/>
        <v>0</v>
      </c>
      <c r="M166" s="136">
        <f t="shared" si="5"/>
        <v>0</v>
      </c>
      <c r="N166" s="81" t="str">
        <f>IFERROR(IF(A166="","—",IF(COUNTIF(HPP_ENGINE!$A$4:$A$203,A166)=0,"⚠ BELUM DI HPP",IF(E166=0,"PLANNING",IF(M166&gt;=1,"SOLD OUT",IF(M166&gt;=0.7,"ON TRACK",IF(M166&gt;=0.3,"SLOW MOVE",IF(M166&gt;0,"STUCK","BELUM TERJUAL"))))))),"—")</f>
        <v>—</v>
      </c>
    </row>
    <row r="167" ht="18.75" customHeight="1">
      <c r="A167" s="72"/>
      <c r="B167" s="112" t="str">
        <f t="array" ref="B167">IFERROR(IF(A167="","",INDEX(HPP_ENGINE!$B:$B,MATCH(A167,HPP_ENGINE!$A:$A,0))),"")</f>
        <v/>
      </c>
      <c r="C167" s="137" t="str">
        <f t="array" ref="C167">IFERROR(IF(A167="","",INDEX(HPP_ENGINE!$C:$C,MATCH(A167,HPP_ENGINE!$A:$A,0))),"")</f>
        <v/>
      </c>
      <c r="D167" s="115">
        <f t="array" ref="D167">IFERROR(IF(A167="",0,INDEX(PRODUCTION_PLAN!$D:$D,MATCH(A167,PRODUCTION_PLAN!$A:$A,0))),0)</f>
        <v>0</v>
      </c>
      <c r="E167" s="115">
        <f t="array" ref="E167">IFERROR(IF(A167="",0,INDEX(HPP_ENGINE!$D:$D,MATCH(A167,HPP_ENGINE!$A:$A,0))),0)</f>
        <v>0</v>
      </c>
      <c r="F167" s="115">
        <f>IFERROR(IF(A167="",0,SUMIFS(SALES_TRACKER!$E$4:$E$1003,SALES_TRACKER!$B$4:$B$1003,A167)),0)</f>
        <v>0</v>
      </c>
      <c r="G167" s="115">
        <f t="shared" si="1"/>
        <v>0</v>
      </c>
      <c r="H167" s="115">
        <f t="array" ref="H167">IFERROR(IF(A167="",0,INDEX(HPP_ENGINE!$I:$I,MATCH(A167,HPP_ENGINE!$A:$A,0))),0)</f>
        <v>0</v>
      </c>
      <c r="I167" s="115">
        <f>IFERROR(IF(A167="",0,SUMIFS(SALES_TRACKER!$G$4:$G$1003,SALES_TRACKER!$B$4:$B$1003,A167)),0)</f>
        <v>0</v>
      </c>
      <c r="J167" s="114">
        <f t="shared" si="2"/>
        <v>0</v>
      </c>
      <c r="K167" s="133">
        <f t="shared" si="3"/>
        <v>0</v>
      </c>
      <c r="L167" s="133">
        <f t="shared" si="4"/>
        <v>0</v>
      </c>
      <c r="M167" s="133">
        <f t="shared" si="5"/>
        <v>0</v>
      </c>
      <c r="N167" s="76" t="str">
        <f>IFERROR(IF(A167="","—",IF(COUNTIF(HPP_ENGINE!$A$4:$A$203,A167)=0,"⚠ BELUM DI HPP",IF(E167=0,"PLANNING",IF(M167&gt;=1,"SOLD OUT",IF(M167&gt;=0.7,"ON TRACK",IF(M167&gt;=0.3,"SLOW MOVE",IF(M167&gt;0,"STUCK","BELUM TERJUAL"))))))),"—")</f>
        <v>—</v>
      </c>
    </row>
    <row r="168" ht="18.75" customHeight="1">
      <c r="A168" s="77"/>
      <c r="B168" s="116" t="str">
        <f t="array" ref="B168">IFERROR(IF(A168="","",INDEX(HPP_ENGINE!$B:$B,MATCH(A168,HPP_ENGINE!$A:$A,0))),"")</f>
        <v/>
      </c>
      <c r="C168" s="135" t="str">
        <f t="array" ref="C168">IFERROR(IF(A168="","",INDEX(HPP_ENGINE!$C:$C,MATCH(A168,HPP_ENGINE!$A:$A,0))),"")</f>
        <v/>
      </c>
      <c r="D168" s="119">
        <f t="array" ref="D168">IFERROR(IF(A168="",0,INDEX(PRODUCTION_PLAN!$D:$D,MATCH(A168,PRODUCTION_PLAN!$A:$A,0))),0)</f>
        <v>0</v>
      </c>
      <c r="E168" s="119">
        <f t="array" ref="E168">IFERROR(IF(A168="",0,INDEX(HPP_ENGINE!$D:$D,MATCH(A168,HPP_ENGINE!$A:$A,0))),0)</f>
        <v>0</v>
      </c>
      <c r="F168" s="119">
        <f>IFERROR(IF(A168="",0,SUMIFS(SALES_TRACKER!$E$4:$E$1003,SALES_TRACKER!$B$4:$B$1003,A168)),0)</f>
        <v>0</v>
      </c>
      <c r="G168" s="119">
        <f t="shared" si="1"/>
        <v>0</v>
      </c>
      <c r="H168" s="119">
        <f t="array" ref="H168">IFERROR(IF(A168="",0,INDEX(HPP_ENGINE!$I:$I,MATCH(A168,HPP_ENGINE!$A:$A,0))),0)</f>
        <v>0</v>
      </c>
      <c r="I168" s="119">
        <f>IFERROR(IF(A168="",0,SUMIFS(SALES_TRACKER!$G$4:$G$1003,SALES_TRACKER!$B$4:$B$1003,A168)),0)</f>
        <v>0</v>
      </c>
      <c r="J168" s="118">
        <f t="shared" si="2"/>
        <v>0</v>
      </c>
      <c r="K168" s="136">
        <f t="shared" si="3"/>
        <v>0</v>
      </c>
      <c r="L168" s="136">
        <f t="shared" si="4"/>
        <v>0</v>
      </c>
      <c r="M168" s="136">
        <f t="shared" si="5"/>
        <v>0</v>
      </c>
      <c r="N168" s="81" t="str">
        <f>IFERROR(IF(A168="","—",IF(COUNTIF(HPP_ENGINE!$A$4:$A$203,A168)=0,"⚠ BELUM DI HPP",IF(E168=0,"PLANNING",IF(M168&gt;=1,"SOLD OUT",IF(M168&gt;=0.7,"ON TRACK",IF(M168&gt;=0.3,"SLOW MOVE",IF(M168&gt;0,"STUCK","BELUM TERJUAL"))))))),"—")</f>
        <v>—</v>
      </c>
    </row>
    <row r="169" ht="18.75" customHeight="1">
      <c r="A169" s="72"/>
      <c r="B169" s="112" t="str">
        <f t="array" ref="B169">IFERROR(IF(A169="","",INDEX(HPP_ENGINE!$B:$B,MATCH(A169,HPP_ENGINE!$A:$A,0))),"")</f>
        <v/>
      </c>
      <c r="C169" s="137" t="str">
        <f t="array" ref="C169">IFERROR(IF(A169="","",INDEX(HPP_ENGINE!$C:$C,MATCH(A169,HPP_ENGINE!$A:$A,0))),"")</f>
        <v/>
      </c>
      <c r="D169" s="115">
        <f t="array" ref="D169">IFERROR(IF(A169="",0,INDEX(PRODUCTION_PLAN!$D:$D,MATCH(A169,PRODUCTION_PLAN!$A:$A,0))),0)</f>
        <v>0</v>
      </c>
      <c r="E169" s="115">
        <f t="array" ref="E169">IFERROR(IF(A169="",0,INDEX(HPP_ENGINE!$D:$D,MATCH(A169,HPP_ENGINE!$A:$A,0))),0)</f>
        <v>0</v>
      </c>
      <c r="F169" s="115">
        <f>IFERROR(IF(A169="",0,SUMIFS(SALES_TRACKER!$E$4:$E$1003,SALES_TRACKER!$B$4:$B$1003,A169)),0)</f>
        <v>0</v>
      </c>
      <c r="G169" s="115">
        <f t="shared" si="1"/>
        <v>0</v>
      </c>
      <c r="H169" s="115">
        <f t="array" ref="H169">IFERROR(IF(A169="",0,INDEX(HPP_ENGINE!$I:$I,MATCH(A169,HPP_ENGINE!$A:$A,0))),0)</f>
        <v>0</v>
      </c>
      <c r="I169" s="115">
        <f>IFERROR(IF(A169="",0,SUMIFS(SALES_TRACKER!$G$4:$G$1003,SALES_TRACKER!$B$4:$B$1003,A169)),0)</f>
        <v>0</v>
      </c>
      <c r="J169" s="114">
        <f t="shared" si="2"/>
        <v>0</v>
      </c>
      <c r="K169" s="133">
        <f t="shared" si="3"/>
        <v>0</v>
      </c>
      <c r="L169" s="133">
        <f t="shared" si="4"/>
        <v>0</v>
      </c>
      <c r="M169" s="133">
        <f t="shared" si="5"/>
        <v>0</v>
      </c>
      <c r="N169" s="76" t="str">
        <f>IFERROR(IF(A169="","—",IF(COUNTIF(HPP_ENGINE!$A$4:$A$203,A169)=0,"⚠ BELUM DI HPP",IF(E169=0,"PLANNING",IF(M169&gt;=1,"SOLD OUT",IF(M169&gt;=0.7,"ON TRACK",IF(M169&gt;=0.3,"SLOW MOVE",IF(M169&gt;0,"STUCK","BELUM TERJUAL"))))))),"—")</f>
        <v>—</v>
      </c>
    </row>
    <row r="170" ht="18.75" customHeight="1">
      <c r="A170" s="77"/>
      <c r="B170" s="116" t="str">
        <f t="array" ref="B170">IFERROR(IF(A170="","",INDEX(HPP_ENGINE!$B:$B,MATCH(A170,HPP_ENGINE!$A:$A,0))),"")</f>
        <v/>
      </c>
      <c r="C170" s="135" t="str">
        <f t="array" ref="C170">IFERROR(IF(A170="","",INDEX(HPP_ENGINE!$C:$C,MATCH(A170,HPP_ENGINE!$A:$A,0))),"")</f>
        <v/>
      </c>
      <c r="D170" s="119">
        <f t="array" ref="D170">IFERROR(IF(A170="",0,INDEX(PRODUCTION_PLAN!$D:$D,MATCH(A170,PRODUCTION_PLAN!$A:$A,0))),0)</f>
        <v>0</v>
      </c>
      <c r="E170" s="119">
        <f t="array" ref="E170">IFERROR(IF(A170="",0,INDEX(HPP_ENGINE!$D:$D,MATCH(A170,HPP_ENGINE!$A:$A,0))),0)</f>
        <v>0</v>
      </c>
      <c r="F170" s="119">
        <f>IFERROR(IF(A170="",0,SUMIFS(SALES_TRACKER!$E$4:$E$1003,SALES_TRACKER!$B$4:$B$1003,A170)),0)</f>
        <v>0</v>
      </c>
      <c r="G170" s="119">
        <f t="shared" si="1"/>
        <v>0</v>
      </c>
      <c r="H170" s="119">
        <f t="array" ref="H170">IFERROR(IF(A170="",0,INDEX(HPP_ENGINE!$I:$I,MATCH(A170,HPP_ENGINE!$A:$A,0))),0)</f>
        <v>0</v>
      </c>
      <c r="I170" s="119">
        <f>IFERROR(IF(A170="",0,SUMIFS(SALES_TRACKER!$G$4:$G$1003,SALES_TRACKER!$B$4:$B$1003,A170)),0)</f>
        <v>0</v>
      </c>
      <c r="J170" s="118">
        <f t="shared" si="2"/>
        <v>0</v>
      </c>
      <c r="K170" s="136">
        <f t="shared" si="3"/>
        <v>0</v>
      </c>
      <c r="L170" s="136">
        <f t="shared" si="4"/>
        <v>0</v>
      </c>
      <c r="M170" s="136">
        <f t="shared" si="5"/>
        <v>0</v>
      </c>
      <c r="N170" s="81" t="str">
        <f>IFERROR(IF(A170="","—",IF(COUNTIF(HPP_ENGINE!$A$4:$A$203,A170)=0,"⚠ BELUM DI HPP",IF(E170=0,"PLANNING",IF(M170&gt;=1,"SOLD OUT",IF(M170&gt;=0.7,"ON TRACK",IF(M170&gt;=0.3,"SLOW MOVE",IF(M170&gt;0,"STUCK","BELUM TERJUAL"))))))),"—")</f>
        <v>—</v>
      </c>
    </row>
    <row r="171" ht="18.75" customHeight="1">
      <c r="A171" s="72"/>
      <c r="B171" s="112" t="str">
        <f t="array" ref="B171">IFERROR(IF(A171="","",INDEX(HPP_ENGINE!$B:$B,MATCH(A171,HPP_ENGINE!$A:$A,0))),"")</f>
        <v/>
      </c>
      <c r="C171" s="137" t="str">
        <f t="array" ref="C171">IFERROR(IF(A171="","",INDEX(HPP_ENGINE!$C:$C,MATCH(A171,HPP_ENGINE!$A:$A,0))),"")</f>
        <v/>
      </c>
      <c r="D171" s="115">
        <f t="array" ref="D171">IFERROR(IF(A171="",0,INDEX(PRODUCTION_PLAN!$D:$D,MATCH(A171,PRODUCTION_PLAN!$A:$A,0))),0)</f>
        <v>0</v>
      </c>
      <c r="E171" s="115">
        <f t="array" ref="E171">IFERROR(IF(A171="",0,INDEX(HPP_ENGINE!$D:$D,MATCH(A171,HPP_ENGINE!$A:$A,0))),0)</f>
        <v>0</v>
      </c>
      <c r="F171" s="115">
        <f>IFERROR(IF(A171="",0,SUMIFS(SALES_TRACKER!$E$4:$E$1003,SALES_TRACKER!$B$4:$B$1003,A171)),0)</f>
        <v>0</v>
      </c>
      <c r="G171" s="115">
        <f t="shared" si="1"/>
        <v>0</v>
      </c>
      <c r="H171" s="115">
        <f t="array" ref="H171">IFERROR(IF(A171="",0,INDEX(HPP_ENGINE!$I:$I,MATCH(A171,HPP_ENGINE!$A:$A,0))),0)</f>
        <v>0</v>
      </c>
      <c r="I171" s="115">
        <f>IFERROR(IF(A171="",0,SUMIFS(SALES_TRACKER!$G$4:$G$1003,SALES_TRACKER!$B$4:$B$1003,A171)),0)</f>
        <v>0</v>
      </c>
      <c r="J171" s="114">
        <f t="shared" si="2"/>
        <v>0</v>
      </c>
      <c r="K171" s="133">
        <f t="shared" si="3"/>
        <v>0</v>
      </c>
      <c r="L171" s="133">
        <f t="shared" si="4"/>
        <v>0</v>
      </c>
      <c r="M171" s="133">
        <f t="shared" si="5"/>
        <v>0</v>
      </c>
      <c r="N171" s="76" t="str">
        <f>IFERROR(IF(A171="","—",IF(COUNTIF(HPP_ENGINE!$A$4:$A$203,A171)=0,"⚠ BELUM DI HPP",IF(E171=0,"PLANNING",IF(M171&gt;=1,"SOLD OUT",IF(M171&gt;=0.7,"ON TRACK",IF(M171&gt;=0.3,"SLOW MOVE",IF(M171&gt;0,"STUCK","BELUM TERJUAL"))))))),"—")</f>
        <v>—</v>
      </c>
    </row>
    <row r="172" ht="18.75" customHeight="1">
      <c r="A172" s="77"/>
      <c r="B172" s="116" t="str">
        <f t="array" ref="B172">IFERROR(IF(A172="","",INDEX(HPP_ENGINE!$B:$B,MATCH(A172,HPP_ENGINE!$A:$A,0))),"")</f>
        <v/>
      </c>
      <c r="C172" s="135" t="str">
        <f t="array" ref="C172">IFERROR(IF(A172="","",INDEX(HPP_ENGINE!$C:$C,MATCH(A172,HPP_ENGINE!$A:$A,0))),"")</f>
        <v/>
      </c>
      <c r="D172" s="119">
        <f t="array" ref="D172">IFERROR(IF(A172="",0,INDEX(PRODUCTION_PLAN!$D:$D,MATCH(A172,PRODUCTION_PLAN!$A:$A,0))),0)</f>
        <v>0</v>
      </c>
      <c r="E172" s="119">
        <f t="array" ref="E172">IFERROR(IF(A172="",0,INDEX(HPP_ENGINE!$D:$D,MATCH(A172,HPP_ENGINE!$A:$A,0))),0)</f>
        <v>0</v>
      </c>
      <c r="F172" s="119">
        <f>IFERROR(IF(A172="",0,SUMIFS(SALES_TRACKER!$E$4:$E$1003,SALES_TRACKER!$B$4:$B$1003,A172)),0)</f>
        <v>0</v>
      </c>
      <c r="G172" s="119">
        <f t="shared" si="1"/>
        <v>0</v>
      </c>
      <c r="H172" s="119">
        <f t="array" ref="H172">IFERROR(IF(A172="",0,INDEX(HPP_ENGINE!$I:$I,MATCH(A172,HPP_ENGINE!$A:$A,0))),0)</f>
        <v>0</v>
      </c>
      <c r="I172" s="119">
        <f>IFERROR(IF(A172="",0,SUMIFS(SALES_TRACKER!$G$4:$G$1003,SALES_TRACKER!$B$4:$B$1003,A172)),0)</f>
        <v>0</v>
      </c>
      <c r="J172" s="118">
        <f t="shared" si="2"/>
        <v>0</v>
      </c>
      <c r="K172" s="136">
        <f t="shared" si="3"/>
        <v>0</v>
      </c>
      <c r="L172" s="136">
        <f t="shared" si="4"/>
        <v>0</v>
      </c>
      <c r="M172" s="136">
        <f t="shared" si="5"/>
        <v>0</v>
      </c>
      <c r="N172" s="81" t="str">
        <f>IFERROR(IF(A172="","—",IF(COUNTIF(HPP_ENGINE!$A$4:$A$203,A172)=0,"⚠ BELUM DI HPP",IF(E172=0,"PLANNING",IF(M172&gt;=1,"SOLD OUT",IF(M172&gt;=0.7,"ON TRACK",IF(M172&gt;=0.3,"SLOW MOVE",IF(M172&gt;0,"STUCK","BELUM TERJUAL"))))))),"—")</f>
        <v>—</v>
      </c>
    </row>
    <row r="173" ht="18.75" customHeight="1">
      <c r="A173" s="72"/>
      <c r="B173" s="112" t="str">
        <f t="array" ref="B173">IFERROR(IF(A173="","",INDEX(HPP_ENGINE!$B:$B,MATCH(A173,HPP_ENGINE!$A:$A,0))),"")</f>
        <v/>
      </c>
      <c r="C173" s="137" t="str">
        <f t="array" ref="C173">IFERROR(IF(A173="","",INDEX(HPP_ENGINE!$C:$C,MATCH(A173,HPP_ENGINE!$A:$A,0))),"")</f>
        <v/>
      </c>
      <c r="D173" s="115">
        <f t="array" ref="D173">IFERROR(IF(A173="",0,INDEX(PRODUCTION_PLAN!$D:$D,MATCH(A173,PRODUCTION_PLAN!$A:$A,0))),0)</f>
        <v>0</v>
      </c>
      <c r="E173" s="115">
        <f t="array" ref="E173">IFERROR(IF(A173="",0,INDEX(HPP_ENGINE!$D:$D,MATCH(A173,HPP_ENGINE!$A:$A,0))),0)</f>
        <v>0</v>
      </c>
      <c r="F173" s="115">
        <f>IFERROR(IF(A173="",0,SUMIFS(SALES_TRACKER!$E$4:$E$1003,SALES_TRACKER!$B$4:$B$1003,A173)),0)</f>
        <v>0</v>
      </c>
      <c r="G173" s="115">
        <f t="shared" si="1"/>
        <v>0</v>
      </c>
      <c r="H173" s="115">
        <f t="array" ref="H173">IFERROR(IF(A173="",0,INDEX(HPP_ENGINE!$I:$I,MATCH(A173,HPP_ENGINE!$A:$A,0))),0)</f>
        <v>0</v>
      </c>
      <c r="I173" s="115">
        <f>IFERROR(IF(A173="",0,SUMIFS(SALES_TRACKER!$G$4:$G$1003,SALES_TRACKER!$B$4:$B$1003,A173)),0)</f>
        <v>0</v>
      </c>
      <c r="J173" s="114">
        <f t="shared" si="2"/>
        <v>0</v>
      </c>
      <c r="K173" s="133">
        <f t="shared" si="3"/>
        <v>0</v>
      </c>
      <c r="L173" s="133">
        <f t="shared" si="4"/>
        <v>0</v>
      </c>
      <c r="M173" s="133">
        <f t="shared" si="5"/>
        <v>0</v>
      </c>
      <c r="N173" s="76" t="str">
        <f>IFERROR(IF(A173="","—",IF(COUNTIF(HPP_ENGINE!$A$4:$A$203,A173)=0,"⚠ BELUM DI HPP",IF(E173=0,"PLANNING",IF(M173&gt;=1,"SOLD OUT",IF(M173&gt;=0.7,"ON TRACK",IF(M173&gt;=0.3,"SLOW MOVE",IF(M173&gt;0,"STUCK","BELUM TERJUAL"))))))),"—")</f>
        <v>—</v>
      </c>
    </row>
    <row r="174" ht="18.75" customHeight="1">
      <c r="A174" s="77"/>
      <c r="B174" s="116" t="str">
        <f t="array" ref="B174">IFERROR(IF(A174="","",INDEX(HPP_ENGINE!$B:$B,MATCH(A174,HPP_ENGINE!$A:$A,0))),"")</f>
        <v/>
      </c>
      <c r="C174" s="135" t="str">
        <f t="array" ref="C174">IFERROR(IF(A174="","",INDEX(HPP_ENGINE!$C:$C,MATCH(A174,HPP_ENGINE!$A:$A,0))),"")</f>
        <v/>
      </c>
      <c r="D174" s="119">
        <f t="array" ref="D174">IFERROR(IF(A174="",0,INDEX(PRODUCTION_PLAN!$D:$D,MATCH(A174,PRODUCTION_PLAN!$A:$A,0))),0)</f>
        <v>0</v>
      </c>
      <c r="E174" s="119">
        <f t="array" ref="E174">IFERROR(IF(A174="",0,INDEX(HPP_ENGINE!$D:$D,MATCH(A174,HPP_ENGINE!$A:$A,0))),0)</f>
        <v>0</v>
      </c>
      <c r="F174" s="119">
        <f>IFERROR(IF(A174="",0,SUMIFS(SALES_TRACKER!$E$4:$E$1003,SALES_TRACKER!$B$4:$B$1003,A174)),0)</f>
        <v>0</v>
      </c>
      <c r="G174" s="119">
        <f t="shared" si="1"/>
        <v>0</v>
      </c>
      <c r="H174" s="119">
        <f t="array" ref="H174">IFERROR(IF(A174="",0,INDEX(HPP_ENGINE!$I:$I,MATCH(A174,HPP_ENGINE!$A:$A,0))),0)</f>
        <v>0</v>
      </c>
      <c r="I174" s="119">
        <f>IFERROR(IF(A174="",0,SUMIFS(SALES_TRACKER!$G$4:$G$1003,SALES_TRACKER!$B$4:$B$1003,A174)),0)</f>
        <v>0</v>
      </c>
      <c r="J174" s="118">
        <f t="shared" si="2"/>
        <v>0</v>
      </c>
      <c r="K174" s="136">
        <f t="shared" si="3"/>
        <v>0</v>
      </c>
      <c r="L174" s="136">
        <f t="shared" si="4"/>
        <v>0</v>
      </c>
      <c r="M174" s="136">
        <f t="shared" si="5"/>
        <v>0</v>
      </c>
      <c r="N174" s="81" t="str">
        <f>IFERROR(IF(A174="","—",IF(COUNTIF(HPP_ENGINE!$A$4:$A$203,A174)=0,"⚠ BELUM DI HPP",IF(E174=0,"PLANNING",IF(M174&gt;=1,"SOLD OUT",IF(M174&gt;=0.7,"ON TRACK",IF(M174&gt;=0.3,"SLOW MOVE",IF(M174&gt;0,"STUCK","BELUM TERJUAL"))))))),"—")</f>
        <v>—</v>
      </c>
    </row>
    <row r="175" ht="18.75" customHeight="1">
      <c r="A175" s="72"/>
      <c r="B175" s="112" t="str">
        <f t="array" ref="B175">IFERROR(IF(A175="","",INDEX(HPP_ENGINE!$B:$B,MATCH(A175,HPP_ENGINE!$A:$A,0))),"")</f>
        <v/>
      </c>
      <c r="C175" s="137" t="str">
        <f t="array" ref="C175">IFERROR(IF(A175="","",INDEX(HPP_ENGINE!$C:$C,MATCH(A175,HPP_ENGINE!$A:$A,0))),"")</f>
        <v/>
      </c>
      <c r="D175" s="115">
        <f t="array" ref="D175">IFERROR(IF(A175="",0,INDEX(PRODUCTION_PLAN!$D:$D,MATCH(A175,PRODUCTION_PLAN!$A:$A,0))),0)</f>
        <v>0</v>
      </c>
      <c r="E175" s="115">
        <f t="array" ref="E175">IFERROR(IF(A175="",0,INDEX(HPP_ENGINE!$D:$D,MATCH(A175,HPP_ENGINE!$A:$A,0))),0)</f>
        <v>0</v>
      </c>
      <c r="F175" s="115">
        <f>IFERROR(IF(A175="",0,SUMIFS(SALES_TRACKER!$E$4:$E$1003,SALES_TRACKER!$B$4:$B$1003,A175)),0)</f>
        <v>0</v>
      </c>
      <c r="G175" s="115">
        <f t="shared" si="1"/>
        <v>0</v>
      </c>
      <c r="H175" s="115">
        <f t="array" ref="H175">IFERROR(IF(A175="",0,INDEX(HPP_ENGINE!$I:$I,MATCH(A175,HPP_ENGINE!$A:$A,0))),0)</f>
        <v>0</v>
      </c>
      <c r="I175" s="115">
        <f>IFERROR(IF(A175="",0,SUMIFS(SALES_TRACKER!$G$4:$G$1003,SALES_TRACKER!$B$4:$B$1003,A175)),0)</f>
        <v>0</v>
      </c>
      <c r="J175" s="114">
        <f t="shared" si="2"/>
        <v>0</v>
      </c>
      <c r="K175" s="133">
        <f t="shared" si="3"/>
        <v>0</v>
      </c>
      <c r="L175" s="133">
        <f t="shared" si="4"/>
        <v>0</v>
      </c>
      <c r="M175" s="133">
        <f t="shared" si="5"/>
        <v>0</v>
      </c>
      <c r="N175" s="76" t="str">
        <f>IFERROR(IF(A175="","—",IF(COUNTIF(HPP_ENGINE!$A$4:$A$203,A175)=0,"⚠ BELUM DI HPP",IF(E175=0,"PLANNING",IF(M175&gt;=1,"SOLD OUT",IF(M175&gt;=0.7,"ON TRACK",IF(M175&gt;=0.3,"SLOW MOVE",IF(M175&gt;0,"STUCK","BELUM TERJUAL"))))))),"—")</f>
        <v>—</v>
      </c>
    </row>
    <row r="176" ht="18.75" customHeight="1">
      <c r="A176" s="77"/>
      <c r="B176" s="116" t="str">
        <f t="array" ref="B176">IFERROR(IF(A176="","",INDEX(HPP_ENGINE!$B:$B,MATCH(A176,HPP_ENGINE!$A:$A,0))),"")</f>
        <v/>
      </c>
      <c r="C176" s="135" t="str">
        <f t="array" ref="C176">IFERROR(IF(A176="","",INDEX(HPP_ENGINE!$C:$C,MATCH(A176,HPP_ENGINE!$A:$A,0))),"")</f>
        <v/>
      </c>
      <c r="D176" s="119">
        <f t="array" ref="D176">IFERROR(IF(A176="",0,INDEX(PRODUCTION_PLAN!$D:$D,MATCH(A176,PRODUCTION_PLAN!$A:$A,0))),0)</f>
        <v>0</v>
      </c>
      <c r="E176" s="119">
        <f t="array" ref="E176">IFERROR(IF(A176="",0,INDEX(HPP_ENGINE!$D:$D,MATCH(A176,HPP_ENGINE!$A:$A,0))),0)</f>
        <v>0</v>
      </c>
      <c r="F176" s="119">
        <f>IFERROR(IF(A176="",0,SUMIFS(SALES_TRACKER!$E$4:$E$1003,SALES_TRACKER!$B$4:$B$1003,A176)),0)</f>
        <v>0</v>
      </c>
      <c r="G176" s="119">
        <f t="shared" si="1"/>
        <v>0</v>
      </c>
      <c r="H176" s="119">
        <f t="array" ref="H176">IFERROR(IF(A176="",0,INDEX(HPP_ENGINE!$I:$I,MATCH(A176,HPP_ENGINE!$A:$A,0))),0)</f>
        <v>0</v>
      </c>
      <c r="I176" s="119">
        <f>IFERROR(IF(A176="",0,SUMIFS(SALES_TRACKER!$G$4:$G$1003,SALES_TRACKER!$B$4:$B$1003,A176)),0)</f>
        <v>0</v>
      </c>
      <c r="J176" s="118">
        <f t="shared" si="2"/>
        <v>0</v>
      </c>
      <c r="K176" s="136">
        <f t="shared" si="3"/>
        <v>0</v>
      </c>
      <c r="L176" s="136">
        <f t="shared" si="4"/>
        <v>0</v>
      </c>
      <c r="M176" s="136">
        <f t="shared" si="5"/>
        <v>0</v>
      </c>
      <c r="N176" s="81" t="str">
        <f>IFERROR(IF(A176="","—",IF(COUNTIF(HPP_ENGINE!$A$4:$A$203,A176)=0,"⚠ BELUM DI HPP",IF(E176=0,"PLANNING",IF(M176&gt;=1,"SOLD OUT",IF(M176&gt;=0.7,"ON TRACK",IF(M176&gt;=0.3,"SLOW MOVE",IF(M176&gt;0,"STUCK","BELUM TERJUAL"))))))),"—")</f>
        <v>—</v>
      </c>
    </row>
    <row r="177" ht="18.75" customHeight="1">
      <c r="A177" s="72"/>
      <c r="B177" s="112" t="str">
        <f t="array" ref="B177">IFERROR(IF(A177="","",INDEX(HPP_ENGINE!$B:$B,MATCH(A177,HPP_ENGINE!$A:$A,0))),"")</f>
        <v/>
      </c>
      <c r="C177" s="137" t="str">
        <f t="array" ref="C177">IFERROR(IF(A177="","",INDEX(HPP_ENGINE!$C:$C,MATCH(A177,HPP_ENGINE!$A:$A,0))),"")</f>
        <v/>
      </c>
      <c r="D177" s="115">
        <f t="array" ref="D177">IFERROR(IF(A177="",0,INDEX(PRODUCTION_PLAN!$D:$D,MATCH(A177,PRODUCTION_PLAN!$A:$A,0))),0)</f>
        <v>0</v>
      </c>
      <c r="E177" s="115">
        <f t="array" ref="E177">IFERROR(IF(A177="",0,INDEX(HPP_ENGINE!$D:$D,MATCH(A177,HPP_ENGINE!$A:$A,0))),0)</f>
        <v>0</v>
      </c>
      <c r="F177" s="115">
        <f>IFERROR(IF(A177="",0,SUMIFS(SALES_TRACKER!$E$4:$E$1003,SALES_TRACKER!$B$4:$B$1003,A177)),0)</f>
        <v>0</v>
      </c>
      <c r="G177" s="115">
        <f t="shared" si="1"/>
        <v>0</v>
      </c>
      <c r="H177" s="115">
        <f t="array" ref="H177">IFERROR(IF(A177="",0,INDEX(HPP_ENGINE!$I:$I,MATCH(A177,HPP_ENGINE!$A:$A,0))),0)</f>
        <v>0</v>
      </c>
      <c r="I177" s="115">
        <f>IFERROR(IF(A177="",0,SUMIFS(SALES_TRACKER!$G$4:$G$1003,SALES_TRACKER!$B$4:$B$1003,A177)),0)</f>
        <v>0</v>
      </c>
      <c r="J177" s="114">
        <f t="shared" si="2"/>
        <v>0</v>
      </c>
      <c r="K177" s="133">
        <f t="shared" si="3"/>
        <v>0</v>
      </c>
      <c r="L177" s="133">
        <f t="shared" si="4"/>
        <v>0</v>
      </c>
      <c r="M177" s="133">
        <f t="shared" si="5"/>
        <v>0</v>
      </c>
      <c r="N177" s="76" t="str">
        <f>IFERROR(IF(A177="","—",IF(COUNTIF(HPP_ENGINE!$A$4:$A$203,A177)=0,"⚠ BELUM DI HPP",IF(E177=0,"PLANNING",IF(M177&gt;=1,"SOLD OUT",IF(M177&gt;=0.7,"ON TRACK",IF(M177&gt;=0.3,"SLOW MOVE",IF(M177&gt;0,"STUCK","BELUM TERJUAL"))))))),"—")</f>
        <v>—</v>
      </c>
    </row>
    <row r="178" ht="18.75" customHeight="1">
      <c r="A178" s="77"/>
      <c r="B178" s="116" t="str">
        <f t="array" ref="B178">IFERROR(IF(A178="","",INDEX(HPP_ENGINE!$B:$B,MATCH(A178,HPP_ENGINE!$A:$A,0))),"")</f>
        <v/>
      </c>
      <c r="C178" s="135" t="str">
        <f t="array" ref="C178">IFERROR(IF(A178="","",INDEX(HPP_ENGINE!$C:$C,MATCH(A178,HPP_ENGINE!$A:$A,0))),"")</f>
        <v/>
      </c>
      <c r="D178" s="119">
        <f t="array" ref="D178">IFERROR(IF(A178="",0,INDEX(PRODUCTION_PLAN!$D:$D,MATCH(A178,PRODUCTION_PLAN!$A:$A,0))),0)</f>
        <v>0</v>
      </c>
      <c r="E178" s="119">
        <f t="array" ref="E178">IFERROR(IF(A178="",0,INDEX(HPP_ENGINE!$D:$D,MATCH(A178,HPP_ENGINE!$A:$A,0))),0)</f>
        <v>0</v>
      </c>
      <c r="F178" s="119">
        <f>IFERROR(IF(A178="",0,SUMIFS(SALES_TRACKER!$E$4:$E$1003,SALES_TRACKER!$B$4:$B$1003,A178)),0)</f>
        <v>0</v>
      </c>
      <c r="G178" s="119">
        <f t="shared" si="1"/>
        <v>0</v>
      </c>
      <c r="H178" s="119">
        <f t="array" ref="H178">IFERROR(IF(A178="",0,INDEX(HPP_ENGINE!$I:$I,MATCH(A178,HPP_ENGINE!$A:$A,0))),0)</f>
        <v>0</v>
      </c>
      <c r="I178" s="119">
        <f>IFERROR(IF(A178="",0,SUMIFS(SALES_TRACKER!$G$4:$G$1003,SALES_TRACKER!$B$4:$B$1003,A178)),0)</f>
        <v>0</v>
      </c>
      <c r="J178" s="118">
        <f t="shared" si="2"/>
        <v>0</v>
      </c>
      <c r="K178" s="136">
        <f t="shared" si="3"/>
        <v>0</v>
      </c>
      <c r="L178" s="136">
        <f t="shared" si="4"/>
        <v>0</v>
      </c>
      <c r="M178" s="136">
        <f t="shared" si="5"/>
        <v>0</v>
      </c>
      <c r="N178" s="81" t="str">
        <f>IFERROR(IF(A178="","—",IF(COUNTIF(HPP_ENGINE!$A$4:$A$203,A178)=0,"⚠ BELUM DI HPP",IF(E178=0,"PLANNING",IF(M178&gt;=1,"SOLD OUT",IF(M178&gt;=0.7,"ON TRACK",IF(M178&gt;=0.3,"SLOW MOVE",IF(M178&gt;0,"STUCK","BELUM TERJUAL"))))))),"—")</f>
        <v>—</v>
      </c>
    </row>
    <row r="179" ht="18.75" customHeight="1">
      <c r="A179" s="72"/>
      <c r="B179" s="112" t="str">
        <f t="array" ref="B179">IFERROR(IF(A179="","",INDEX(HPP_ENGINE!$B:$B,MATCH(A179,HPP_ENGINE!$A:$A,0))),"")</f>
        <v/>
      </c>
      <c r="C179" s="137" t="str">
        <f t="array" ref="C179">IFERROR(IF(A179="","",INDEX(HPP_ENGINE!$C:$C,MATCH(A179,HPP_ENGINE!$A:$A,0))),"")</f>
        <v/>
      </c>
      <c r="D179" s="115">
        <f t="array" ref="D179">IFERROR(IF(A179="",0,INDEX(PRODUCTION_PLAN!$D:$D,MATCH(A179,PRODUCTION_PLAN!$A:$A,0))),0)</f>
        <v>0</v>
      </c>
      <c r="E179" s="115">
        <f t="array" ref="E179">IFERROR(IF(A179="",0,INDEX(HPP_ENGINE!$D:$D,MATCH(A179,HPP_ENGINE!$A:$A,0))),0)</f>
        <v>0</v>
      </c>
      <c r="F179" s="115">
        <f>IFERROR(IF(A179="",0,SUMIFS(SALES_TRACKER!$E$4:$E$1003,SALES_TRACKER!$B$4:$B$1003,A179)),0)</f>
        <v>0</v>
      </c>
      <c r="G179" s="115">
        <f t="shared" si="1"/>
        <v>0</v>
      </c>
      <c r="H179" s="115">
        <f t="array" ref="H179">IFERROR(IF(A179="",0,INDEX(HPP_ENGINE!$I:$I,MATCH(A179,HPP_ENGINE!$A:$A,0))),0)</f>
        <v>0</v>
      </c>
      <c r="I179" s="115">
        <f>IFERROR(IF(A179="",0,SUMIFS(SALES_TRACKER!$G$4:$G$1003,SALES_TRACKER!$B$4:$B$1003,A179)),0)</f>
        <v>0</v>
      </c>
      <c r="J179" s="114">
        <f t="shared" si="2"/>
        <v>0</v>
      </c>
      <c r="K179" s="133">
        <f t="shared" si="3"/>
        <v>0</v>
      </c>
      <c r="L179" s="133">
        <f t="shared" si="4"/>
        <v>0</v>
      </c>
      <c r="M179" s="133">
        <f t="shared" si="5"/>
        <v>0</v>
      </c>
      <c r="N179" s="76" t="str">
        <f>IFERROR(IF(A179="","—",IF(COUNTIF(HPP_ENGINE!$A$4:$A$203,A179)=0,"⚠ BELUM DI HPP",IF(E179=0,"PLANNING",IF(M179&gt;=1,"SOLD OUT",IF(M179&gt;=0.7,"ON TRACK",IF(M179&gt;=0.3,"SLOW MOVE",IF(M179&gt;0,"STUCK","BELUM TERJUAL"))))))),"—")</f>
        <v>—</v>
      </c>
    </row>
    <row r="180" ht="18.75" customHeight="1">
      <c r="A180" s="77"/>
      <c r="B180" s="116" t="str">
        <f t="array" ref="B180">IFERROR(IF(A180="","",INDEX(HPP_ENGINE!$B:$B,MATCH(A180,HPP_ENGINE!$A:$A,0))),"")</f>
        <v/>
      </c>
      <c r="C180" s="135" t="str">
        <f t="array" ref="C180">IFERROR(IF(A180="","",INDEX(HPP_ENGINE!$C:$C,MATCH(A180,HPP_ENGINE!$A:$A,0))),"")</f>
        <v/>
      </c>
      <c r="D180" s="119">
        <f t="array" ref="D180">IFERROR(IF(A180="",0,INDEX(PRODUCTION_PLAN!$D:$D,MATCH(A180,PRODUCTION_PLAN!$A:$A,0))),0)</f>
        <v>0</v>
      </c>
      <c r="E180" s="119">
        <f t="array" ref="E180">IFERROR(IF(A180="",0,INDEX(HPP_ENGINE!$D:$D,MATCH(A180,HPP_ENGINE!$A:$A,0))),0)</f>
        <v>0</v>
      </c>
      <c r="F180" s="119">
        <f>IFERROR(IF(A180="",0,SUMIFS(SALES_TRACKER!$E$4:$E$1003,SALES_TRACKER!$B$4:$B$1003,A180)),0)</f>
        <v>0</v>
      </c>
      <c r="G180" s="119">
        <f t="shared" si="1"/>
        <v>0</v>
      </c>
      <c r="H180" s="119">
        <f t="array" ref="H180">IFERROR(IF(A180="",0,INDEX(HPP_ENGINE!$I:$I,MATCH(A180,HPP_ENGINE!$A:$A,0))),0)</f>
        <v>0</v>
      </c>
      <c r="I180" s="119">
        <f>IFERROR(IF(A180="",0,SUMIFS(SALES_TRACKER!$G$4:$G$1003,SALES_TRACKER!$B$4:$B$1003,A180)),0)</f>
        <v>0</v>
      </c>
      <c r="J180" s="118">
        <f t="shared" si="2"/>
        <v>0</v>
      </c>
      <c r="K180" s="136">
        <f t="shared" si="3"/>
        <v>0</v>
      </c>
      <c r="L180" s="136">
        <f t="shared" si="4"/>
        <v>0</v>
      </c>
      <c r="M180" s="136">
        <f t="shared" si="5"/>
        <v>0</v>
      </c>
      <c r="N180" s="81" t="str">
        <f>IFERROR(IF(A180="","—",IF(COUNTIF(HPP_ENGINE!$A$4:$A$203,A180)=0,"⚠ BELUM DI HPP",IF(E180=0,"PLANNING",IF(M180&gt;=1,"SOLD OUT",IF(M180&gt;=0.7,"ON TRACK",IF(M180&gt;=0.3,"SLOW MOVE",IF(M180&gt;0,"STUCK","BELUM TERJUAL"))))))),"—")</f>
        <v>—</v>
      </c>
    </row>
    <row r="181" ht="18.75" customHeight="1">
      <c r="A181" s="72"/>
      <c r="B181" s="112" t="str">
        <f t="array" ref="B181">IFERROR(IF(A181="","",INDEX(HPP_ENGINE!$B:$B,MATCH(A181,HPP_ENGINE!$A:$A,0))),"")</f>
        <v/>
      </c>
      <c r="C181" s="137" t="str">
        <f t="array" ref="C181">IFERROR(IF(A181="","",INDEX(HPP_ENGINE!$C:$C,MATCH(A181,HPP_ENGINE!$A:$A,0))),"")</f>
        <v/>
      </c>
      <c r="D181" s="115">
        <f t="array" ref="D181">IFERROR(IF(A181="",0,INDEX(PRODUCTION_PLAN!$D:$D,MATCH(A181,PRODUCTION_PLAN!$A:$A,0))),0)</f>
        <v>0</v>
      </c>
      <c r="E181" s="115">
        <f t="array" ref="E181">IFERROR(IF(A181="",0,INDEX(HPP_ENGINE!$D:$D,MATCH(A181,HPP_ENGINE!$A:$A,0))),0)</f>
        <v>0</v>
      </c>
      <c r="F181" s="115">
        <f>IFERROR(IF(A181="",0,SUMIFS(SALES_TRACKER!$E$4:$E$1003,SALES_TRACKER!$B$4:$B$1003,A181)),0)</f>
        <v>0</v>
      </c>
      <c r="G181" s="115">
        <f t="shared" si="1"/>
        <v>0</v>
      </c>
      <c r="H181" s="115">
        <f t="array" ref="H181">IFERROR(IF(A181="",0,INDEX(HPP_ENGINE!$I:$I,MATCH(A181,HPP_ENGINE!$A:$A,0))),0)</f>
        <v>0</v>
      </c>
      <c r="I181" s="115">
        <f>IFERROR(IF(A181="",0,SUMIFS(SALES_TRACKER!$G$4:$G$1003,SALES_TRACKER!$B$4:$B$1003,A181)),0)</f>
        <v>0</v>
      </c>
      <c r="J181" s="114">
        <f t="shared" si="2"/>
        <v>0</v>
      </c>
      <c r="K181" s="133">
        <f t="shared" si="3"/>
        <v>0</v>
      </c>
      <c r="L181" s="133">
        <f t="shared" si="4"/>
        <v>0</v>
      </c>
      <c r="M181" s="133">
        <f t="shared" si="5"/>
        <v>0</v>
      </c>
      <c r="N181" s="76" t="str">
        <f>IFERROR(IF(A181="","—",IF(COUNTIF(HPP_ENGINE!$A$4:$A$203,A181)=0,"⚠ BELUM DI HPP",IF(E181=0,"PLANNING",IF(M181&gt;=1,"SOLD OUT",IF(M181&gt;=0.7,"ON TRACK",IF(M181&gt;=0.3,"SLOW MOVE",IF(M181&gt;0,"STUCK","BELUM TERJUAL"))))))),"—")</f>
        <v>—</v>
      </c>
    </row>
    <row r="182" ht="18.75" customHeight="1">
      <c r="A182" s="77"/>
      <c r="B182" s="116" t="str">
        <f t="array" ref="B182">IFERROR(IF(A182="","",INDEX(HPP_ENGINE!$B:$B,MATCH(A182,HPP_ENGINE!$A:$A,0))),"")</f>
        <v/>
      </c>
      <c r="C182" s="135" t="str">
        <f t="array" ref="C182">IFERROR(IF(A182="","",INDEX(HPP_ENGINE!$C:$C,MATCH(A182,HPP_ENGINE!$A:$A,0))),"")</f>
        <v/>
      </c>
      <c r="D182" s="119">
        <f t="array" ref="D182">IFERROR(IF(A182="",0,INDEX(PRODUCTION_PLAN!$D:$D,MATCH(A182,PRODUCTION_PLAN!$A:$A,0))),0)</f>
        <v>0</v>
      </c>
      <c r="E182" s="119">
        <f t="array" ref="E182">IFERROR(IF(A182="",0,INDEX(HPP_ENGINE!$D:$D,MATCH(A182,HPP_ENGINE!$A:$A,0))),0)</f>
        <v>0</v>
      </c>
      <c r="F182" s="119">
        <f>IFERROR(IF(A182="",0,SUMIFS(SALES_TRACKER!$E$4:$E$1003,SALES_TRACKER!$B$4:$B$1003,A182)),0)</f>
        <v>0</v>
      </c>
      <c r="G182" s="119">
        <f t="shared" si="1"/>
        <v>0</v>
      </c>
      <c r="H182" s="119">
        <f t="array" ref="H182">IFERROR(IF(A182="",0,INDEX(HPP_ENGINE!$I:$I,MATCH(A182,HPP_ENGINE!$A:$A,0))),0)</f>
        <v>0</v>
      </c>
      <c r="I182" s="119">
        <f>IFERROR(IF(A182="",0,SUMIFS(SALES_TRACKER!$G$4:$G$1003,SALES_TRACKER!$B$4:$B$1003,A182)),0)</f>
        <v>0</v>
      </c>
      <c r="J182" s="118">
        <f t="shared" si="2"/>
        <v>0</v>
      </c>
      <c r="K182" s="136">
        <f t="shared" si="3"/>
        <v>0</v>
      </c>
      <c r="L182" s="136">
        <f t="shared" si="4"/>
        <v>0</v>
      </c>
      <c r="M182" s="136">
        <f t="shared" si="5"/>
        <v>0</v>
      </c>
      <c r="N182" s="81" t="str">
        <f>IFERROR(IF(A182="","—",IF(COUNTIF(HPP_ENGINE!$A$4:$A$203,A182)=0,"⚠ BELUM DI HPP",IF(E182=0,"PLANNING",IF(M182&gt;=1,"SOLD OUT",IF(M182&gt;=0.7,"ON TRACK",IF(M182&gt;=0.3,"SLOW MOVE",IF(M182&gt;0,"STUCK","BELUM TERJUAL"))))))),"—")</f>
        <v>—</v>
      </c>
    </row>
    <row r="183" ht="18.75" customHeight="1">
      <c r="A183" s="72"/>
      <c r="B183" s="112" t="str">
        <f t="array" ref="B183">IFERROR(IF(A183="","",INDEX(HPP_ENGINE!$B:$B,MATCH(A183,HPP_ENGINE!$A:$A,0))),"")</f>
        <v/>
      </c>
      <c r="C183" s="137" t="str">
        <f t="array" ref="C183">IFERROR(IF(A183="","",INDEX(HPP_ENGINE!$C:$C,MATCH(A183,HPP_ENGINE!$A:$A,0))),"")</f>
        <v/>
      </c>
      <c r="D183" s="115">
        <f t="array" ref="D183">IFERROR(IF(A183="",0,INDEX(PRODUCTION_PLAN!$D:$D,MATCH(A183,PRODUCTION_PLAN!$A:$A,0))),0)</f>
        <v>0</v>
      </c>
      <c r="E183" s="115">
        <f t="array" ref="E183">IFERROR(IF(A183="",0,INDEX(HPP_ENGINE!$D:$D,MATCH(A183,HPP_ENGINE!$A:$A,0))),0)</f>
        <v>0</v>
      </c>
      <c r="F183" s="115">
        <f>IFERROR(IF(A183="",0,SUMIFS(SALES_TRACKER!$E$4:$E$1003,SALES_TRACKER!$B$4:$B$1003,A183)),0)</f>
        <v>0</v>
      </c>
      <c r="G183" s="115">
        <f t="shared" si="1"/>
        <v>0</v>
      </c>
      <c r="H183" s="115">
        <f t="array" ref="H183">IFERROR(IF(A183="",0,INDEX(HPP_ENGINE!$I:$I,MATCH(A183,HPP_ENGINE!$A:$A,0))),0)</f>
        <v>0</v>
      </c>
      <c r="I183" s="115">
        <f>IFERROR(IF(A183="",0,SUMIFS(SALES_TRACKER!$G$4:$G$1003,SALES_TRACKER!$B$4:$B$1003,A183)),0)</f>
        <v>0</v>
      </c>
      <c r="J183" s="114">
        <f t="shared" si="2"/>
        <v>0</v>
      </c>
      <c r="K183" s="133">
        <f t="shared" si="3"/>
        <v>0</v>
      </c>
      <c r="L183" s="133">
        <f t="shared" si="4"/>
        <v>0</v>
      </c>
      <c r="M183" s="133">
        <f t="shared" si="5"/>
        <v>0</v>
      </c>
      <c r="N183" s="76" t="str">
        <f>IFERROR(IF(A183="","—",IF(COUNTIF(HPP_ENGINE!$A$4:$A$203,A183)=0,"⚠ BELUM DI HPP",IF(E183=0,"PLANNING",IF(M183&gt;=1,"SOLD OUT",IF(M183&gt;=0.7,"ON TRACK",IF(M183&gt;=0.3,"SLOW MOVE",IF(M183&gt;0,"STUCK","BELUM TERJUAL"))))))),"—")</f>
        <v>—</v>
      </c>
    </row>
    <row r="184" ht="18.75" customHeight="1">
      <c r="A184" s="77"/>
      <c r="B184" s="116" t="str">
        <f t="array" ref="B184">IFERROR(IF(A184="","",INDEX(HPP_ENGINE!$B:$B,MATCH(A184,HPP_ENGINE!$A:$A,0))),"")</f>
        <v/>
      </c>
      <c r="C184" s="135" t="str">
        <f t="array" ref="C184">IFERROR(IF(A184="","",INDEX(HPP_ENGINE!$C:$C,MATCH(A184,HPP_ENGINE!$A:$A,0))),"")</f>
        <v/>
      </c>
      <c r="D184" s="119">
        <f t="array" ref="D184">IFERROR(IF(A184="",0,INDEX(PRODUCTION_PLAN!$D:$D,MATCH(A184,PRODUCTION_PLAN!$A:$A,0))),0)</f>
        <v>0</v>
      </c>
      <c r="E184" s="119">
        <f t="array" ref="E184">IFERROR(IF(A184="",0,INDEX(HPP_ENGINE!$D:$D,MATCH(A184,HPP_ENGINE!$A:$A,0))),0)</f>
        <v>0</v>
      </c>
      <c r="F184" s="119">
        <f>IFERROR(IF(A184="",0,SUMIFS(SALES_TRACKER!$E$4:$E$1003,SALES_TRACKER!$B$4:$B$1003,A184)),0)</f>
        <v>0</v>
      </c>
      <c r="G184" s="119">
        <f t="shared" si="1"/>
        <v>0</v>
      </c>
      <c r="H184" s="119">
        <f t="array" ref="H184">IFERROR(IF(A184="",0,INDEX(HPP_ENGINE!$I:$I,MATCH(A184,HPP_ENGINE!$A:$A,0))),0)</f>
        <v>0</v>
      </c>
      <c r="I184" s="119">
        <f>IFERROR(IF(A184="",0,SUMIFS(SALES_TRACKER!$G$4:$G$1003,SALES_TRACKER!$B$4:$B$1003,A184)),0)</f>
        <v>0</v>
      </c>
      <c r="J184" s="118">
        <f t="shared" si="2"/>
        <v>0</v>
      </c>
      <c r="K184" s="136">
        <f t="shared" si="3"/>
        <v>0</v>
      </c>
      <c r="L184" s="136">
        <f t="shared" si="4"/>
        <v>0</v>
      </c>
      <c r="M184" s="136">
        <f t="shared" si="5"/>
        <v>0</v>
      </c>
      <c r="N184" s="81" t="str">
        <f>IFERROR(IF(A184="","—",IF(COUNTIF(HPP_ENGINE!$A$4:$A$203,A184)=0,"⚠ BELUM DI HPP",IF(E184=0,"PLANNING",IF(M184&gt;=1,"SOLD OUT",IF(M184&gt;=0.7,"ON TRACK",IF(M184&gt;=0.3,"SLOW MOVE",IF(M184&gt;0,"STUCK","BELUM TERJUAL"))))))),"—")</f>
        <v>—</v>
      </c>
    </row>
    <row r="185" ht="18.75" customHeight="1">
      <c r="A185" s="72"/>
      <c r="B185" s="112" t="str">
        <f t="array" ref="B185">IFERROR(IF(A185="","",INDEX(HPP_ENGINE!$B:$B,MATCH(A185,HPP_ENGINE!$A:$A,0))),"")</f>
        <v/>
      </c>
      <c r="C185" s="137" t="str">
        <f t="array" ref="C185">IFERROR(IF(A185="","",INDEX(HPP_ENGINE!$C:$C,MATCH(A185,HPP_ENGINE!$A:$A,0))),"")</f>
        <v/>
      </c>
      <c r="D185" s="115">
        <f t="array" ref="D185">IFERROR(IF(A185="",0,INDEX(PRODUCTION_PLAN!$D:$D,MATCH(A185,PRODUCTION_PLAN!$A:$A,0))),0)</f>
        <v>0</v>
      </c>
      <c r="E185" s="115">
        <f t="array" ref="E185">IFERROR(IF(A185="",0,INDEX(HPP_ENGINE!$D:$D,MATCH(A185,HPP_ENGINE!$A:$A,0))),0)</f>
        <v>0</v>
      </c>
      <c r="F185" s="115">
        <f>IFERROR(IF(A185="",0,SUMIFS(SALES_TRACKER!$E$4:$E$1003,SALES_TRACKER!$B$4:$B$1003,A185)),0)</f>
        <v>0</v>
      </c>
      <c r="G185" s="115">
        <f t="shared" si="1"/>
        <v>0</v>
      </c>
      <c r="H185" s="115">
        <f t="array" ref="H185">IFERROR(IF(A185="",0,INDEX(HPP_ENGINE!$I:$I,MATCH(A185,HPP_ENGINE!$A:$A,0))),0)</f>
        <v>0</v>
      </c>
      <c r="I185" s="115">
        <f>IFERROR(IF(A185="",0,SUMIFS(SALES_TRACKER!$G$4:$G$1003,SALES_TRACKER!$B$4:$B$1003,A185)),0)</f>
        <v>0</v>
      </c>
      <c r="J185" s="114">
        <f t="shared" si="2"/>
        <v>0</v>
      </c>
      <c r="K185" s="133">
        <f t="shared" si="3"/>
        <v>0</v>
      </c>
      <c r="L185" s="133">
        <f t="shared" si="4"/>
        <v>0</v>
      </c>
      <c r="M185" s="133">
        <f t="shared" si="5"/>
        <v>0</v>
      </c>
      <c r="N185" s="76" t="str">
        <f>IFERROR(IF(A185="","—",IF(COUNTIF(HPP_ENGINE!$A$4:$A$203,A185)=0,"⚠ BELUM DI HPP",IF(E185=0,"PLANNING",IF(M185&gt;=1,"SOLD OUT",IF(M185&gt;=0.7,"ON TRACK",IF(M185&gt;=0.3,"SLOW MOVE",IF(M185&gt;0,"STUCK","BELUM TERJUAL"))))))),"—")</f>
        <v>—</v>
      </c>
    </row>
    <row r="186" ht="18.75" customHeight="1">
      <c r="A186" s="77"/>
      <c r="B186" s="116" t="str">
        <f t="array" ref="B186">IFERROR(IF(A186="","",INDEX(HPP_ENGINE!$B:$B,MATCH(A186,HPP_ENGINE!$A:$A,0))),"")</f>
        <v/>
      </c>
      <c r="C186" s="135" t="str">
        <f t="array" ref="C186">IFERROR(IF(A186="","",INDEX(HPP_ENGINE!$C:$C,MATCH(A186,HPP_ENGINE!$A:$A,0))),"")</f>
        <v/>
      </c>
      <c r="D186" s="119">
        <f t="array" ref="D186">IFERROR(IF(A186="",0,INDEX(PRODUCTION_PLAN!$D:$D,MATCH(A186,PRODUCTION_PLAN!$A:$A,0))),0)</f>
        <v>0</v>
      </c>
      <c r="E186" s="119">
        <f t="array" ref="E186">IFERROR(IF(A186="",0,INDEX(HPP_ENGINE!$D:$D,MATCH(A186,HPP_ENGINE!$A:$A,0))),0)</f>
        <v>0</v>
      </c>
      <c r="F186" s="119">
        <f>IFERROR(IF(A186="",0,SUMIFS(SALES_TRACKER!$E$4:$E$1003,SALES_TRACKER!$B$4:$B$1003,A186)),0)</f>
        <v>0</v>
      </c>
      <c r="G186" s="119">
        <f t="shared" si="1"/>
        <v>0</v>
      </c>
      <c r="H186" s="119">
        <f t="array" ref="H186">IFERROR(IF(A186="",0,INDEX(HPP_ENGINE!$I:$I,MATCH(A186,HPP_ENGINE!$A:$A,0))),0)</f>
        <v>0</v>
      </c>
      <c r="I186" s="119">
        <f>IFERROR(IF(A186="",0,SUMIFS(SALES_TRACKER!$G$4:$G$1003,SALES_TRACKER!$B$4:$B$1003,A186)),0)</f>
        <v>0</v>
      </c>
      <c r="J186" s="118">
        <f t="shared" si="2"/>
        <v>0</v>
      </c>
      <c r="K186" s="136">
        <f t="shared" si="3"/>
        <v>0</v>
      </c>
      <c r="L186" s="136">
        <f t="shared" si="4"/>
        <v>0</v>
      </c>
      <c r="M186" s="136">
        <f t="shared" si="5"/>
        <v>0</v>
      </c>
      <c r="N186" s="81" t="str">
        <f>IFERROR(IF(A186="","—",IF(COUNTIF(HPP_ENGINE!$A$4:$A$203,A186)=0,"⚠ BELUM DI HPP",IF(E186=0,"PLANNING",IF(M186&gt;=1,"SOLD OUT",IF(M186&gt;=0.7,"ON TRACK",IF(M186&gt;=0.3,"SLOW MOVE",IF(M186&gt;0,"STUCK","BELUM TERJUAL"))))))),"—")</f>
        <v>—</v>
      </c>
    </row>
    <row r="187" ht="18.75" customHeight="1">
      <c r="A187" s="72"/>
      <c r="B187" s="112" t="str">
        <f t="array" ref="B187">IFERROR(IF(A187="","",INDEX(HPP_ENGINE!$B:$B,MATCH(A187,HPP_ENGINE!$A:$A,0))),"")</f>
        <v/>
      </c>
      <c r="C187" s="137" t="str">
        <f t="array" ref="C187">IFERROR(IF(A187="","",INDEX(HPP_ENGINE!$C:$C,MATCH(A187,HPP_ENGINE!$A:$A,0))),"")</f>
        <v/>
      </c>
      <c r="D187" s="115">
        <f t="array" ref="D187">IFERROR(IF(A187="",0,INDEX(PRODUCTION_PLAN!$D:$D,MATCH(A187,PRODUCTION_PLAN!$A:$A,0))),0)</f>
        <v>0</v>
      </c>
      <c r="E187" s="115">
        <f t="array" ref="E187">IFERROR(IF(A187="",0,INDEX(HPP_ENGINE!$D:$D,MATCH(A187,HPP_ENGINE!$A:$A,0))),0)</f>
        <v>0</v>
      </c>
      <c r="F187" s="115">
        <f>IFERROR(IF(A187="",0,SUMIFS(SALES_TRACKER!$E$4:$E$1003,SALES_TRACKER!$B$4:$B$1003,A187)),0)</f>
        <v>0</v>
      </c>
      <c r="G187" s="115">
        <f t="shared" si="1"/>
        <v>0</v>
      </c>
      <c r="H187" s="115">
        <f t="array" ref="H187">IFERROR(IF(A187="",0,INDEX(HPP_ENGINE!$I:$I,MATCH(A187,HPP_ENGINE!$A:$A,0))),0)</f>
        <v>0</v>
      </c>
      <c r="I187" s="115">
        <f>IFERROR(IF(A187="",0,SUMIFS(SALES_TRACKER!$G$4:$G$1003,SALES_TRACKER!$B$4:$B$1003,A187)),0)</f>
        <v>0</v>
      </c>
      <c r="J187" s="114">
        <f t="shared" si="2"/>
        <v>0</v>
      </c>
      <c r="K187" s="133">
        <f t="shared" si="3"/>
        <v>0</v>
      </c>
      <c r="L187" s="133">
        <f t="shared" si="4"/>
        <v>0</v>
      </c>
      <c r="M187" s="133">
        <f t="shared" si="5"/>
        <v>0</v>
      </c>
      <c r="N187" s="76" t="str">
        <f>IFERROR(IF(A187="","—",IF(COUNTIF(HPP_ENGINE!$A$4:$A$203,A187)=0,"⚠ BELUM DI HPP",IF(E187=0,"PLANNING",IF(M187&gt;=1,"SOLD OUT",IF(M187&gt;=0.7,"ON TRACK",IF(M187&gt;=0.3,"SLOW MOVE",IF(M187&gt;0,"STUCK","BELUM TERJUAL"))))))),"—")</f>
        <v>—</v>
      </c>
    </row>
    <row r="188" ht="18.75" customHeight="1">
      <c r="A188" s="77"/>
      <c r="B188" s="116" t="str">
        <f t="array" ref="B188">IFERROR(IF(A188="","",INDEX(HPP_ENGINE!$B:$B,MATCH(A188,HPP_ENGINE!$A:$A,0))),"")</f>
        <v/>
      </c>
      <c r="C188" s="135" t="str">
        <f t="array" ref="C188">IFERROR(IF(A188="","",INDEX(HPP_ENGINE!$C:$C,MATCH(A188,HPP_ENGINE!$A:$A,0))),"")</f>
        <v/>
      </c>
      <c r="D188" s="119">
        <f t="array" ref="D188">IFERROR(IF(A188="",0,INDEX(PRODUCTION_PLAN!$D:$D,MATCH(A188,PRODUCTION_PLAN!$A:$A,0))),0)</f>
        <v>0</v>
      </c>
      <c r="E188" s="119">
        <f t="array" ref="E188">IFERROR(IF(A188="",0,INDEX(HPP_ENGINE!$D:$D,MATCH(A188,HPP_ENGINE!$A:$A,0))),0)</f>
        <v>0</v>
      </c>
      <c r="F188" s="119">
        <f>IFERROR(IF(A188="",0,SUMIFS(SALES_TRACKER!$E$4:$E$1003,SALES_TRACKER!$B$4:$B$1003,A188)),0)</f>
        <v>0</v>
      </c>
      <c r="G188" s="119">
        <f t="shared" si="1"/>
        <v>0</v>
      </c>
      <c r="H188" s="119">
        <f t="array" ref="H188">IFERROR(IF(A188="",0,INDEX(HPP_ENGINE!$I:$I,MATCH(A188,HPP_ENGINE!$A:$A,0))),0)</f>
        <v>0</v>
      </c>
      <c r="I188" s="119">
        <f>IFERROR(IF(A188="",0,SUMIFS(SALES_TRACKER!$G$4:$G$1003,SALES_TRACKER!$B$4:$B$1003,A188)),0)</f>
        <v>0</v>
      </c>
      <c r="J188" s="118">
        <f t="shared" si="2"/>
        <v>0</v>
      </c>
      <c r="K188" s="136">
        <f t="shared" si="3"/>
        <v>0</v>
      </c>
      <c r="L188" s="136">
        <f t="shared" si="4"/>
        <v>0</v>
      </c>
      <c r="M188" s="136">
        <f t="shared" si="5"/>
        <v>0</v>
      </c>
      <c r="N188" s="81" t="str">
        <f>IFERROR(IF(A188="","—",IF(COUNTIF(HPP_ENGINE!$A$4:$A$203,A188)=0,"⚠ BELUM DI HPP",IF(E188=0,"PLANNING",IF(M188&gt;=1,"SOLD OUT",IF(M188&gt;=0.7,"ON TRACK",IF(M188&gt;=0.3,"SLOW MOVE",IF(M188&gt;0,"STUCK","BELUM TERJUAL"))))))),"—")</f>
        <v>—</v>
      </c>
    </row>
    <row r="189" ht="18.75" customHeight="1">
      <c r="A189" s="72"/>
      <c r="B189" s="112" t="str">
        <f t="array" ref="B189">IFERROR(IF(A189="","",INDEX(HPP_ENGINE!$B:$B,MATCH(A189,HPP_ENGINE!$A:$A,0))),"")</f>
        <v/>
      </c>
      <c r="C189" s="137" t="str">
        <f t="array" ref="C189">IFERROR(IF(A189="","",INDEX(HPP_ENGINE!$C:$C,MATCH(A189,HPP_ENGINE!$A:$A,0))),"")</f>
        <v/>
      </c>
      <c r="D189" s="115">
        <f t="array" ref="D189">IFERROR(IF(A189="",0,INDEX(PRODUCTION_PLAN!$D:$D,MATCH(A189,PRODUCTION_PLAN!$A:$A,0))),0)</f>
        <v>0</v>
      </c>
      <c r="E189" s="115">
        <f t="array" ref="E189">IFERROR(IF(A189="",0,INDEX(HPP_ENGINE!$D:$D,MATCH(A189,HPP_ENGINE!$A:$A,0))),0)</f>
        <v>0</v>
      </c>
      <c r="F189" s="115">
        <f>IFERROR(IF(A189="",0,SUMIFS(SALES_TRACKER!$E$4:$E$1003,SALES_TRACKER!$B$4:$B$1003,A189)),0)</f>
        <v>0</v>
      </c>
      <c r="G189" s="115">
        <f t="shared" si="1"/>
        <v>0</v>
      </c>
      <c r="H189" s="115">
        <f t="array" ref="H189">IFERROR(IF(A189="",0,INDEX(HPP_ENGINE!$I:$I,MATCH(A189,HPP_ENGINE!$A:$A,0))),0)</f>
        <v>0</v>
      </c>
      <c r="I189" s="115">
        <f>IFERROR(IF(A189="",0,SUMIFS(SALES_TRACKER!$G$4:$G$1003,SALES_TRACKER!$B$4:$B$1003,A189)),0)</f>
        <v>0</v>
      </c>
      <c r="J189" s="114">
        <f t="shared" si="2"/>
        <v>0</v>
      </c>
      <c r="K189" s="133">
        <f t="shared" si="3"/>
        <v>0</v>
      </c>
      <c r="L189" s="133">
        <f t="shared" si="4"/>
        <v>0</v>
      </c>
      <c r="M189" s="133">
        <f t="shared" si="5"/>
        <v>0</v>
      </c>
      <c r="N189" s="76" t="str">
        <f>IFERROR(IF(A189="","—",IF(COUNTIF(HPP_ENGINE!$A$4:$A$203,A189)=0,"⚠ BELUM DI HPP",IF(E189=0,"PLANNING",IF(M189&gt;=1,"SOLD OUT",IF(M189&gt;=0.7,"ON TRACK",IF(M189&gt;=0.3,"SLOW MOVE",IF(M189&gt;0,"STUCK","BELUM TERJUAL"))))))),"—")</f>
        <v>—</v>
      </c>
    </row>
    <row r="190" ht="18.75" customHeight="1">
      <c r="A190" s="77"/>
      <c r="B190" s="116" t="str">
        <f t="array" ref="B190">IFERROR(IF(A190="","",INDEX(HPP_ENGINE!$B:$B,MATCH(A190,HPP_ENGINE!$A:$A,0))),"")</f>
        <v/>
      </c>
      <c r="C190" s="135" t="str">
        <f t="array" ref="C190">IFERROR(IF(A190="","",INDEX(HPP_ENGINE!$C:$C,MATCH(A190,HPP_ENGINE!$A:$A,0))),"")</f>
        <v/>
      </c>
      <c r="D190" s="119">
        <f t="array" ref="D190">IFERROR(IF(A190="",0,INDEX(PRODUCTION_PLAN!$D:$D,MATCH(A190,PRODUCTION_PLAN!$A:$A,0))),0)</f>
        <v>0</v>
      </c>
      <c r="E190" s="119">
        <f t="array" ref="E190">IFERROR(IF(A190="",0,INDEX(HPP_ENGINE!$D:$D,MATCH(A190,HPP_ENGINE!$A:$A,0))),0)</f>
        <v>0</v>
      </c>
      <c r="F190" s="119">
        <f>IFERROR(IF(A190="",0,SUMIFS(SALES_TRACKER!$E$4:$E$1003,SALES_TRACKER!$B$4:$B$1003,A190)),0)</f>
        <v>0</v>
      </c>
      <c r="G190" s="119">
        <f t="shared" si="1"/>
        <v>0</v>
      </c>
      <c r="H190" s="119">
        <f t="array" ref="H190">IFERROR(IF(A190="",0,INDEX(HPP_ENGINE!$I:$I,MATCH(A190,HPP_ENGINE!$A:$A,0))),0)</f>
        <v>0</v>
      </c>
      <c r="I190" s="119">
        <f>IFERROR(IF(A190="",0,SUMIFS(SALES_TRACKER!$G$4:$G$1003,SALES_TRACKER!$B$4:$B$1003,A190)),0)</f>
        <v>0</v>
      </c>
      <c r="J190" s="118">
        <f t="shared" si="2"/>
        <v>0</v>
      </c>
      <c r="K190" s="136">
        <f t="shared" si="3"/>
        <v>0</v>
      </c>
      <c r="L190" s="136">
        <f t="shared" si="4"/>
        <v>0</v>
      </c>
      <c r="M190" s="136">
        <f t="shared" si="5"/>
        <v>0</v>
      </c>
      <c r="N190" s="81" t="str">
        <f>IFERROR(IF(A190="","—",IF(COUNTIF(HPP_ENGINE!$A$4:$A$203,A190)=0,"⚠ BELUM DI HPP",IF(E190=0,"PLANNING",IF(M190&gt;=1,"SOLD OUT",IF(M190&gt;=0.7,"ON TRACK",IF(M190&gt;=0.3,"SLOW MOVE",IF(M190&gt;0,"STUCK","BELUM TERJUAL"))))))),"—")</f>
        <v>—</v>
      </c>
    </row>
    <row r="191" ht="18.75" customHeight="1">
      <c r="A191" s="72"/>
      <c r="B191" s="112" t="str">
        <f t="array" ref="B191">IFERROR(IF(A191="","",INDEX(HPP_ENGINE!$B:$B,MATCH(A191,HPP_ENGINE!$A:$A,0))),"")</f>
        <v/>
      </c>
      <c r="C191" s="137" t="str">
        <f t="array" ref="C191">IFERROR(IF(A191="","",INDEX(HPP_ENGINE!$C:$C,MATCH(A191,HPP_ENGINE!$A:$A,0))),"")</f>
        <v/>
      </c>
      <c r="D191" s="115">
        <f t="array" ref="D191">IFERROR(IF(A191="",0,INDEX(PRODUCTION_PLAN!$D:$D,MATCH(A191,PRODUCTION_PLAN!$A:$A,0))),0)</f>
        <v>0</v>
      </c>
      <c r="E191" s="115">
        <f t="array" ref="E191">IFERROR(IF(A191="",0,INDEX(HPP_ENGINE!$D:$D,MATCH(A191,HPP_ENGINE!$A:$A,0))),0)</f>
        <v>0</v>
      </c>
      <c r="F191" s="115">
        <f>IFERROR(IF(A191="",0,SUMIFS(SALES_TRACKER!$E$4:$E$1003,SALES_TRACKER!$B$4:$B$1003,A191)),0)</f>
        <v>0</v>
      </c>
      <c r="G191" s="115">
        <f t="shared" si="1"/>
        <v>0</v>
      </c>
      <c r="H191" s="115">
        <f t="array" ref="H191">IFERROR(IF(A191="",0,INDEX(HPP_ENGINE!$I:$I,MATCH(A191,HPP_ENGINE!$A:$A,0))),0)</f>
        <v>0</v>
      </c>
      <c r="I191" s="115">
        <f>IFERROR(IF(A191="",0,SUMIFS(SALES_TRACKER!$G$4:$G$1003,SALES_TRACKER!$B$4:$B$1003,A191)),0)</f>
        <v>0</v>
      </c>
      <c r="J191" s="114">
        <f t="shared" si="2"/>
        <v>0</v>
      </c>
      <c r="K191" s="133">
        <f t="shared" si="3"/>
        <v>0</v>
      </c>
      <c r="L191" s="133">
        <f t="shared" si="4"/>
        <v>0</v>
      </c>
      <c r="M191" s="133">
        <f t="shared" si="5"/>
        <v>0</v>
      </c>
      <c r="N191" s="76" t="str">
        <f>IFERROR(IF(A191="","—",IF(COUNTIF(HPP_ENGINE!$A$4:$A$203,A191)=0,"⚠ BELUM DI HPP",IF(E191=0,"PLANNING",IF(M191&gt;=1,"SOLD OUT",IF(M191&gt;=0.7,"ON TRACK",IF(M191&gt;=0.3,"SLOW MOVE",IF(M191&gt;0,"STUCK","BELUM TERJUAL"))))))),"—")</f>
        <v>—</v>
      </c>
    </row>
    <row r="192" ht="18.75" customHeight="1">
      <c r="A192" s="77"/>
      <c r="B192" s="116" t="str">
        <f t="array" ref="B192">IFERROR(IF(A192="","",INDEX(HPP_ENGINE!$B:$B,MATCH(A192,HPP_ENGINE!$A:$A,0))),"")</f>
        <v/>
      </c>
      <c r="C192" s="135" t="str">
        <f t="array" ref="C192">IFERROR(IF(A192="","",INDEX(HPP_ENGINE!$C:$C,MATCH(A192,HPP_ENGINE!$A:$A,0))),"")</f>
        <v/>
      </c>
      <c r="D192" s="119">
        <f t="array" ref="D192">IFERROR(IF(A192="",0,INDEX(PRODUCTION_PLAN!$D:$D,MATCH(A192,PRODUCTION_PLAN!$A:$A,0))),0)</f>
        <v>0</v>
      </c>
      <c r="E192" s="119">
        <f t="array" ref="E192">IFERROR(IF(A192="",0,INDEX(HPP_ENGINE!$D:$D,MATCH(A192,HPP_ENGINE!$A:$A,0))),0)</f>
        <v>0</v>
      </c>
      <c r="F192" s="119">
        <f>IFERROR(IF(A192="",0,SUMIFS(SALES_TRACKER!$E$4:$E$1003,SALES_TRACKER!$B$4:$B$1003,A192)),0)</f>
        <v>0</v>
      </c>
      <c r="G192" s="119">
        <f t="shared" si="1"/>
        <v>0</v>
      </c>
      <c r="H192" s="119">
        <f t="array" ref="H192">IFERROR(IF(A192="",0,INDEX(HPP_ENGINE!$I:$I,MATCH(A192,HPP_ENGINE!$A:$A,0))),0)</f>
        <v>0</v>
      </c>
      <c r="I192" s="119">
        <f>IFERROR(IF(A192="",0,SUMIFS(SALES_TRACKER!$G$4:$G$1003,SALES_TRACKER!$B$4:$B$1003,A192)),0)</f>
        <v>0</v>
      </c>
      <c r="J192" s="118">
        <f t="shared" si="2"/>
        <v>0</v>
      </c>
      <c r="K192" s="136">
        <f t="shared" si="3"/>
        <v>0</v>
      </c>
      <c r="L192" s="136">
        <f t="shared" si="4"/>
        <v>0</v>
      </c>
      <c r="M192" s="136">
        <f t="shared" si="5"/>
        <v>0</v>
      </c>
      <c r="N192" s="81" t="str">
        <f>IFERROR(IF(A192="","—",IF(COUNTIF(HPP_ENGINE!$A$4:$A$203,A192)=0,"⚠ BELUM DI HPP",IF(E192=0,"PLANNING",IF(M192&gt;=1,"SOLD OUT",IF(M192&gt;=0.7,"ON TRACK",IF(M192&gt;=0.3,"SLOW MOVE",IF(M192&gt;0,"STUCK","BELUM TERJUAL"))))))),"—")</f>
        <v>—</v>
      </c>
    </row>
    <row r="193" ht="18.75" customHeight="1">
      <c r="A193" s="72"/>
      <c r="B193" s="112" t="str">
        <f t="array" ref="B193">IFERROR(IF(A193="","",INDEX(HPP_ENGINE!$B:$B,MATCH(A193,HPP_ENGINE!$A:$A,0))),"")</f>
        <v/>
      </c>
      <c r="C193" s="137" t="str">
        <f t="array" ref="C193">IFERROR(IF(A193="","",INDEX(HPP_ENGINE!$C:$C,MATCH(A193,HPP_ENGINE!$A:$A,0))),"")</f>
        <v/>
      </c>
      <c r="D193" s="115">
        <f t="array" ref="D193">IFERROR(IF(A193="",0,INDEX(PRODUCTION_PLAN!$D:$D,MATCH(A193,PRODUCTION_PLAN!$A:$A,0))),0)</f>
        <v>0</v>
      </c>
      <c r="E193" s="115">
        <f t="array" ref="E193">IFERROR(IF(A193="",0,INDEX(HPP_ENGINE!$D:$D,MATCH(A193,HPP_ENGINE!$A:$A,0))),0)</f>
        <v>0</v>
      </c>
      <c r="F193" s="115">
        <f>IFERROR(IF(A193="",0,SUMIFS(SALES_TRACKER!$E$4:$E$1003,SALES_TRACKER!$B$4:$B$1003,A193)),0)</f>
        <v>0</v>
      </c>
      <c r="G193" s="115">
        <f t="shared" si="1"/>
        <v>0</v>
      </c>
      <c r="H193" s="115">
        <f t="array" ref="H193">IFERROR(IF(A193="",0,INDEX(HPP_ENGINE!$I:$I,MATCH(A193,HPP_ENGINE!$A:$A,0))),0)</f>
        <v>0</v>
      </c>
      <c r="I193" s="115">
        <f>IFERROR(IF(A193="",0,SUMIFS(SALES_TRACKER!$G$4:$G$1003,SALES_TRACKER!$B$4:$B$1003,A193)),0)</f>
        <v>0</v>
      </c>
      <c r="J193" s="114">
        <f t="shared" si="2"/>
        <v>0</v>
      </c>
      <c r="K193" s="133">
        <f t="shared" si="3"/>
        <v>0</v>
      </c>
      <c r="L193" s="133">
        <f t="shared" si="4"/>
        <v>0</v>
      </c>
      <c r="M193" s="133">
        <f t="shared" si="5"/>
        <v>0</v>
      </c>
      <c r="N193" s="76" t="str">
        <f>IFERROR(IF(A193="","—",IF(COUNTIF(HPP_ENGINE!$A$4:$A$203,A193)=0,"⚠ BELUM DI HPP",IF(E193=0,"PLANNING",IF(M193&gt;=1,"SOLD OUT",IF(M193&gt;=0.7,"ON TRACK",IF(M193&gt;=0.3,"SLOW MOVE",IF(M193&gt;0,"STUCK","BELUM TERJUAL"))))))),"—")</f>
        <v>—</v>
      </c>
    </row>
    <row r="194" ht="18.75" customHeight="1">
      <c r="A194" s="77"/>
      <c r="B194" s="116" t="str">
        <f t="array" ref="B194">IFERROR(IF(A194="","",INDEX(HPP_ENGINE!$B:$B,MATCH(A194,HPP_ENGINE!$A:$A,0))),"")</f>
        <v/>
      </c>
      <c r="C194" s="135" t="str">
        <f t="array" ref="C194">IFERROR(IF(A194="","",INDEX(HPP_ENGINE!$C:$C,MATCH(A194,HPP_ENGINE!$A:$A,0))),"")</f>
        <v/>
      </c>
      <c r="D194" s="119">
        <f t="array" ref="D194">IFERROR(IF(A194="",0,INDEX(PRODUCTION_PLAN!$D:$D,MATCH(A194,PRODUCTION_PLAN!$A:$A,0))),0)</f>
        <v>0</v>
      </c>
      <c r="E194" s="119">
        <f t="array" ref="E194">IFERROR(IF(A194="",0,INDEX(HPP_ENGINE!$D:$D,MATCH(A194,HPP_ENGINE!$A:$A,0))),0)</f>
        <v>0</v>
      </c>
      <c r="F194" s="119">
        <f>IFERROR(IF(A194="",0,SUMIFS(SALES_TRACKER!$E$4:$E$1003,SALES_TRACKER!$B$4:$B$1003,A194)),0)</f>
        <v>0</v>
      </c>
      <c r="G194" s="119">
        <f t="shared" si="1"/>
        <v>0</v>
      </c>
      <c r="H194" s="119">
        <f t="array" ref="H194">IFERROR(IF(A194="",0,INDEX(HPP_ENGINE!$I:$I,MATCH(A194,HPP_ENGINE!$A:$A,0))),0)</f>
        <v>0</v>
      </c>
      <c r="I194" s="119">
        <f>IFERROR(IF(A194="",0,SUMIFS(SALES_TRACKER!$G$4:$G$1003,SALES_TRACKER!$B$4:$B$1003,A194)),0)</f>
        <v>0</v>
      </c>
      <c r="J194" s="118">
        <f t="shared" si="2"/>
        <v>0</v>
      </c>
      <c r="K194" s="136">
        <f t="shared" si="3"/>
        <v>0</v>
      </c>
      <c r="L194" s="136">
        <f t="shared" si="4"/>
        <v>0</v>
      </c>
      <c r="M194" s="136">
        <f t="shared" si="5"/>
        <v>0</v>
      </c>
      <c r="N194" s="81" t="str">
        <f>IFERROR(IF(A194="","—",IF(COUNTIF(HPP_ENGINE!$A$4:$A$203,A194)=0,"⚠ BELUM DI HPP",IF(E194=0,"PLANNING",IF(M194&gt;=1,"SOLD OUT",IF(M194&gt;=0.7,"ON TRACK",IF(M194&gt;=0.3,"SLOW MOVE",IF(M194&gt;0,"STUCK","BELUM TERJUAL"))))))),"—")</f>
        <v>—</v>
      </c>
    </row>
    <row r="195" ht="18.75" customHeight="1">
      <c r="A195" s="72"/>
      <c r="B195" s="112" t="str">
        <f t="array" ref="B195">IFERROR(IF(A195="","",INDEX(HPP_ENGINE!$B:$B,MATCH(A195,HPP_ENGINE!$A:$A,0))),"")</f>
        <v/>
      </c>
      <c r="C195" s="137" t="str">
        <f t="array" ref="C195">IFERROR(IF(A195="","",INDEX(HPP_ENGINE!$C:$C,MATCH(A195,HPP_ENGINE!$A:$A,0))),"")</f>
        <v/>
      </c>
      <c r="D195" s="115">
        <f t="array" ref="D195">IFERROR(IF(A195="",0,INDEX(PRODUCTION_PLAN!$D:$D,MATCH(A195,PRODUCTION_PLAN!$A:$A,0))),0)</f>
        <v>0</v>
      </c>
      <c r="E195" s="115">
        <f t="array" ref="E195">IFERROR(IF(A195="",0,INDEX(HPP_ENGINE!$D:$D,MATCH(A195,HPP_ENGINE!$A:$A,0))),0)</f>
        <v>0</v>
      </c>
      <c r="F195" s="115">
        <f>IFERROR(IF(A195="",0,SUMIFS(SALES_TRACKER!$E$4:$E$1003,SALES_TRACKER!$B$4:$B$1003,A195)),0)</f>
        <v>0</v>
      </c>
      <c r="G195" s="115">
        <f t="shared" si="1"/>
        <v>0</v>
      </c>
      <c r="H195" s="115">
        <f t="array" ref="H195">IFERROR(IF(A195="",0,INDEX(HPP_ENGINE!$I:$I,MATCH(A195,HPP_ENGINE!$A:$A,0))),0)</f>
        <v>0</v>
      </c>
      <c r="I195" s="115">
        <f>IFERROR(IF(A195="",0,SUMIFS(SALES_TRACKER!$G$4:$G$1003,SALES_TRACKER!$B$4:$B$1003,A195)),0)</f>
        <v>0</v>
      </c>
      <c r="J195" s="114">
        <f t="shared" si="2"/>
        <v>0</v>
      </c>
      <c r="K195" s="133">
        <f t="shared" si="3"/>
        <v>0</v>
      </c>
      <c r="L195" s="133">
        <f t="shared" si="4"/>
        <v>0</v>
      </c>
      <c r="M195" s="133">
        <f t="shared" si="5"/>
        <v>0</v>
      </c>
      <c r="N195" s="76" t="str">
        <f>IFERROR(IF(A195="","—",IF(COUNTIF(HPP_ENGINE!$A$4:$A$203,A195)=0,"⚠ BELUM DI HPP",IF(E195=0,"PLANNING",IF(M195&gt;=1,"SOLD OUT",IF(M195&gt;=0.7,"ON TRACK",IF(M195&gt;=0.3,"SLOW MOVE",IF(M195&gt;0,"STUCK","BELUM TERJUAL"))))))),"—")</f>
        <v>—</v>
      </c>
    </row>
    <row r="196" ht="18.75" customHeight="1">
      <c r="A196" s="77"/>
      <c r="B196" s="116" t="str">
        <f t="array" ref="B196">IFERROR(IF(A196="","",INDEX(HPP_ENGINE!$B:$B,MATCH(A196,HPP_ENGINE!$A:$A,0))),"")</f>
        <v/>
      </c>
      <c r="C196" s="135" t="str">
        <f t="array" ref="C196">IFERROR(IF(A196="","",INDEX(HPP_ENGINE!$C:$C,MATCH(A196,HPP_ENGINE!$A:$A,0))),"")</f>
        <v/>
      </c>
      <c r="D196" s="119">
        <f t="array" ref="D196">IFERROR(IF(A196="",0,INDEX(PRODUCTION_PLAN!$D:$D,MATCH(A196,PRODUCTION_PLAN!$A:$A,0))),0)</f>
        <v>0</v>
      </c>
      <c r="E196" s="119">
        <f t="array" ref="E196">IFERROR(IF(A196="",0,INDEX(HPP_ENGINE!$D:$D,MATCH(A196,HPP_ENGINE!$A:$A,0))),0)</f>
        <v>0</v>
      </c>
      <c r="F196" s="119">
        <f>IFERROR(IF(A196="",0,SUMIFS(SALES_TRACKER!$E$4:$E$1003,SALES_TRACKER!$B$4:$B$1003,A196)),0)</f>
        <v>0</v>
      </c>
      <c r="G196" s="119">
        <f t="shared" si="1"/>
        <v>0</v>
      </c>
      <c r="H196" s="119">
        <f t="array" ref="H196">IFERROR(IF(A196="",0,INDEX(HPP_ENGINE!$I:$I,MATCH(A196,HPP_ENGINE!$A:$A,0))),0)</f>
        <v>0</v>
      </c>
      <c r="I196" s="119">
        <f>IFERROR(IF(A196="",0,SUMIFS(SALES_TRACKER!$G$4:$G$1003,SALES_TRACKER!$B$4:$B$1003,A196)),0)</f>
        <v>0</v>
      </c>
      <c r="J196" s="118">
        <f t="shared" si="2"/>
        <v>0</v>
      </c>
      <c r="K196" s="136">
        <f t="shared" si="3"/>
        <v>0</v>
      </c>
      <c r="L196" s="136">
        <f t="shared" si="4"/>
        <v>0</v>
      </c>
      <c r="M196" s="136">
        <f t="shared" si="5"/>
        <v>0</v>
      </c>
      <c r="N196" s="81" t="str">
        <f>IFERROR(IF(A196="","—",IF(COUNTIF(HPP_ENGINE!$A$4:$A$203,A196)=0,"⚠ BELUM DI HPP",IF(E196=0,"PLANNING",IF(M196&gt;=1,"SOLD OUT",IF(M196&gt;=0.7,"ON TRACK",IF(M196&gt;=0.3,"SLOW MOVE",IF(M196&gt;0,"STUCK","BELUM TERJUAL"))))))),"—")</f>
        <v>—</v>
      </c>
    </row>
    <row r="197" ht="18.75" customHeight="1">
      <c r="A197" s="72"/>
      <c r="B197" s="112" t="str">
        <f t="array" ref="B197">IFERROR(IF(A197="","",INDEX(HPP_ENGINE!$B:$B,MATCH(A197,HPP_ENGINE!$A:$A,0))),"")</f>
        <v/>
      </c>
      <c r="C197" s="137" t="str">
        <f t="array" ref="C197">IFERROR(IF(A197="","",INDEX(HPP_ENGINE!$C:$C,MATCH(A197,HPP_ENGINE!$A:$A,0))),"")</f>
        <v/>
      </c>
      <c r="D197" s="115">
        <f t="array" ref="D197">IFERROR(IF(A197="",0,INDEX(PRODUCTION_PLAN!$D:$D,MATCH(A197,PRODUCTION_PLAN!$A:$A,0))),0)</f>
        <v>0</v>
      </c>
      <c r="E197" s="115">
        <f t="array" ref="E197">IFERROR(IF(A197="",0,INDEX(HPP_ENGINE!$D:$D,MATCH(A197,HPP_ENGINE!$A:$A,0))),0)</f>
        <v>0</v>
      </c>
      <c r="F197" s="115">
        <f>IFERROR(IF(A197="",0,SUMIFS(SALES_TRACKER!$E$4:$E$1003,SALES_TRACKER!$B$4:$B$1003,A197)),0)</f>
        <v>0</v>
      </c>
      <c r="G197" s="115">
        <f t="shared" si="1"/>
        <v>0</v>
      </c>
      <c r="H197" s="115">
        <f t="array" ref="H197">IFERROR(IF(A197="",0,INDEX(HPP_ENGINE!$I:$I,MATCH(A197,HPP_ENGINE!$A:$A,0))),0)</f>
        <v>0</v>
      </c>
      <c r="I197" s="115">
        <f>IFERROR(IF(A197="",0,SUMIFS(SALES_TRACKER!$G$4:$G$1003,SALES_TRACKER!$B$4:$B$1003,A197)),0)</f>
        <v>0</v>
      </c>
      <c r="J197" s="114">
        <f t="shared" si="2"/>
        <v>0</v>
      </c>
      <c r="K197" s="133">
        <f t="shared" si="3"/>
        <v>0</v>
      </c>
      <c r="L197" s="133">
        <f t="shared" si="4"/>
        <v>0</v>
      </c>
      <c r="M197" s="133">
        <f t="shared" si="5"/>
        <v>0</v>
      </c>
      <c r="N197" s="76" t="str">
        <f>IFERROR(IF(A197="","—",IF(COUNTIF(HPP_ENGINE!$A$4:$A$203,A197)=0,"⚠ BELUM DI HPP",IF(E197=0,"PLANNING",IF(M197&gt;=1,"SOLD OUT",IF(M197&gt;=0.7,"ON TRACK",IF(M197&gt;=0.3,"SLOW MOVE",IF(M197&gt;0,"STUCK","BELUM TERJUAL"))))))),"—")</f>
        <v>—</v>
      </c>
    </row>
    <row r="198" ht="18.75" customHeight="1">
      <c r="A198" s="77"/>
      <c r="B198" s="116" t="str">
        <f t="array" ref="B198">IFERROR(IF(A198="","",INDEX(HPP_ENGINE!$B:$B,MATCH(A198,HPP_ENGINE!$A:$A,0))),"")</f>
        <v/>
      </c>
      <c r="C198" s="135" t="str">
        <f t="array" ref="C198">IFERROR(IF(A198="","",INDEX(HPP_ENGINE!$C:$C,MATCH(A198,HPP_ENGINE!$A:$A,0))),"")</f>
        <v/>
      </c>
      <c r="D198" s="119">
        <f t="array" ref="D198">IFERROR(IF(A198="",0,INDEX(PRODUCTION_PLAN!$D:$D,MATCH(A198,PRODUCTION_PLAN!$A:$A,0))),0)</f>
        <v>0</v>
      </c>
      <c r="E198" s="119">
        <f t="array" ref="E198">IFERROR(IF(A198="",0,INDEX(HPP_ENGINE!$D:$D,MATCH(A198,HPP_ENGINE!$A:$A,0))),0)</f>
        <v>0</v>
      </c>
      <c r="F198" s="119">
        <f>IFERROR(IF(A198="",0,SUMIFS(SALES_TRACKER!$E$4:$E$1003,SALES_TRACKER!$B$4:$B$1003,A198)),0)</f>
        <v>0</v>
      </c>
      <c r="G198" s="119">
        <f t="shared" si="1"/>
        <v>0</v>
      </c>
      <c r="H198" s="119">
        <f t="array" ref="H198">IFERROR(IF(A198="",0,INDEX(HPP_ENGINE!$I:$I,MATCH(A198,HPP_ENGINE!$A:$A,0))),0)</f>
        <v>0</v>
      </c>
      <c r="I198" s="119">
        <f>IFERROR(IF(A198="",0,SUMIFS(SALES_TRACKER!$G$4:$G$1003,SALES_TRACKER!$B$4:$B$1003,A198)),0)</f>
        <v>0</v>
      </c>
      <c r="J198" s="118">
        <f t="shared" si="2"/>
        <v>0</v>
      </c>
      <c r="K198" s="136">
        <f t="shared" si="3"/>
        <v>0</v>
      </c>
      <c r="L198" s="136">
        <f t="shared" si="4"/>
        <v>0</v>
      </c>
      <c r="M198" s="136">
        <f t="shared" si="5"/>
        <v>0</v>
      </c>
      <c r="N198" s="81" t="str">
        <f>IFERROR(IF(A198="","—",IF(COUNTIF(HPP_ENGINE!$A$4:$A$203,A198)=0,"⚠ BELUM DI HPP",IF(E198=0,"PLANNING",IF(M198&gt;=1,"SOLD OUT",IF(M198&gt;=0.7,"ON TRACK",IF(M198&gt;=0.3,"SLOW MOVE",IF(M198&gt;0,"STUCK","BELUM TERJUAL"))))))),"—")</f>
        <v>—</v>
      </c>
    </row>
    <row r="199" ht="18.75" customHeight="1">
      <c r="A199" s="72"/>
      <c r="B199" s="112" t="str">
        <f t="array" ref="B199">IFERROR(IF(A199="","",INDEX(HPP_ENGINE!$B:$B,MATCH(A199,HPP_ENGINE!$A:$A,0))),"")</f>
        <v/>
      </c>
      <c r="C199" s="137" t="str">
        <f t="array" ref="C199">IFERROR(IF(A199="","",INDEX(HPP_ENGINE!$C:$C,MATCH(A199,HPP_ENGINE!$A:$A,0))),"")</f>
        <v/>
      </c>
      <c r="D199" s="115">
        <f t="array" ref="D199">IFERROR(IF(A199="",0,INDEX(PRODUCTION_PLAN!$D:$D,MATCH(A199,PRODUCTION_PLAN!$A:$A,0))),0)</f>
        <v>0</v>
      </c>
      <c r="E199" s="115">
        <f t="array" ref="E199">IFERROR(IF(A199="",0,INDEX(HPP_ENGINE!$D:$D,MATCH(A199,HPP_ENGINE!$A:$A,0))),0)</f>
        <v>0</v>
      </c>
      <c r="F199" s="115">
        <f>IFERROR(IF(A199="",0,SUMIFS(SALES_TRACKER!$E$4:$E$1003,SALES_TRACKER!$B$4:$B$1003,A199)),0)</f>
        <v>0</v>
      </c>
      <c r="G199" s="115">
        <f t="shared" si="1"/>
        <v>0</v>
      </c>
      <c r="H199" s="115">
        <f t="array" ref="H199">IFERROR(IF(A199="",0,INDEX(HPP_ENGINE!$I:$I,MATCH(A199,HPP_ENGINE!$A:$A,0))),0)</f>
        <v>0</v>
      </c>
      <c r="I199" s="115">
        <f>IFERROR(IF(A199="",0,SUMIFS(SALES_TRACKER!$G$4:$G$1003,SALES_TRACKER!$B$4:$B$1003,A199)),0)</f>
        <v>0</v>
      </c>
      <c r="J199" s="114">
        <f t="shared" si="2"/>
        <v>0</v>
      </c>
      <c r="K199" s="133">
        <f t="shared" si="3"/>
        <v>0</v>
      </c>
      <c r="L199" s="133">
        <f t="shared" si="4"/>
        <v>0</v>
      </c>
      <c r="M199" s="133">
        <f t="shared" si="5"/>
        <v>0</v>
      </c>
      <c r="N199" s="76" t="str">
        <f>IFERROR(IF(A199="","—",IF(COUNTIF(HPP_ENGINE!$A$4:$A$203,A199)=0,"⚠ BELUM DI HPP",IF(E199=0,"PLANNING",IF(M199&gt;=1,"SOLD OUT",IF(M199&gt;=0.7,"ON TRACK",IF(M199&gt;=0.3,"SLOW MOVE",IF(M199&gt;0,"STUCK","BELUM TERJUAL"))))))),"—")</f>
        <v>—</v>
      </c>
    </row>
    <row r="200" ht="18.75" customHeight="1">
      <c r="A200" s="77"/>
      <c r="B200" s="116" t="str">
        <f t="array" ref="B200">IFERROR(IF(A200="","",INDEX(HPP_ENGINE!$B:$B,MATCH(A200,HPP_ENGINE!$A:$A,0))),"")</f>
        <v/>
      </c>
      <c r="C200" s="135" t="str">
        <f t="array" ref="C200">IFERROR(IF(A200="","",INDEX(HPP_ENGINE!$C:$C,MATCH(A200,HPP_ENGINE!$A:$A,0))),"")</f>
        <v/>
      </c>
      <c r="D200" s="119">
        <f t="array" ref="D200">IFERROR(IF(A200="",0,INDEX(PRODUCTION_PLAN!$D:$D,MATCH(A200,PRODUCTION_PLAN!$A:$A,0))),0)</f>
        <v>0</v>
      </c>
      <c r="E200" s="119">
        <f t="array" ref="E200">IFERROR(IF(A200="",0,INDEX(HPP_ENGINE!$D:$D,MATCH(A200,HPP_ENGINE!$A:$A,0))),0)</f>
        <v>0</v>
      </c>
      <c r="F200" s="119">
        <f>IFERROR(IF(A200="",0,SUMIFS(SALES_TRACKER!$E$4:$E$1003,SALES_TRACKER!$B$4:$B$1003,A200)),0)</f>
        <v>0</v>
      </c>
      <c r="G200" s="119">
        <f t="shared" si="1"/>
        <v>0</v>
      </c>
      <c r="H200" s="119">
        <f t="array" ref="H200">IFERROR(IF(A200="",0,INDEX(HPP_ENGINE!$I:$I,MATCH(A200,HPP_ENGINE!$A:$A,0))),0)</f>
        <v>0</v>
      </c>
      <c r="I200" s="119">
        <f>IFERROR(IF(A200="",0,SUMIFS(SALES_TRACKER!$G$4:$G$1003,SALES_TRACKER!$B$4:$B$1003,A200)),0)</f>
        <v>0</v>
      </c>
      <c r="J200" s="118">
        <f t="shared" si="2"/>
        <v>0</v>
      </c>
      <c r="K200" s="136">
        <f t="shared" si="3"/>
        <v>0</v>
      </c>
      <c r="L200" s="136">
        <f t="shared" si="4"/>
        <v>0</v>
      </c>
      <c r="M200" s="136">
        <f t="shared" si="5"/>
        <v>0</v>
      </c>
      <c r="N200" s="81" t="str">
        <f>IFERROR(IF(A200="","—",IF(COUNTIF(HPP_ENGINE!$A$4:$A$203,A200)=0,"⚠ BELUM DI HPP",IF(E200=0,"PLANNING",IF(M200&gt;=1,"SOLD OUT",IF(M200&gt;=0.7,"ON TRACK",IF(M200&gt;=0.3,"SLOW MOVE",IF(M200&gt;0,"STUCK","BELUM TERJUAL"))))))),"—")</f>
        <v>—</v>
      </c>
    </row>
    <row r="201" ht="18.75" customHeight="1">
      <c r="A201" s="72"/>
      <c r="B201" s="112" t="str">
        <f t="array" ref="B201">IFERROR(IF(A201="","",INDEX(HPP_ENGINE!$B:$B,MATCH(A201,HPP_ENGINE!$A:$A,0))),"")</f>
        <v/>
      </c>
      <c r="C201" s="137" t="str">
        <f t="array" ref="C201">IFERROR(IF(A201="","",INDEX(HPP_ENGINE!$C:$C,MATCH(A201,HPP_ENGINE!$A:$A,0))),"")</f>
        <v/>
      </c>
      <c r="D201" s="115">
        <f t="array" ref="D201">IFERROR(IF(A201="",0,INDEX(PRODUCTION_PLAN!$D:$D,MATCH(A201,PRODUCTION_PLAN!$A:$A,0))),0)</f>
        <v>0</v>
      </c>
      <c r="E201" s="115">
        <f t="array" ref="E201">IFERROR(IF(A201="",0,INDEX(HPP_ENGINE!$D:$D,MATCH(A201,HPP_ENGINE!$A:$A,0))),0)</f>
        <v>0</v>
      </c>
      <c r="F201" s="115">
        <f>IFERROR(IF(A201="",0,SUMIFS(SALES_TRACKER!$E$4:$E$1003,SALES_TRACKER!$B$4:$B$1003,A201)),0)</f>
        <v>0</v>
      </c>
      <c r="G201" s="115">
        <f t="shared" si="1"/>
        <v>0</v>
      </c>
      <c r="H201" s="115">
        <f t="array" ref="H201">IFERROR(IF(A201="",0,INDEX(HPP_ENGINE!$I:$I,MATCH(A201,HPP_ENGINE!$A:$A,0))),0)</f>
        <v>0</v>
      </c>
      <c r="I201" s="115">
        <f>IFERROR(IF(A201="",0,SUMIFS(SALES_TRACKER!$G$4:$G$1003,SALES_TRACKER!$B$4:$B$1003,A201)),0)</f>
        <v>0</v>
      </c>
      <c r="J201" s="114">
        <f t="shared" si="2"/>
        <v>0</v>
      </c>
      <c r="K201" s="133">
        <f t="shared" si="3"/>
        <v>0</v>
      </c>
      <c r="L201" s="133">
        <f t="shared" si="4"/>
        <v>0</v>
      </c>
      <c r="M201" s="133">
        <f t="shared" si="5"/>
        <v>0</v>
      </c>
      <c r="N201" s="76" t="str">
        <f>IFERROR(IF(A201="","—",IF(COUNTIF(HPP_ENGINE!$A$4:$A$203,A201)=0,"⚠ BELUM DI HPP",IF(E201=0,"PLANNING",IF(M201&gt;=1,"SOLD OUT",IF(M201&gt;=0.7,"ON TRACK",IF(M201&gt;=0.3,"SLOW MOVE",IF(M201&gt;0,"STUCK","BELUM TERJUAL"))))))),"—")</f>
        <v>—</v>
      </c>
    </row>
    <row r="202" ht="18.75" customHeight="1">
      <c r="A202" s="77"/>
      <c r="B202" s="116" t="str">
        <f t="array" ref="B202">IFERROR(IF(A202="","",INDEX(HPP_ENGINE!$B:$B,MATCH(A202,HPP_ENGINE!$A:$A,0))),"")</f>
        <v/>
      </c>
      <c r="C202" s="135" t="str">
        <f t="array" ref="C202">IFERROR(IF(A202="","",INDEX(HPP_ENGINE!$C:$C,MATCH(A202,HPP_ENGINE!$A:$A,0))),"")</f>
        <v/>
      </c>
      <c r="D202" s="119">
        <f t="array" ref="D202">IFERROR(IF(A202="",0,INDEX(PRODUCTION_PLAN!$D:$D,MATCH(A202,PRODUCTION_PLAN!$A:$A,0))),0)</f>
        <v>0</v>
      </c>
      <c r="E202" s="119">
        <f t="array" ref="E202">IFERROR(IF(A202="",0,INDEX(HPP_ENGINE!$D:$D,MATCH(A202,HPP_ENGINE!$A:$A,0))),0)</f>
        <v>0</v>
      </c>
      <c r="F202" s="119">
        <f>IFERROR(IF(A202="",0,SUMIFS(SALES_TRACKER!$E$4:$E$1003,SALES_TRACKER!$B$4:$B$1003,A202)),0)</f>
        <v>0</v>
      </c>
      <c r="G202" s="119">
        <f t="shared" si="1"/>
        <v>0</v>
      </c>
      <c r="H202" s="119">
        <f t="array" ref="H202">IFERROR(IF(A202="",0,INDEX(HPP_ENGINE!$I:$I,MATCH(A202,HPP_ENGINE!$A:$A,0))),0)</f>
        <v>0</v>
      </c>
      <c r="I202" s="119">
        <f>IFERROR(IF(A202="",0,SUMIFS(SALES_TRACKER!$G$4:$G$1003,SALES_TRACKER!$B$4:$B$1003,A202)),0)</f>
        <v>0</v>
      </c>
      <c r="J202" s="118">
        <f t="shared" si="2"/>
        <v>0</v>
      </c>
      <c r="K202" s="136">
        <f t="shared" si="3"/>
        <v>0</v>
      </c>
      <c r="L202" s="136">
        <f t="shared" si="4"/>
        <v>0</v>
      </c>
      <c r="M202" s="136">
        <f t="shared" si="5"/>
        <v>0</v>
      </c>
      <c r="N202" s="81" t="str">
        <f>IFERROR(IF(A202="","—",IF(COUNTIF(HPP_ENGINE!$A$4:$A$203,A202)=0,"⚠ BELUM DI HPP",IF(E202=0,"PLANNING",IF(M202&gt;=1,"SOLD OUT",IF(M202&gt;=0.7,"ON TRACK",IF(M202&gt;=0.3,"SLOW MOVE",IF(M202&gt;0,"STUCK","BELUM TERJUAL"))))))),"—")</f>
        <v>—</v>
      </c>
    </row>
    <row r="203" ht="18.75" customHeight="1">
      <c r="A203" s="72"/>
      <c r="B203" s="112" t="str">
        <f t="array" ref="B203">IFERROR(IF(A203="","",INDEX(HPP_ENGINE!$B:$B,MATCH(A203,HPP_ENGINE!$A:$A,0))),"")</f>
        <v/>
      </c>
      <c r="C203" s="137" t="str">
        <f t="array" ref="C203">IFERROR(IF(A203="","",INDEX(HPP_ENGINE!$C:$C,MATCH(A203,HPP_ENGINE!$A:$A,0))),"")</f>
        <v/>
      </c>
      <c r="D203" s="115">
        <f t="array" ref="D203">IFERROR(IF(A203="",0,INDEX(PRODUCTION_PLAN!$D:$D,MATCH(A203,PRODUCTION_PLAN!$A:$A,0))),0)</f>
        <v>0</v>
      </c>
      <c r="E203" s="115">
        <f t="array" ref="E203">IFERROR(IF(A203="",0,INDEX(HPP_ENGINE!$D:$D,MATCH(A203,HPP_ENGINE!$A:$A,0))),0)</f>
        <v>0</v>
      </c>
      <c r="F203" s="115">
        <f>IFERROR(IF(A203="",0,SUMIFS(SALES_TRACKER!$E$4:$E$1003,SALES_TRACKER!$B$4:$B$1003,A203)),0)</f>
        <v>0</v>
      </c>
      <c r="G203" s="115">
        <f t="shared" si="1"/>
        <v>0</v>
      </c>
      <c r="H203" s="115">
        <f t="array" ref="H203">IFERROR(IF(A203="",0,INDEX(HPP_ENGINE!$I:$I,MATCH(A203,HPP_ENGINE!$A:$A,0))),0)</f>
        <v>0</v>
      </c>
      <c r="I203" s="115">
        <f>IFERROR(IF(A203="",0,SUMIFS(SALES_TRACKER!$G$4:$G$1003,SALES_TRACKER!$B$4:$B$1003,A203)),0)</f>
        <v>0</v>
      </c>
      <c r="J203" s="114">
        <f t="shared" si="2"/>
        <v>0</v>
      </c>
      <c r="K203" s="133">
        <f t="shared" si="3"/>
        <v>0</v>
      </c>
      <c r="L203" s="133">
        <f t="shared" si="4"/>
        <v>0</v>
      </c>
      <c r="M203" s="133">
        <f t="shared" si="5"/>
        <v>0</v>
      </c>
      <c r="N203" s="76" t="str">
        <f>IFERROR(IF(A203="","—",IF(COUNTIF(HPP_ENGINE!$A$4:$A$203,A203)=0,"⚠ BELUM DI HPP",IF(E203=0,"PLANNING",IF(M203&gt;=1,"SOLD OUT",IF(M203&gt;=0.7,"ON TRACK",IF(M203&gt;=0.3,"SLOW MOVE",IF(M203&gt;0,"STUCK","BELUM TERJUAL"))))))),"—")</f>
        <v>—</v>
      </c>
    </row>
    <row r="204" ht="15.75" customHeight="1">
      <c r="A204" s="30"/>
      <c r="B204" s="30"/>
      <c r="C204" s="82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ht="15.75" customHeight="1">
      <c r="A205" s="30"/>
      <c r="B205" s="30"/>
      <c r="C205" s="82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ht="15.75" customHeight="1">
      <c r="A206" s="30"/>
      <c r="B206" s="30"/>
      <c r="C206" s="82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ht="15.75" customHeight="1">
      <c r="A207" s="30"/>
      <c r="B207" s="30"/>
      <c r="C207" s="82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ht="15.75" customHeight="1">
      <c r="A208" s="30"/>
      <c r="B208" s="30"/>
      <c r="C208" s="82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ht="15.75" customHeight="1">
      <c r="A209" s="30"/>
      <c r="B209" s="30"/>
      <c r="C209" s="82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ht="15.75" customHeight="1">
      <c r="A210" s="30"/>
      <c r="B210" s="30"/>
      <c r="C210" s="82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ht="15.75" customHeight="1">
      <c r="A211" s="30"/>
      <c r="B211" s="30"/>
      <c r="C211" s="82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ht="15.75" customHeight="1">
      <c r="A212" s="30"/>
      <c r="B212" s="30"/>
      <c r="C212" s="82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ht="15.75" customHeight="1">
      <c r="A213" s="30"/>
      <c r="B213" s="30"/>
      <c r="C213" s="82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ht="15.75" customHeight="1">
      <c r="A214" s="30"/>
      <c r="B214" s="30"/>
      <c r="C214" s="82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ht="15.75" customHeight="1">
      <c r="A215" s="30"/>
      <c r="B215" s="30"/>
      <c r="C215" s="82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ht="15.75" customHeight="1">
      <c r="A216" s="30"/>
      <c r="B216" s="30"/>
      <c r="C216" s="82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ht="15.75" customHeight="1">
      <c r="A217" s="30"/>
      <c r="B217" s="30"/>
      <c r="C217" s="82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ht="15.75" customHeight="1">
      <c r="A218" s="30"/>
      <c r="B218" s="30"/>
      <c r="C218" s="82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ht="15.75" customHeight="1">
      <c r="A219" s="30"/>
      <c r="B219" s="30"/>
      <c r="C219" s="82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ht="15.75" customHeight="1">
      <c r="A220" s="30"/>
      <c r="B220" s="30"/>
      <c r="C220" s="82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ht="15.75" customHeight="1">
      <c r="A221" s="30"/>
      <c r="B221" s="30"/>
      <c r="C221" s="82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ht="15.75" customHeight="1">
      <c r="A222" s="30"/>
      <c r="B222" s="30"/>
      <c r="C222" s="82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ht="15.75" customHeight="1">
      <c r="A223" s="30"/>
      <c r="B223" s="30"/>
      <c r="C223" s="82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ht="15.75" customHeight="1">
      <c r="A224" s="30"/>
      <c r="B224" s="30"/>
      <c r="C224" s="8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ht="15.75" customHeight="1">
      <c r="A225" s="30"/>
      <c r="B225" s="30"/>
      <c r="C225" s="8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ht="15.75" customHeight="1">
      <c r="A226" s="30"/>
      <c r="B226" s="30"/>
      <c r="C226" s="8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ht="15.75" customHeight="1">
      <c r="A227" s="30"/>
      <c r="B227" s="30"/>
      <c r="C227" s="82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ht="15.75" customHeight="1">
      <c r="A228" s="30"/>
      <c r="B228" s="30"/>
      <c r="C228" s="82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ht="15.75" customHeight="1">
      <c r="A229" s="30"/>
      <c r="B229" s="30"/>
      <c r="C229" s="82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ht="15.75" customHeight="1">
      <c r="A230" s="30"/>
      <c r="B230" s="30"/>
      <c r="C230" s="82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ht="15.75" customHeight="1">
      <c r="A231" s="30"/>
      <c r="B231" s="30"/>
      <c r="C231" s="82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ht="15.75" customHeight="1">
      <c r="A232" s="30"/>
      <c r="B232" s="30"/>
      <c r="C232" s="82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ht="15.75" customHeight="1">
      <c r="A233" s="30"/>
      <c r="B233" s="30"/>
      <c r="C233" s="82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ht="15.75" customHeight="1">
      <c r="A234" s="30"/>
      <c r="B234" s="30"/>
      <c r="C234" s="82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ht="15.75" customHeight="1">
      <c r="A235" s="30"/>
      <c r="B235" s="30"/>
      <c r="C235" s="82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ht="15.75" customHeight="1">
      <c r="A236" s="30"/>
      <c r="B236" s="30"/>
      <c r="C236" s="82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ht="15.75" customHeight="1">
      <c r="A237" s="30"/>
      <c r="B237" s="30"/>
      <c r="C237" s="82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ht="15.75" customHeight="1">
      <c r="A238" s="30"/>
      <c r="B238" s="30"/>
      <c r="C238" s="82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ht="15.75" customHeight="1">
      <c r="A239" s="30"/>
      <c r="B239" s="30"/>
      <c r="C239" s="82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ht="15.75" customHeight="1">
      <c r="A240" s="30"/>
      <c r="B240" s="30"/>
      <c r="C240" s="82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ht="15.75" customHeight="1">
      <c r="A241" s="30"/>
      <c r="B241" s="30"/>
      <c r="C241" s="82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ht="15.75" customHeight="1">
      <c r="A242" s="30"/>
      <c r="B242" s="30"/>
      <c r="C242" s="82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ht="15.75" customHeight="1">
      <c r="A243" s="30"/>
      <c r="B243" s="30"/>
      <c r="C243" s="82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ht="15.75" customHeight="1">
      <c r="A244" s="30"/>
      <c r="B244" s="30"/>
      <c r="C244" s="82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ht="15.75" customHeight="1">
      <c r="A245" s="30"/>
      <c r="B245" s="30"/>
      <c r="C245" s="82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ht="15.75" customHeight="1">
      <c r="A246" s="30"/>
      <c r="B246" s="30"/>
      <c r="C246" s="82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ht="15.75" customHeight="1">
      <c r="A247" s="30"/>
      <c r="B247" s="30"/>
      <c r="C247" s="82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ht="15.75" customHeight="1">
      <c r="A248" s="30"/>
      <c r="B248" s="30"/>
      <c r="C248" s="82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ht="15.75" customHeight="1">
      <c r="A249" s="30"/>
      <c r="B249" s="30"/>
      <c r="C249" s="82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ht="15.75" customHeight="1">
      <c r="A250" s="30"/>
      <c r="B250" s="30"/>
      <c r="C250" s="82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ht="15.75" customHeight="1">
      <c r="A251" s="30"/>
      <c r="B251" s="30"/>
      <c r="C251" s="82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ht="15.75" customHeight="1">
      <c r="A252" s="30"/>
      <c r="B252" s="30"/>
      <c r="C252" s="82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ht="15.75" customHeight="1">
      <c r="A253" s="30"/>
      <c r="B253" s="30"/>
      <c r="C253" s="82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ht="15.75" customHeight="1">
      <c r="A254" s="30"/>
      <c r="B254" s="30"/>
      <c r="C254" s="82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ht="15.75" customHeight="1">
      <c r="A255" s="30"/>
      <c r="B255" s="30"/>
      <c r="C255" s="82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ht="15.75" customHeight="1">
      <c r="A256" s="30"/>
      <c r="B256" s="30"/>
      <c r="C256" s="82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ht="15.75" customHeight="1">
      <c r="A257" s="30"/>
      <c r="B257" s="30"/>
      <c r="C257" s="82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ht="15.75" customHeight="1">
      <c r="A258" s="30"/>
      <c r="B258" s="30"/>
      <c r="C258" s="82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ht="15.75" customHeight="1">
      <c r="A259" s="30"/>
      <c r="B259" s="30"/>
      <c r="C259" s="82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ht="15.75" customHeight="1">
      <c r="A260" s="30"/>
      <c r="B260" s="30"/>
      <c r="C260" s="82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ht="15.75" customHeight="1">
      <c r="A261" s="30"/>
      <c r="B261" s="30"/>
      <c r="C261" s="82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ht="15.75" customHeight="1">
      <c r="A262" s="30"/>
      <c r="B262" s="30"/>
      <c r="C262" s="82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ht="15.75" customHeight="1">
      <c r="A263" s="30"/>
      <c r="B263" s="30"/>
      <c r="C263" s="82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ht="15.75" customHeight="1">
      <c r="A264" s="30"/>
      <c r="B264" s="30"/>
      <c r="C264" s="82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ht="15.75" customHeight="1">
      <c r="A265" s="30"/>
      <c r="B265" s="30"/>
      <c r="C265" s="82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ht="15.75" customHeight="1">
      <c r="A266" s="30"/>
      <c r="B266" s="30"/>
      <c r="C266" s="82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ht="15.75" customHeight="1">
      <c r="A267" s="30"/>
      <c r="B267" s="30"/>
      <c r="C267" s="82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ht="15.75" customHeight="1">
      <c r="A268" s="30"/>
      <c r="B268" s="30"/>
      <c r="C268" s="82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ht="15.75" customHeight="1">
      <c r="A269" s="30"/>
      <c r="B269" s="30"/>
      <c r="C269" s="82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ht="15.75" customHeight="1">
      <c r="A270" s="30"/>
      <c r="B270" s="30"/>
      <c r="C270" s="82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ht="15.75" customHeight="1">
      <c r="A271" s="30"/>
      <c r="B271" s="30"/>
      <c r="C271" s="82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ht="15.75" customHeight="1">
      <c r="A272" s="30"/>
      <c r="B272" s="30"/>
      <c r="C272" s="82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ht="15.75" customHeight="1">
      <c r="A273" s="30"/>
      <c r="B273" s="30"/>
      <c r="C273" s="82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ht="15.75" customHeight="1">
      <c r="A274" s="30"/>
      <c r="B274" s="30"/>
      <c r="C274" s="82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ht="15.75" customHeight="1">
      <c r="A275" s="30"/>
      <c r="B275" s="30"/>
      <c r="C275" s="82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ht="15.75" customHeight="1">
      <c r="A276" s="30"/>
      <c r="B276" s="30"/>
      <c r="C276" s="82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ht="15.75" customHeight="1">
      <c r="A277" s="30"/>
      <c r="B277" s="30"/>
      <c r="C277" s="82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ht="15.75" customHeight="1">
      <c r="A278" s="30"/>
      <c r="B278" s="30"/>
      <c r="C278" s="82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ht="15.75" customHeight="1">
      <c r="A279" s="30"/>
      <c r="B279" s="30"/>
      <c r="C279" s="82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ht="15.75" customHeight="1">
      <c r="A280" s="30"/>
      <c r="B280" s="30"/>
      <c r="C280" s="82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ht="15.75" customHeight="1">
      <c r="A281" s="30"/>
      <c r="B281" s="30"/>
      <c r="C281" s="82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ht="15.75" customHeight="1">
      <c r="A282" s="30"/>
      <c r="B282" s="30"/>
      <c r="C282" s="82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ht="15.75" customHeight="1">
      <c r="A283" s="30"/>
      <c r="B283" s="30"/>
      <c r="C283" s="82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ht="15.75" customHeight="1">
      <c r="A284" s="30"/>
      <c r="B284" s="30"/>
      <c r="C284" s="82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ht="15.75" customHeight="1">
      <c r="A285" s="30"/>
      <c r="B285" s="30"/>
      <c r="C285" s="82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ht="15.75" customHeight="1">
      <c r="A286" s="30"/>
      <c r="B286" s="30"/>
      <c r="C286" s="82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ht="15.75" customHeight="1">
      <c r="A287" s="30"/>
      <c r="B287" s="30"/>
      <c r="C287" s="82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ht="15.75" customHeight="1">
      <c r="A288" s="30"/>
      <c r="B288" s="30"/>
      <c r="C288" s="82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ht="15.75" customHeight="1">
      <c r="A289" s="30"/>
      <c r="B289" s="30"/>
      <c r="C289" s="82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ht="15.75" customHeight="1">
      <c r="A290" s="30"/>
      <c r="B290" s="30"/>
      <c r="C290" s="82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ht="15.75" customHeight="1">
      <c r="A291" s="30"/>
      <c r="B291" s="30"/>
      <c r="C291" s="82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ht="15.75" customHeight="1">
      <c r="A292" s="30"/>
      <c r="B292" s="30"/>
      <c r="C292" s="82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ht="15.75" customHeight="1">
      <c r="A293" s="30"/>
      <c r="B293" s="30"/>
      <c r="C293" s="82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ht="15.75" customHeight="1">
      <c r="A294" s="30"/>
      <c r="B294" s="30"/>
      <c r="C294" s="82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ht="15.75" customHeight="1">
      <c r="A295" s="30"/>
      <c r="B295" s="30"/>
      <c r="C295" s="82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ht="15.75" customHeight="1">
      <c r="A296" s="30"/>
      <c r="B296" s="30"/>
      <c r="C296" s="82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ht="15.75" customHeight="1">
      <c r="A297" s="30"/>
      <c r="B297" s="30"/>
      <c r="C297" s="82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ht="15.75" customHeight="1">
      <c r="A298" s="30"/>
      <c r="B298" s="30"/>
      <c r="C298" s="82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ht="15.75" customHeight="1">
      <c r="A299" s="30"/>
      <c r="B299" s="30"/>
      <c r="C299" s="82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ht="15.75" customHeight="1">
      <c r="A300" s="30"/>
      <c r="B300" s="30"/>
      <c r="C300" s="82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ht="15.75" customHeight="1">
      <c r="A301" s="30"/>
      <c r="B301" s="30"/>
      <c r="C301" s="82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ht="15.75" customHeight="1">
      <c r="A302" s="30"/>
      <c r="B302" s="30"/>
      <c r="C302" s="82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ht="15.75" customHeight="1">
      <c r="A303" s="30"/>
      <c r="B303" s="30"/>
      <c r="C303" s="82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ht="15.75" customHeight="1">
      <c r="A304" s="30"/>
      <c r="B304" s="30"/>
      <c r="C304" s="82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ht="15.75" customHeight="1">
      <c r="A305" s="30"/>
      <c r="B305" s="30"/>
      <c r="C305" s="82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ht="15.75" customHeight="1">
      <c r="A306" s="30"/>
      <c r="B306" s="30"/>
      <c r="C306" s="82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ht="15.75" customHeight="1">
      <c r="A307" s="30"/>
      <c r="B307" s="30"/>
      <c r="C307" s="82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ht="15.75" customHeight="1">
      <c r="A308" s="30"/>
      <c r="B308" s="30"/>
      <c r="C308" s="82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ht="15.75" customHeight="1">
      <c r="A309" s="30"/>
      <c r="B309" s="30"/>
      <c r="C309" s="82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ht="15.75" customHeight="1">
      <c r="A310" s="30"/>
      <c r="B310" s="30"/>
      <c r="C310" s="82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ht="15.75" customHeight="1">
      <c r="A311" s="30"/>
      <c r="B311" s="30"/>
      <c r="C311" s="82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ht="15.75" customHeight="1">
      <c r="A312" s="30"/>
      <c r="B312" s="30"/>
      <c r="C312" s="82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ht="15.75" customHeight="1">
      <c r="A313" s="30"/>
      <c r="B313" s="30"/>
      <c r="C313" s="82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ht="15.75" customHeight="1">
      <c r="A314" s="30"/>
      <c r="B314" s="30"/>
      <c r="C314" s="82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ht="15.75" customHeight="1">
      <c r="A315" s="30"/>
      <c r="B315" s="30"/>
      <c r="C315" s="82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ht="15.75" customHeight="1">
      <c r="A316" s="30"/>
      <c r="B316" s="30"/>
      <c r="C316" s="82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ht="15.75" customHeight="1">
      <c r="A317" s="30"/>
      <c r="B317" s="30"/>
      <c r="C317" s="82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ht="15.75" customHeight="1">
      <c r="A318" s="30"/>
      <c r="B318" s="30"/>
      <c r="C318" s="82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ht="15.75" customHeight="1">
      <c r="A319" s="30"/>
      <c r="B319" s="30"/>
      <c r="C319" s="82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ht="15.75" customHeight="1">
      <c r="A320" s="30"/>
      <c r="B320" s="30"/>
      <c r="C320" s="82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ht="15.75" customHeight="1">
      <c r="A321" s="30"/>
      <c r="B321" s="30"/>
      <c r="C321" s="82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ht="15.75" customHeight="1">
      <c r="A322" s="30"/>
      <c r="B322" s="30"/>
      <c r="C322" s="82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ht="15.75" customHeight="1">
      <c r="A323" s="30"/>
      <c r="B323" s="30"/>
      <c r="C323" s="82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ht="15.75" customHeight="1">
      <c r="A324" s="30"/>
      <c r="B324" s="30"/>
      <c r="C324" s="82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ht="15.75" customHeight="1">
      <c r="A325" s="30"/>
      <c r="B325" s="30"/>
      <c r="C325" s="82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ht="15.75" customHeight="1">
      <c r="A326" s="30"/>
      <c r="B326" s="30"/>
      <c r="C326" s="82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ht="15.75" customHeight="1">
      <c r="A327" s="30"/>
      <c r="B327" s="30"/>
      <c r="C327" s="82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ht="15.75" customHeight="1">
      <c r="A328" s="30"/>
      <c r="B328" s="30"/>
      <c r="C328" s="82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ht="15.75" customHeight="1">
      <c r="A329" s="30"/>
      <c r="B329" s="30"/>
      <c r="C329" s="82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ht="15.75" customHeight="1">
      <c r="A330" s="30"/>
      <c r="B330" s="30"/>
      <c r="C330" s="82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ht="15.75" customHeight="1">
      <c r="A331" s="30"/>
      <c r="B331" s="30"/>
      <c r="C331" s="82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ht="15.75" customHeight="1">
      <c r="A332" s="30"/>
      <c r="B332" s="30"/>
      <c r="C332" s="82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ht="15.75" customHeight="1">
      <c r="A333" s="30"/>
      <c r="B333" s="30"/>
      <c r="C333" s="82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ht="15.75" customHeight="1">
      <c r="A334" s="30"/>
      <c r="B334" s="30"/>
      <c r="C334" s="82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ht="15.75" customHeight="1">
      <c r="A335" s="30"/>
      <c r="B335" s="30"/>
      <c r="C335" s="82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ht="15.75" customHeight="1">
      <c r="A336" s="30"/>
      <c r="B336" s="30"/>
      <c r="C336" s="82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ht="15.75" customHeight="1">
      <c r="A337" s="30"/>
      <c r="B337" s="30"/>
      <c r="C337" s="82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ht="15.75" customHeight="1">
      <c r="A338" s="30"/>
      <c r="B338" s="30"/>
      <c r="C338" s="82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ht="15.75" customHeight="1">
      <c r="A339" s="30"/>
      <c r="B339" s="30"/>
      <c r="C339" s="82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ht="15.75" customHeight="1">
      <c r="A340" s="30"/>
      <c r="B340" s="30"/>
      <c r="C340" s="82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ht="15.75" customHeight="1">
      <c r="A341" s="30"/>
      <c r="B341" s="30"/>
      <c r="C341" s="82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ht="15.75" customHeight="1">
      <c r="A342" s="30"/>
      <c r="B342" s="30"/>
      <c r="C342" s="82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ht="15.75" customHeight="1">
      <c r="A343" s="30"/>
      <c r="B343" s="30"/>
      <c r="C343" s="82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ht="15.75" customHeight="1">
      <c r="A344" s="30"/>
      <c r="B344" s="30"/>
      <c r="C344" s="82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ht="15.75" customHeight="1">
      <c r="A345" s="30"/>
      <c r="B345" s="30"/>
      <c r="C345" s="82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ht="15.75" customHeight="1">
      <c r="A346" s="30"/>
      <c r="B346" s="30"/>
      <c r="C346" s="82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ht="15.75" customHeight="1">
      <c r="A347" s="30"/>
      <c r="B347" s="30"/>
      <c r="C347" s="82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ht="15.75" customHeight="1">
      <c r="A348" s="30"/>
      <c r="B348" s="30"/>
      <c r="C348" s="82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ht="15.75" customHeight="1">
      <c r="A349" s="30"/>
      <c r="B349" s="30"/>
      <c r="C349" s="82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ht="15.75" customHeight="1">
      <c r="A350" s="30"/>
      <c r="B350" s="30"/>
      <c r="C350" s="82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ht="15.75" customHeight="1">
      <c r="A351" s="30"/>
      <c r="B351" s="30"/>
      <c r="C351" s="82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ht="15.75" customHeight="1">
      <c r="A352" s="30"/>
      <c r="B352" s="30"/>
      <c r="C352" s="82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ht="15.75" customHeight="1">
      <c r="A353" s="30"/>
      <c r="B353" s="30"/>
      <c r="C353" s="82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ht="15.75" customHeight="1">
      <c r="A354" s="30"/>
      <c r="B354" s="30"/>
      <c r="C354" s="82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ht="15.75" customHeight="1">
      <c r="A355" s="30"/>
      <c r="B355" s="30"/>
      <c r="C355" s="82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ht="15.75" customHeight="1">
      <c r="A356" s="30"/>
      <c r="B356" s="30"/>
      <c r="C356" s="82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ht="15.75" customHeight="1">
      <c r="A357" s="30"/>
      <c r="B357" s="30"/>
      <c r="C357" s="82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ht="15.75" customHeight="1">
      <c r="A358" s="30"/>
      <c r="B358" s="30"/>
      <c r="C358" s="82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ht="15.75" customHeight="1">
      <c r="A359" s="30"/>
      <c r="B359" s="30"/>
      <c r="C359" s="82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ht="15.75" customHeight="1">
      <c r="A360" s="30"/>
      <c r="B360" s="30"/>
      <c r="C360" s="82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ht="15.75" customHeight="1">
      <c r="A361" s="30"/>
      <c r="B361" s="30"/>
      <c r="C361" s="82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ht="15.75" customHeight="1">
      <c r="A362" s="30"/>
      <c r="B362" s="30"/>
      <c r="C362" s="82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ht="15.75" customHeight="1">
      <c r="A363" s="30"/>
      <c r="B363" s="30"/>
      <c r="C363" s="82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ht="15.75" customHeight="1">
      <c r="A364" s="30"/>
      <c r="B364" s="30"/>
      <c r="C364" s="82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ht="15.75" customHeight="1">
      <c r="A365" s="30"/>
      <c r="B365" s="30"/>
      <c r="C365" s="82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ht="15.75" customHeight="1">
      <c r="A366" s="30"/>
      <c r="B366" s="30"/>
      <c r="C366" s="82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ht="15.75" customHeight="1">
      <c r="A367" s="30"/>
      <c r="B367" s="30"/>
      <c r="C367" s="82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ht="15.75" customHeight="1">
      <c r="A368" s="30"/>
      <c r="B368" s="30"/>
      <c r="C368" s="82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ht="15.75" customHeight="1">
      <c r="A369" s="30"/>
      <c r="B369" s="30"/>
      <c r="C369" s="82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ht="15.75" customHeight="1">
      <c r="A370" s="30"/>
      <c r="B370" s="30"/>
      <c r="C370" s="82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ht="15.75" customHeight="1">
      <c r="A371" s="30"/>
      <c r="B371" s="30"/>
      <c r="C371" s="82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ht="15.75" customHeight="1">
      <c r="A372" s="30"/>
      <c r="B372" s="30"/>
      <c r="C372" s="82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ht="15.75" customHeight="1">
      <c r="A373" s="30"/>
      <c r="B373" s="30"/>
      <c r="C373" s="82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ht="15.75" customHeight="1">
      <c r="A374" s="30"/>
      <c r="B374" s="30"/>
      <c r="C374" s="82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ht="15.75" customHeight="1">
      <c r="A375" s="30"/>
      <c r="B375" s="30"/>
      <c r="C375" s="82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ht="15.75" customHeight="1">
      <c r="A376" s="30"/>
      <c r="B376" s="30"/>
      <c r="C376" s="82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ht="15.75" customHeight="1">
      <c r="A377" s="30"/>
      <c r="B377" s="30"/>
      <c r="C377" s="82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ht="15.75" customHeight="1">
      <c r="A378" s="30"/>
      <c r="B378" s="30"/>
      <c r="C378" s="82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ht="15.75" customHeight="1">
      <c r="A379" s="30"/>
      <c r="B379" s="30"/>
      <c r="C379" s="82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ht="15.75" customHeight="1">
      <c r="A380" s="30"/>
      <c r="B380" s="30"/>
      <c r="C380" s="82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ht="15.75" customHeight="1">
      <c r="A381" s="30"/>
      <c r="B381" s="30"/>
      <c r="C381" s="82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ht="15.75" customHeight="1">
      <c r="A382" s="30"/>
      <c r="B382" s="30"/>
      <c r="C382" s="82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ht="15.75" customHeight="1">
      <c r="A383" s="30"/>
      <c r="B383" s="30"/>
      <c r="C383" s="82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ht="15.75" customHeight="1">
      <c r="A384" s="30"/>
      <c r="B384" s="30"/>
      <c r="C384" s="82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ht="15.75" customHeight="1">
      <c r="A385" s="30"/>
      <c r="B385" s="30"/>
      <c r="C385" s="82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ht="15.75" customHeight="1">
      <c r="A386" s="30"/>
      <c r="B386" s="30"/>
      <c r="C386" s="82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ht="15.75" customHeight="1">
      <c r="A387" s="30"/>
      <c r="B387" s="30"/>
      <c r="C387" s="82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ht="15.75" customHeight="1">
      <c r="A388" s="30"/>
      <c r="B388" s="30"/>
      <c r="C388" s="82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ht="15.75" customHeight="1">
      <c r="A389" s="30"/>
      <c r="B389" s="30"/>
      <c r="C389" s="82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ht="15.75" customHeight="1">
      <c r="A390" s="30"/>
      <c r="B390" s="30"/>
      <c r="C390" s="82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ht="15.75" customHeight="1">
      <c r="A391" s="30"/>
      <c r="B391" s="30"/>
      <c r="C391" s="82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ht="15.75" customHeight="1">
      <c r="A392" s="30"/>
      <c r="B392" s="30"/>
      <c r="C392" s="82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ht="15.75" customHeight="1">
      <c r="A393" s="30"/>
      <c r="B393" s="30"/>
      <c r="C393" s="82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ht="15.75" customHeight="1">
      <c r="A394" s="30"/>
      <c r="B394" s="30"/>
      <c r="C394" s="82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ht="15.75" customHeight="1">
      <c r="A395" s="30"/>
      <c r="B395" s="30"/>
      <c r="C395" s="82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ht="15.75" customHeight="1">
      <c r="A396" s="30"/>
      <c r="B396" s="30"/>
      <c r="C396" s="82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ht="15.75" customHeight="1">
      <c r="A397" s="30"/>
      <c r="B397" s="30"/>
      <c r="C397" s="82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ht="15.75" customHeight="1">
      <c r="A398" s="30"/>
      <c r="B398" s="30"/>
      <c r="C398" s="82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ht="15.75" customHeight="1">
      <c r="A399" s="30"/>
      <c r="B399" s="30"/>
      <c r="C399" s="82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ht="15.75" customHeight="1">
      <c r="A400" s="30"/>
      <c r="B400" s="30"/>
      <c r="C400" s="82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ht="15.75" customHeight="1">
      <c r="A401" s="30"/>
      <c r="B401" s="30"/>
      <c r="C401" s="82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ht="15.75" customHeight="1">
      <c r="A402" s="30"/>
      <c r="B402" s="30"/>
      <c r="C402" s="82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ht="15.75" customHeight="1">
      <c r="A403" s="30"/>
      <c r="B403" s="30"/>
      <c r="C403" s="82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ht="15.75" customHeight="1">
      <c r="A404" s="30"/>
      <c r="B404" s="30"/>
      <c r="C404" s="82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ht="15.75" customHeight="1">
      <c r="A405" s="30"/>
      <c r="B405" s="30"/>
      <c r="C405" s="82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ht="15.75" customHeight="1">
      <c r="A406" s="30"/>
      <c r="B406" s="30"/>
      <c r="C406" s="82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ht="15.75" customHeight="1">
      <c r="A407" s="30"/>
      <c r="B407" s="30"/>
      <c r="C407" s="82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ht="15.75" customHeight="1">
      <c r="A408" s="30"/>
      <c r="B408" s="30"/>
      <c r="C408" s="82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ht="15.75" customHeight="1">
      <c r="A409" s="30"/>
      <c r="B409" s="30"/>
      <c r="C409" s="82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ht="15.75" customHeight="1">
      <c r="A410" s="30"/>
      <c r="B410" s="30"/>
      <c r="C410" s="82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ht="15.75" customHeight="1">
      <c r="A411" s="30"/>
      <c r="B411" s="30"/>
      <c r="C411" s="82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ht="15.75" customHeight="1">
      <c r="A412" s="30"/>
      <c r="B412" s="30"/>
      <c r="C412" s="82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ht="15.75" customHeight="1">
      <c r="A413" s="30"/>
      <c r="B413" s="30"/>
      <c r="C413" s="82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ht="15.75" customHeight="1">
      <c r="A414" s="30"/>
      <c r="B414" s="30"/>
      <c r="C414" s="82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ht="15.75" customHeight="1">
      <c r="A415" s="30"/>
      <c r="B415" s="30"/>
      <c r="C415" s="82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ht="15.75" customHeight="1">
      <c r="A416" s="30"/>
      <c r="B416" s="30"/>
      <c r="C416" s="82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ht="15.75" customHeight="1">
      <c r="A417" s="30"/>
      <c r="B417" s="30"/>
      <c r="C417" s="82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ht="15.75" customHeight="1">
      <c r="A418" s="30"/>
      <c r="B418" s="30"/>
      <c r="C418" s="82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ht="15.75" customHeight="1">
      <c r="A419" s="30"/>
      <c r="B419" s="30"/>
      <c r="C419" s="82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ht="15.75" customHeight="1">
      <c r="A420" s="30"/>
      <c r="B420" s="30"/>
      <c r="C420" s="82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ht="15.75" customHeight="1">
      <c r="A421" s="30"/>
      <c r="B421" s="30"/>
      <c r="C421" s="82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ht="15.75" customHeight="1">
      <c r="A422" s="30"/>
      <c r="B422" s="30"/>
      <c r="C422" s="82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ht="15.75" customHeight="1">
      <c r="A423" s="30"/>
      <c r="B423" s="30"/>
      <c r="C423" s="82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ht="15.75" customHeight="1">
      <c r="A424" s="30"/>
      <c r="B424" s="30"/>
      <c r="C424" s="82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ht="15.75" customHeight="1">
      <c r="A425" s="30"/>
      <c r="B425" s="30"/>
      <c r="C425" s="82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ht="15.75" customHeight="1">
      <c r="A426" s="30"/>
      <c r="B426" s="30"/>
      <c r="C426" s="82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ht="15.75" customHeight="1">
      <c r="A427" s="30"/>
      <c r="B427" s="30"/>
      <c r="C427" s="82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ht="15.75" customHeight="1">
      <c r="A428" s="30"/>
      <c r="B428" s="30"/>
      <c r="C428" s="82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ht="15.75" customHeight="1">
      <c r="A429" s="30"/>
      <c r="B429" s="30"/>
      <c r="C429" s="82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ht="15.75" customHeight="1">
      <c r="A430" s="30"/>
      <c r="B430" s="30"/>
      <c r="C430" s="82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ht="15.75" customHeight="1">
      <c r="A431" s="30"/>
      <c r="B431" s="30"/>
      <c r="C431" s="82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ht="15.75" customHeight="1">
      <c r="A432" s="30"/>
      <c r="B432" s="30"/>
      <c r="C432" s="82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ht="15.75" customHeight="1">
      <c r="A433" s="30"/>
      <c r="B433" s="30"/>
      <c r="C433" s="82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ht="15.75" customHeight="1">
      <c r="A434" s="30"/>
      <c r="B434" s="30"/>
      <c r="C434" s="82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ht="15.75" customHeight="1">
      <c r="A435" s="30"/>
      <c r="B435" s="30"/>
      <c r="C435" s="82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ht="15.75" customHeight="1">
      <c r="A436" s="30"/>
      <c r="B436" s="30"/>
      <c r="C436" s="82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ht="15.75" customHeight="1">
      <c r="A437" s="30"/>
      <c r="B437" s="30"/>
      <c r="C437" s="82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ht="15.75" customHeight="1">
      <c r="A438" s="30"/>
      <c r="B438" s="30"/>
      <c r="C438" s="82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ht="15.75" customHeight="1">
      <c r="A439" s="30"/>
      <c r="B439" s="30"/>
      <c r="C439" s="82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ht="15.75" customHeight="1">
      <c r="A440" s="30"/>
      <c r="B440" s="30"/>
      <c r="C440" s="82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ht="15.75" customHeight="1">
      <c r="A441" s="30"/>
      <c r="B441" s="30"/>
      <c r="C441" s="82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ht="15.75" customHeight="1">
      <c r="A442" s="30"/>
      <c r="B442" s="30"/>
      <c r="C442" s="82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ht="15.75" customHeight="1">
      <c r="A443" s="30"/>
      <c r="B443" s="30"/>
      <c r="C443" s="82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ht="15.75" customHeight="1">
      <c r="A444" s="30"/>
      <c r="B444" s="30"/>
      <c r="C444" s="82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ht="15.75" customHeight="1">
      <c r="A445" s="30"/>
      <c r="B445" s="30"/>
      <c r="C445" s="82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ht="15.75" customHeight="1">
      <c r="A446" s="30"/>
      <c r="B446" s="30"/>
      <c r="C446" s="82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ht="15.75" customHeight="1">
      <c r="A447" s="30"/>
      <c r="B447" s="30"/>
      <c r="C447" s="82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ht="15.75" customHeight="1">
      <c r="A448" s="30"/>
      <c r="B448" s="30"/>
      <c r="C448" s="82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ht="15.75" customHeight="1">
      <c r="A449" s="30"/>
      <c r="B449" s="30"/>
      <c r="C449" s="82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ht="15.75" customHeight="1">
      <c r="A450" s="30"/>
      <c r="B450" s="30"/>
      <c r="C450" s="82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ht="15.75" customHeight="1">
      <c r="A451" s="30"/>
      <c r="B451" s="30"/>
      <c r="C451" s="82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ht="15.75" customHeight="1">
      <c r="A452" s="30"/>
      <c r="B452" s="30"/>
      <c r="C452" s="82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ht="15.75" customHeight="1">
      <c r="A453" s="30"/>
      <c r="B453" s="30"/>
      <c r="C453" s="82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ht="15.75" customHeight="1">
      <c r="A454" s="30"/>
      <c r="B454" s="30"/>
      <c r="C454" s="82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ht="15.75" customHeight="1">
      <c r="A455" s="30"/>
      <c r="B455" s="30"/>
      <c r="C455" s="82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ht="15.75" customHeight="1">
      <c r="A456" s="30"/>
      <c r="B456" s="30"/>
      <c r="C456" s="82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ht="15.75" customHeight="1">
      <c r="A457" s="30"/>
      <c r="B457" s="30"/>
      <c r="C457" s="82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ht="15.75" customHeight="1">
      <c r="A458" s="30"/>
      <c r="B458" s="30"/>
      <c r="C458" s="82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ht="15.75" customHeight="1">
      <c r="A459" s="30"/>
      <c r="B459" s="30"/>
      <c r="C459" s="82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ht="15.75" customHeight="1">
      <c r="A460" s="30"/>
      <c r="B460" s="30"/>
      <c r="C460" s="82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ht="15.75" customHeight="1">
      <c r="A461" s="30"/>
      <c r="B461" s="30"/>
      <c r="C461" s="82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ht="15.75" customHeight="1">
      <c r="A462" s="30"/>
      <c r="B462" s="30"/>
      <c r="C462" s="82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ht="15.75" customHeight="1">
      <c r="A463" s="30"/>
      <c r="B463" s="30"/>
      <c r="C463" s="82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ht="15.75" customHeight="1">
      <c r="A464" s="30"/>
      <c r="B464" s="30"/>
      <c r="C464" s="82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ht="15.75" customHeight="1">
      <c r="A465" s="30"/>
      <c r="B465" s="30"/>
      <c r="C465" s="82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ht="15.75" customHeight="1">
      <c r="A466" s="30"/>
      <c r="B466" s="30"/>
      <c r="C466" s="82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ht="15.75" customHeight="1">
      <c r="A467" s="30"/>
      <c r="B467" s="30"/>
      <c r="C467" s="82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ht="15.75" customHeight="1">
      <c r="A468" s="30"/>
      <c r="B468" s="30"/>
      <c r="C468" s="82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ht="15.75" customHeight="1">
      <c r="A469" s="30"/>
      <c r="B469" s="30"/>
      <c r="C469" s="82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ht="15.75" customHeight="1">
      <c r="A470" s="30"/>
      <c r="B470" s="30"/>
      <c r="C470" s="82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ht="15.75" customHeight="1">
      <c r="A471" s="30"/>
      <c r="B471" s="30"/>
      <c r="C471" s="82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ht="15.75" customHeight="1">
      <c r="A472" s="30"/>
      <c r="B472" s="30"/>
      <c r="C472" s="82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ht="15.75" customHeight="1">
      <c r="A473" s="30"/>
      <c r="B473" s="30"/>
      <c r="C473" s="82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ht="15.75" customHeight="1">
      <c r="A474" s="30"/>
      <c r="B474" s="30"/>
      <c r="C474" s="82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ht="15.75" customHeight="1">
      <c r="A475" s="30"/>
      <c r="B475" s="30"/>
      <c r="C475" s="82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ht="15.75" customHeight="1">
      <c r="A476" s="30"/>
      <c r="B476" s="30"/>
      <c r="C476" s="82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ht="15.75" customHeight="1">
      <c r="A477" s="30"/>
      <c r="B477" s="30"/>
      <c r="C477" s="82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ht="15.75" customHeight="1">
      <c r="A478" s="30"/>
      <c r="B478" s="30"/>
      <c r="C478" s="82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ht="15.75" customHeight="1">
      <c r="A479" s="30"/>
      <c r="B479" s="30"/>
      <c r="C479" s="82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ht="15.75" customHeight="1">
      <c r="A480" s="30"/>
      <c r="B480" s="30"/>
      <c r="C480" s="82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ht="15.75" customHeight="1">
      <c r="A481" s="30"/>
      <c r="B481" s="30"/>
      <c r="C481" s="82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ht="15.75" customHeight="1">
      <c r="A482" s="30"/>
      <c r="B482" s="30"/>
      <c r="C482" s="82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ht="15.75" customHeight="1">
      <c r="A483" s="30"/>
      <c r="B483" s="30"/>
      <c r="C483" s="82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ht="15.75" customHeight="1">
      <c r="A484" s="30"/>
      <c r="B484" s="30"/>
      <c r="C484" s="82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ht="15.75" customHeight="1">
      <c r="A485" s="30"/>
      <c r="B485" s="30"/>
      <c r="C485" s="82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ht="15.75" customHeight="1">
      <c r="A486" s="30"/>
      <c r="B486" s="30"/>
      <c r="C486" s="82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ht="15.75" customHeight="1">
      <c r="A487" s="30"/>
      <c r="B487" s="30"/>
      <c r="C487" s="82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ht="15.75" customHeight="1">
      <c r="A488" s="30"/>
      <c r="B488" s="30"/>
      <c r="C488" s="82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ht="15.75" customHeight="1">
      <c r="A489" s="30"/>
      <c r="B489" s="30"/>
      <c r="C489" s="82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ht="15.75" customHeight="1">
      <c r="A490" s="30"/>
      <c r="B490" s="30"/>
      <c r="C490" s="82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ht="15.75" customHeight="1">
      <c r="A491" s="30"/>
      <c r="B491" s="30"/>
      <c r="C491" s="82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ht="15.75" customHeight="1">
      <c r="A492" s="30"/>
      <c r="B492" s="30"/>
      <c r="C492" s="82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ht="15.75" customHeight="1">
      <c r="A493" s="30"/>
      <c r="B493" s="30"/>
      <c r="C493" s="82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ht="15.75" customHeight="1">
      <c r="A494" s="30"/>
      <c r="B494" s="30"/>
      <c r="C494" s="82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ht="15.75" customHeight="1">
      <c r="A495" s="30"/>
      <c r="B495" s="30"/>
      <c r="C495" s="82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ht="15.75" customHeight="1">
      <c r="A496" s="30"/>
      <c r="B496" s="30"/>
      <c r="C496" s="82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ht="15.75" customHeight="1">
      <c r="A497" s="30"/>
      <c r="B497" s="30"/>
      <c r="C497" s="82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ht="15.75" customHeight="1">
      <c r="A498" s="30"/>
      <c r="B498" s="30"/>
      <c r="C498" s="82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ht="15.75" customHeight="1">
      <c r="A499" s="30"/>
      <c r="B499" s="30"/>
      <c r="C499" s="82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ht="15.75" customHeight="1">
      <c r="A500" s="30"/>
      <c r="B500" s="30"/>
      <c r="C500" s="82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ht="15.75" customHeight="1">
      <c r="A501" s="30"/>
      <c r="B501" s="30"/>
      <c r="C501" s="82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ht="15.75" customHeight="1">
      <c r="A502" s="30"/>
      <c r="B502" s="30"/>
      <c r="C502" s="82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ht="15.75" customHeight="1">
      <c r="A503" s="30"/>
      <c r="B503" s="30"/>
      <c r="C503" s="82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ht="15.75" customHeight="1">
      <c r="A504" s="30"/>
      <c r="B504" s="30"/>
      <c r="C504" s="82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ht="15.75" customHeight="1">
      <c r="A505" s="30"/>
      <c r="B505" s="30"/>
      <c r="C505" s="82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ht="15.75" customHeight="1">
      <c r="A506" s="30"/>
      <c r="B506" s="30"/>
      <c r="C506" s="82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ht="15.75" customHeight="1">
      <c r="A507" s="30"/>
      <c r="B507" s="30"/>
      <c r="C507" s="82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ht="15.75" customHeight="1">
      <c r="A508" s="30"/>
      <c r="B508" s="30"/>
      <c r="C508" s="82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ht="15.75" customHeight="1">
      <c r="A509" s="30"/>
      <c r="B509" s="30"/>
      <c r="C509" s="82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ht="15.75" customHeight="1">
      <c r="A510" s="30"/>
      <c r="B510" s="30"/>
      <c r="C510" s="82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ht="15.75" customHeight="1">
      <c r="A511" s="30"/>
      <c r="B511" s="30"/>
      <c r="C511" s="82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ht="15.75" customHeight="1">
      <c r="A512" s="30"/>
      <c r="B512" s="30"/>
      <c r="C512" s="82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ht="15.75" customHeight="1">
      <c r="A513" s="30"/>
      <c r="B513" s="30"/>
      <c r="C513" s="82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ht="15.75" customHeight="1">
      <c r="A514" s="30"/>
      <c r="B514" s="30"/>
      <c r="C514" s="82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ht="15.75" customHeight="1">
      <c r="A515" s="30"/>
      <c r="B515" s="30"/>
      <c r="C515" s="82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ht="15.75" customHeight="1">
      <c r="A516" s="30"/>
      <c r="B516" s="30"/>
      <c r="C516" s="82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ht="15.75" customHeight="1">
      <c r="A517" s="30"/>
      <c r="B517" s="30"/>
      <c r="C517" s="82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ht="15.75" customHeight="1">
      <c r="A518" s="30"/>
      <c r="B518" s="30"/>
      <c r="C518" s="82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ht="15.75" customHeight="1">
      <c r="A519" s="30"/>
      <c r="B519" s="30"/>
      <c r="C519" s="82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ht="15.75" customHeight="1">
      <c r="A520" s="30"/>
      <c r="B520" s="30"/>
      <c r="C520" s="82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ht="15.75" customHeight="1">
      <c r="A521" s="30"/>
      <c r="B521" s="30"/>
      <c r="C521" s="82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ht="15.75" customHeight="1">
      <c r="A522" s="30"/>
      <c r="B522" s="30"/>
      <c r="C522" s="82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ht="15.75" customHeight="1">
      <c r="A523" s="30"/>
      <c r="B523" s="30"/>
      <c r="C523" s="82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ht="15.75" customHeight="1">
      <c r="A524" s="30"/>
      <c r="B524" s="30"/>
      <c r="C524" s="82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ht="15.75" customHeight="1">
      <c r="A525" s="30"/>
      <c r="B525" s="30"/>
      <c r="C525" s="82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ht="15.75" customHeight="1">
      <c r="A526" s="30"/>
      <c r="B526" s="30"/>
      <c r="C526" s="82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ht="15.75" customHeight="1">
      <c r="A527" s="30"/>
      <c r="B527" s="30"/>
      <c r="C527" s="82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ht="15.75" customHeight="1">
      <c r="A528" s="30"/>
      <c r="B528" s="30"/>
      <c r="C528" s="82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ht="15.75" customHeight="1">
      <c r="A529" s="30"/>
      <c r="B529" s="30"/>
      <c r="C529" s="82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ht="15.75" customHeight="1">
      <c r="A530" s="30"/>
      <c r="B530" s="30"/>
      <c r="C530" s="82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ht="15.75" customHeight="1">
      <c r="A531" s="30"/>
      <c r="B531" s="30"/>
      <c r="C531" s="82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ht="15.75" customHeight="1">
      <c r="A532" s="30"/>
      <c r="B532" s="30"/>
      <c r="C532" s="82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ht="15.75" customHeight="1">
      <c r="A533" s="30"/>
      <c r="B533" s="30"/>
      <c r="C533" s="82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ht="15.75" customHeight="1">
      <c r="A534" s="30"/>
      <c r="B534" s="30"/>
      <c r="C534" s="82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ht="15.75" customHeight="1">
      <c r="A535" s="30"/>
      <c r="B535" s="30"/>
      <c r="C535" s="82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ht="15.75" customHeight="1">
      <c r="A536" s="30"/>
      <c r="B536" s="30"/>
      <c r="C536" s="82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ht="15.75" customHeight="1">
      <c r="A537" s="30"/>
      <c r="B537" s="30"/>
      <c r="C537" s="82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ht="15.75" customHeight="1">
      <c r="A538" s="30"/>
      <c r="B538" s="30"/>
      <c r="C538" s="82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ht="15.75" customHeight="1">
      <c r="A539" s="30"/>
      <c r="B539" s="30"/>
      <c r="C539" s="82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ht="15.75" customHeight="1">
      <c r="A540" s="30"/>
      <c r="B540" s="30"/>
      <c r="C540" s="82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ht="15.75" customHeight="1">
      <c r="A541" s="30"/>
      <c r="B541" s="30"/>
      <c r="C541" s="82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ht="15.75" customHeight="1">
      <c r="A542" s="30"/>
      <c r="B542" s="30"/>
      <c r="C542" s="82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ht="15.75" customHeight="1">
      <c r="A543" s="30"/>
      <c r="B543" s="30"/>
      <c r="C543" s="82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ht="15.75" customHeight="1">
      <c r="A544" s="30"/>
      <c r="B544" s="30"/>
      <c r="C544" s="82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ht="15.75" customHeight="1">
      <c r="A545" s="30"/>
      <c r="B545" s="30"/>
      <c r="C545" s="82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ht="15.75" customHeight="1">
      <c r="A546" s="30"/>
      <c r="B546" s="30"/>
      <c r="C546" s="82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ht="15.75" customHeight="1">
      <c r="A547" s="30"/>
      <c r="B547" s="30"/>
      <c r="C547" s="82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ht="15.75" customHeight="1">
      <c r="A548" s="30"/>
      <c r="B548" s="30"/>
      <c r="C548" s="82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ht="15.75" customHeight="1">
      <c r="A549" s="30"/>
      <c r="B549" s="30"/>
      <c r="C549" s="82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ht="15.75" customHeight="1">
      <c r="A550" s="30"/>
      <c r="B550" s="30"/>
      <c r="C550" s="82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ht="15.75" customHeight="1">
      <c r="A551" s="30"/>
      <c r="B551" s="30"/>
      <c r="C551" s="82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ht="15.75" customHeight="1">
      <c r="A552" s="30"/>
      <c r="B552" s="30"/>
      <c r="C552" s="82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ht="15.75" customHeight="1">
      <c r="A553" s="30"/>
      <c r="B553" s="30"/>
      <c r="C553" s="82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ht="15.75" customHeight="1">
      <c r="A554" s="30"/>
      <c r="B554" s="30"/>
      <c r="C554" s="82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ht="15.75" customHeight="1">
      <c r="A555" s="30"/>
      <c r="B555" s="30"/>
      <c r="C555" s="82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ht="15.75" customHeight="1">
      <c r="A556" s="30"/>
      <c r="B556" s="30"/>
      <c r="C556" s="82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ht="15.75" customHeight="1">
      <c r="A557" s="30"/>
      <c r="B557" s="30"/>
      <c r="C557" s="82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ht="15.75" customHeight="1">
      <c r="A558" s="30"/>
      <c r="B558" s="30"/>
      <c r="C558" s="82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ht="15.75" customHeight="1">
      <c r="A559" s="30"/>
      <c r="B559" s="30"/>
      <c r="C559" s="82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ht="15.75" customHeight="1">
      <c r="A560" s="30"/>
      <c r="B560" s="30"/>
      <c r="C560" s="82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ht="15.75" customHeight="1">
      <c r="A561" s="30"/>
      <c r="B561" s="30"/>
      <c r="C561" s="82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ht="15.75" customHeight="1">
      <c r="A562" s="30"/>
      <c r="B562" s="30"/>
      <c r="C562" s="82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ht="15.75" customHeight="1">
      <c r="A563" s="30"/>
      <c r="B563" s="30"/>
      <c r="C563" s="82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ht="15.75" customHeight="1">
      <c r="A564" s="30"/>
      <c r="B564" s="30"/>
      <c r="C564" s="82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ht="15.75" customHeight="1">
      <c r="A565" s="30"/>
      <c r="B565" s="30"/>
      <c r="C565" s="82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ht="15.75" customHeight="1">
      <c r="A566" s="30"/>
      <c r="B566" s="30"/>
      <c r="C566" s="82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ht="15.75" customHeight="1">
      <c r="A567" s="30"/>
      <c r="B567" s="30"/>
      <c r="C567" s="82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ht="15.75" customHeight="1">
      <c r="A568" s="30"/>
      <c r="B568" s="30"/>
      <c r="C568" s="82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ht="15.75" customHeight="1">
      <c r="A569" s="30"/>
      <c r="B569" s="30"/>
      <c r="C569" s="82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ht="15.75" customHeight="1">
      <c r="A570" s="30"/>
      <c r="B570" s="30"/>
      <c r="C570" s="82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ht="15.75" customHeight="1">
      <c r="A571" s="30"/>
      <c r="B571" s="30"/>
      <c r="C571" s="82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ht="15.75" customHeight="1">
      <c r="A572" s="30"/>
      <c r="B572" s="30"/>
      <c r="C572" s="82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ht="15.75" customHeight="1">
      <c r="A573" s="30"/>
      <c r="B573" s="30"/>
      <c r="C573" s="82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ht="15.75" customHeight="1">
      <c r="A574" s="30"/>
      <c r="B574" s="30"/>
      <c r="C574" s="82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ht="15.75" customHeight="1">
      <c r="A575" s="30"/>
      <c r="B575" s="30"/>
      <c r="C575" s="82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ht="15.75" customHeight="1">
      <c r="A576" s="30"/>
      <c r="B576" s="30"/>
      <c r="C576" s="82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ht="15.75" customHeight="1">
      <c r="A577" s="30"/>
      <c r="B577" s="30"/>
      <c r="C577" s="82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ht="15.75" customHeight="1">
      <c r="A578" s="30"/>
      <c r="B578" s="30"/>
      <c r="C578" s="82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ht="15.75" customHeight="1">
      <c r="A579" s="30"/>
      <c r="B579" s="30"/>
      <c r="C579" s="82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ht="15.75" customHeight="1">
      <c r="A580" s="30"/>
      <c r="B580" s="30"/>
      <c r="C580" s="82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ht="15.75" customHeight="1">
      <c r="A581" s="30"/>
      <c r="B581" s="30"/>
      <c r="C581" s="82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ht="15.75" customHeight="1">
      <c r="A582" s="30"/>
      <c r="B582" s="30"/>
      <c r="C582" s="82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ht="15.75" customHeight="1">
      <c r="A583" s="30"/>
      <c r="B583" s="30"/>
      <c r="C583" s="82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ht="15.75" customHeight="1">
      <c r="A584" s="30"/>
      <c r="B584" s="30"/>
      <c r="C584" s="82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ht="15.75" customHeight="1">
      <c r="A585" s="30"/>
      <c r="B585" s="30"/>
      <c r="C585" s="82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ht="15.75" customHeight="1">
      <c r="A586" s="30"/>
      <c r="B586" s="30"/>
      <c r="C586" s="82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ht="15.75" customHeight="1">
      <c r="A587" s="30"/>
      <c r="B587" s="30"/>
      <c r="C587" s="82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ht="15.75" customHeight="1">
      <c r="A588" s="30"/>
      <c r="B588" s="30"/>
      <c r="C588" s="82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ht="15.75" customHeight="1">
      <c r="A589" s="30"/>
      <c r="B589" s="30"/>
      <c r="C589" s="82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ht="15.75" customHeight="1">
      <c r="A590" s="30"/>
      <c r="B590" s="30"/>
      <c r="C590" s="82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ht="15.75" customHeight="1">
      <c r="A591" s="30"/>
      <c r="B591" s="30"/>
      <c r="C591" s="82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ht="15.75" customHeight="1">
      <c r="A592" s="30"/>
      <c r="B592" s="30"/>
      <c r="C592" s="82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ht="15.75" customHeight="1">
      <c r="A593" s="30"/>
      <c r="B593" s="30"/>
      <c r="C593" s="82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ht="15.75" customHeight="1">
      <c r="A594" s="30"/>
      <c r="B594" s="30"/>
      <c r="C594" s="82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ht="15.75" customHeight="1">
      <c r="A595" s="30"/>
      <c r="B595" s="30"/>
      <c r="C595" s="82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ht="15.75" customHeight="1">
      <c r="A596" s="30"/>
      <c r="B596" s="30"/>
      <c r="C596" s="82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ht="15.75" customHeight="1">
      <c r="A597" s="30"/>
      <c r="B597" s="30"/>
      <c r="C597" s="82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ht="15.75" customHeight="1">
      <c r="A598" s="30"/>
      <c r="B598" s="30"/>
      <c r="C598" s="82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ht="15.75" customHeight="1">
      <c r="A599" s="30"/>
      <c r="B599" s="30"/>
      <c r="C599" s="82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ht="15.75" customHeight="1">
      <c r="A600" s="30"/>
      <c r="B600" s="30"/>
      <c r="C600" s="82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ht="15.75" customHeight="1">
      <c r="A601" s="30"/>
      <c r="B601" s="30"/>
      <c r="C601" s="82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ht="15.75" customHeight="1">
      <c r="A602" s="30"/>
      <c r="B602" s="30"/>
      <c r="C602" s="82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ht="15.75" customHeight="1">
      <c r="A603" s="30"/>
      <c r="B603" s="30"/>
      <c r="C603" s="82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ht="15.75" customHeight="1">
      <c r="A604" s="30"/>
      <c r="B604" s="30"/>
      <c r="C604" s="82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ht="15.75" customHeight="1">
      <c r="A605" s="30"/>
      <c r="B605" s="30"/>
      <c r="C605" s="82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ht="15.75" customHeight="1">
      <c r="A606" s="30"/>
      <c r="B606" s="30"/>
      <c r="C606" s="82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ht="15.75" customHeight="1">
      <c r="A607" s="30"/>
      <c r="B607" s="30"/>
      <c r="C607" s="82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ht="15.75" customHeight="1">
      <c r="A608" s="30"/>
      <c r="B608" s="30"/>
      <c r="C608" s="82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ht="15.75" customHeight="1">
      <c r="A609" s="30"/>
      <c r="B609" s="30"/>
      <c r="C609" s="82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ht="15.75" customHeight="1">
      <c r="A610" s="30"/>
      <c r="B610" s="30"/>
      <c r="C610" s="82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ht="15.75" customHeight="1">
      <c r="A611" s="30"/>
      <c r="B611" s="30"/>
      <c r="C611" s="82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ht="15.75" customHeight="1">
      <c r="A612" s="30"/>
      <c r="B612" s="30"/>
      <c r="C612" s="82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ht="15.75" customHeight="1">
      <c r="A613" s="30"/>
      <c r="B613" s="30"/>
      <c r="C613" s="82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ht="15.75" customHeight="1">
      <c r="A614" s="30"/>
      <c r="B614" s="30"/>
      <c r="C614" s="82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ht="15.75" customHeight="1">
      <c r="A615" s="30"/>
      <c r="B615" s="30"/>
      <c r="C615" s="82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ht="15.75" customHeight="1">
      <c r="A616" s="30"/>
      <c r="B616" s="30"/>
      <c r="C616" s="82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ht="15.75" customHeight="1">
      <c r="A617" s="30"/>
      <c r="B617" s="30"/>
      <c r="C617" s="82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ht="15.75" customHeight="1">
      <c r="A618" s="30"/>
      <c r="B618" s="30"/>
      <c r="C618" s="82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ht="15.75" customHeight="1">
      <c r="A619" s="30"/>
      <c r="B619" s="30"/>
      <c r="C619" s="82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ht="15.75" customHeight="1">
      <c r="A620" s="30"/>
      <c r="B620" s="30"/>
      <c r="C620" s="82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ht="15.75" customHeight="1">
      <c r="A621" s="30"/>
      <c r="B621" s="30"/>
      <c r="C621" s="82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ht="15.75" customHeight="1">
      <c r="A622" s="30"/>
      <c r="B622" s="30"/>
      <c r="C622" s="82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ht="15.75" customHeight="1">
      <c r="A623" s="30"/>
      <c r="B623" s="30"/>
      <c r="C623" s="82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ht="15.75" customHeight="1">
      <c r="A624" s="30"/>
      <c r="B624" s="30"/>
      <c r="C624" s="82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ht="15.75" customHeight="1">
      <c r="A625" s="30"/>
      <c r="B625" s="30"/>
      <c r="C625" s="82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ht="15.75" customHeight="1">
      <c r="A626" s="30"/>
      <c r="B626" s="30"/>
      <c r="C626" s="82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ht="15.75" customHeight="1">
      <c r="A627" s="30"/>
      <c r="B627" s="30"/>
      <c r="C627" s="82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ht="15.75" customHeight="1">
      <c r="A628" s="30"/>
      <c r="B628" s="30"/>
      <c r="C628" s="82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ht="15.75" customHeight="1">
      <c r="A629" s="30"/>
      <c r="B629" s="30"/>
      <c r="C629" s="82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ht="15.75" customHeight="1">
      <c r="A630" s="30"/>
      <c r="B630" s="30"/>
      <c r="C630" s="82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ht="15.75" customHeight="1">
      <c r="A631" s="30"/>
      <c r="B631" s="30"/>
      <c r="C631" s="82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ht="15.75" customHeight="1">
      <c r="A632" s="30"/>
      <c r="B632" s="30"/>
      <c r="C632" s="82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ht="15.75" customHeight="1">
      <c r="A633" s="30"/>
      <c r="B633" s="30"/>
      <c r="C633" s="82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ht="15.75" customHeight="1">
      <c r="A634" s="30"/>
      <c r="B634" s="30"/>
      <c r="C634" s="82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ht="15.75" customHeight="1">
      <c r="A635" s="30"/>
      <c r="B635" s="30"/>
      <c r="C635" s="82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ht="15.75" customHeight="1">
      <c r="A636" s="30"/>
      <c r="B636" s="30"/>
      <c r="C636" s="82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ht="15.75" customHeight="1">
      <c r="A637" s="30"/>
      <c r="B637" s="30"/>
      <c r="C637" s="82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ht="15.75" customHeight="1">
      <c r="A638" s="30"/>
      <c r="B638" s="30"/>
      <c r="C638" s="82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ht="15.75" customHeight="1">
      <c r="A639" s="30"/>
      <c r="B639" s="30"/>
      <c r="C639" s="82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ht="15.75" customHeight="1">
      <c r="A640" s="30"/>
      <c r="B640" s="30"/>
      <c r="C640" s="82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ht="15.75" customHeight="1">
      <c r="A641" s="30"/>
      <c r="B641" s="30"/>
      <c r="C641" s="82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ht="15.75" customHeight="1">
      <c r="A642" s="30"/>
      <c r="B642" s="30"/>
      <c r="C642" s="82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ht="15.75" customHeight="1">
      <c r="A643" s="30"/>
      <c r="B643" s="30"/>
      <c r="C643" s="82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ht="15.75" customHeight="1">
      <c r="A644" s="30"/>
      <c r="B644" s="30"/>
      <c r="C644" s="82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ht="15.75" customHeight="1">
      <c r="A645" s="30"/>
      <c r="B645" s="30"/>
      <c r="C645" s="82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ht="15.75" customHeight="1">
      <c r="A646" s="30"/>
      <c r="B646" s="30"/>
      <c r="C646" s="82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ht="15.75" customHeight="1">
      <c r="A647" s="30"/>
      <c r="B647" s="30"/>
      <c r="C647" s="82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ht="15.75" customHeight="1">
      <c r="A648" s="30"/>
      <c r="B648" s="30"/>
      <c r="C648" s="82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ht="15.75" customHeight="1">
      <c r="A649" s="30"/>
      <c r="B649" s="30"/>
      <c r="C649" s="82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ht="15.75" customHeight="1">
      <c r="A650" s="30"/>
      <c r="B650" s="30"/>
      <c r="C650" s="82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ht="15.75" customHeight="1">
      <c r="A651" s="30"/>
      <c r="B651" s="30"/>
      <c r="C651" s="82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ht="15.75" customHeight="1">
      <c r="A652" s="30"/>
      <c r="B652" s="30"/>
      <c r="C652" s="82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ht="15.75" customHeight="1">
      <c r="A653" s="30"/>
      <c r="B653" s="30"/>
      <c r="C653" s="82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ht="15.75" customHeight="1">
      <c r="A654" s="30"/>
      <c r="B654" s="30"/>
      <c r="C654" s="82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ht="15.75" customHeight="1">
      <c r="A655" s="30"/>
      <c r="B655" s="30"/>
      <c r="C655" s="82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ht="15.75" customHeight="1">
      <c r="A656" s="30"/>
      <c r="B656" s="30"/>
      <c r="C656" s="82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ht="15.75" customHeight="1">
      <c r="A657" s="30"/>
      <c r="B657" s="30"/>
      <c r="C657" s="82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ht="15.75" customHeight="1">
      <c r="A658" s="30"/>
      <c r="B658" s="30"/>
      <c r="C658" s="82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ht="15.75" customHeight="1">
      <c r="A659" s="30"/>
      <c r="B659" s="30"/>
      <c r="C659" s="82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ht="15.75" customHeight="1">
      <c r="A660" s="30"/>
      <c r="B660" s="30"/>
      <c r="C660" s="82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ht="15.75" customHeight="1">
      <c r="A661" s="30"/>
      <c r="B661" s="30"/>
      <c r="C661" s="82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ht="15.75" customHeight="1">
      <c r="A662" s="30"/>
      <c r="B662" s="30"/>
      <c r="C662" s="82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ht="15.75" customHeight="1">
      <c r="A663" s="30"/>
      <c r="B663" s="30"/>
      <c r="C663" s="82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ht="15.75" customHeight="1">
      <c r="A664" s="30"/>
      <c r="B664" s="30"/>
      <c r="C664" s="82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ht="15.75" customHeight="1">
      <c r="A665" s="30"/>
      <c r="B665" s="30"/>
      <c r="C665" s="82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ht="15.75" customHeight="1">
      <c r="A666" s="30"/>
      <c r="B666" s="30"/>
      <c r="C666" s="82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ht="15.75" customHeight="1">
      <c r="A667" s="30"/>
      <c r="B667" s="30"/>
      <c r="C667" s="82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ht="15.75" customHeight="1">
      <c r="A668" s="30"/>
      <c r="B668" s="30"/>
      <c r="C668" s="82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ht="15.75" customHeight="1">
      <c r="A669" s="30"/>
      <c r="B669" s="30"/>
      <c r="C669" s="82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ht="15.75" customHeight="1">
      <c r="A670" s="30"/>
      <c r="B670" s="30"/>
      <c r="C670" s="82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ht="15.75" customHeight="1">
      <c r="A671" s="30"/>
      <c r="B671" s="30"/>
      <c r="C671" s="82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ht="15.75" customHeight="1">
      <c r="A672" s="30"/>
      <c r="B672" s="30"/>
      <c r="C672" s="82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ht="15.75" customHeight="1">
      <c r="A673" s="30"/>
      <c r="B673" s="30"/>
      <c r="C673" s="82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ht="15.75" customHeight="1">
      <c r="A674" s="30"/>
      <c r="B674" s="30"/>
      <c r="C674" s="82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ht="15.75" customHeight="1">
      <c r="A675" s="30"/>
      <c r="B675" s="30"/>
      <c r="C675" s="82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ht="15.75" customHeight="1">
      <c r="A676" s="30"/>
      <c r="B676" s="30"/>
      <c r="C676" s="82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ht="15.75" customHeight="1">
      <c r="A677" s="30"/>
      <c r="B677" s="30"/>
      <c r="C677" s="82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ht="15.75" customHeight="1">
      <c r="A678" s="30"/>
      <c r="B678" s="30"/>
      <c r="C678" s="82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ht="15.75" customHeight="1">
      <c r="A679" s="30"/>
      <c r="B679" s="30"/>
      <c r="C679" s="82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ht="15.75" customHeight="1">
      <c r="A680" s="30"/>
      <c r="B680" s="30"/>
      <c r="C680" s="82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ht="15.75" customHeight="1">
      <c r="A681" s="30"/>
      <c r="B681" s="30"/>
      <c r="C681" s="82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ht="15.75" customHeight="1">
      <c r="A682" s="30"/>
      <c r="B682" s="30"/>
      <c r="C682" s="82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ht="15.75" customHeight="1">
      <c r="A683" s="30"/>
      <c r="B683" s="30"/>
      <c r="C683" s="82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ht="15.75" customHeight="1">
      <c r="A684" s="30"/>
      <c r="B684" s="30"/>
      <c r="C684" s="82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ht="15.75" customHeight="1">
      <c r="A685" s="30"/>
      <c r="B685" s="30"/>
      <c r="C685" s="82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ht="15.75" customHeight="1">
      <c r="A686" s="30"/>
      <c r="B686" s="30"/>
      <c r="C686" s="82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ht="15.75" customHeight="1">
      <c r="A687" s="30"/>
      <c r="B687" s="30"/>
      <c r="C687" s="82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ht="15.75" customHeight="1">
      <c r="A688" s="30"/>
      <c r="B688" s="30"/>
      <c r="C688" s="82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ht="15.75" customHeight="1">
      <c r="A689" s="30"/>
      <c r="B689" s="30"/>
      <c r="C689" s="82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ht="15.75" customHeight="1">
      <c r="A690" s="30"/>
      <c r="B690" s="30"/>
      <c r="C690" s="82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ht="15.75" customHeight="1">
      <c r="A691" s="30"/>
      <c r="B691" s="30"/>
      <c r="C691" s="82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ht="15.75" customHeight="1">
      <c r="A692" s="30"/>
      <c r="B692" s="30"/>
      <c r="C692" s="82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ht="15.75" customHeight="1">
      <c r="A693" s="30"/>
      <c r="B693" s="30"/>
      <c r="C693" s="82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ht="15.75" customHeight="1">
      <c r="A694" s="30"/>
      <c r="B694" s="30"/>
      <c r="C694" s="82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ht="15.75" customHeight="1">
      <c r="A695" s="30"/>
      <c r="B695" s="30"/>
      <c r="C695" s="82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ht="15.75" customHeight="1">
      <c r="A696" s="30"/>
      <c r="B696" s="30"/>
      <c r="C696" s="82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ht="15.75" customHeight="1">
      <c r="A697" s="30"/>
      <c r="B697" s="30"/>
      <c r="C697" s="82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ht="15.75" customHeight="1">
      <c r="A698" s="30"/>
      <c r="B698" s="30"/>
      <c r="C698" s="82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ht="15.75" customHeight="1">
      <c r="A699" s="30"/>
      <c r="B699" s="30"/>
      <c r="C699" s="82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ht="15.75" customHeight="1">
      <c r="A700" s="30"/>
      <c r="B700" s="30"/>
      <c r="C700" s="82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ht="15.75" customHeight="1">
      <c r="A701" s="30"/>
      <c r="B701" s="30"/>
      <c r="C701" s="82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ht="15.75" customHeight="1">
      <c r="A702" s="30"/>
      <c r="B702" s="30"/>
      <c r="C702" s="82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ht="15.75" customHeight="1">
      <c r="A703" s="30"/>
      <c r="B703" s="30"/>
      <c r="C703" s="82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ht="15.75" customHeight="1">
      <c r="A704" s="30"/>
      <c r="B704" s="30"/>
      <c r="C704" s="82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ht="15.75" customHeight="1">
      <c r="A705" s="30"/>
      <c r="B705" s="30"/>
      <c r="C705" s="82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ht="15.75" customHeight="1">
      <c r="A706" s="30"/>
      <c r="B706" s="30"/>
      <c r="C706" s="82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ht="15.75" customHeight="1">
      <c r="A707" s="30"/>
      <c r="B707" s="30"/>
      <c r="C707" s="82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ht="15.75" customHeight="1">
      <c r="A708" s="30"/>
      <c r="B708" s="30"/>
      <c r="C708" s="82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ht="15.75" customHeight="1">
      <c r="A709" s="30"/>
      <c r="B709" s="30"/>
      <c r="C709" s="82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ht="15.75" customHeight="1">
      <c r="A710" s="30"/>
      <c r="B710" s="30"/>
      <c r="C710" s="82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ht="15.75" customHeight="1">
      <c r="A711" s="30"/>
      <c r="B711" s="30"/>
      <c r="C711" s="82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ht="15.75" customHeight="1">
      <c r="A712" s="30"/>
      <c r="B712" s="30"/>
      <c r="C712" s="82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ht="15.75" customHeight="1">
      <c r="A713" s="30"/>
      <c r="B713" s="30"/>
      <c r="C713" s="82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ht="15.75" customHeight="1">
      <c r="A714" s="30"/>
      <c r="B714" s="30"/>
      <c r="C714" s="82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ht="15.75" customHeight="1">
      <c r="A715" s="30"/>
      <c r="B715" s="30"/>
      <c r="C715" s="82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ht="15.75" customHeight="1">
      <c r="A716" s="30"/>
      <c r="B716" s="30"/>
      <c r="C716" s="82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ht="15.75" customHeight="1">
      <c r="A717" s="30"/>
      <c r="B717" s="30"/>
      <c r="C717" s="82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ht="15.75" customHeight="1">
      <c r="A718" s="30"/>
      <c r="B718" s="30"/>
      <c r="C718" s="82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ht="15.75" customHeight="1">
      <c r="A719" s="30"/>
      <c r="B719" s="30"/>
      <c r="C719" s="82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ht="15.75" customHeight="1">
      <c r="A720" s="30"/>
      <c r="B720" s="30"/>
      <c r="C720" s="82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ht="15.75" customHeight="1">
      <c r="A721" s="30"/>
      <c r="B721" s="30"/>
      <c r="C721" s="82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ht="15.75" customHeight="1">
      <c r="A722" s="30"/>
      <c r="B722" s="30"/>
      <c r="C722" s="82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ht="15.75" customHeight="1">
      <c r="A723" s="30"/>
      <c r="B723" s="30"/>
      <c r="C723" s="82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ht="15.75" customHeight="1">
      <c r="A724" s="30"/>
      <c r="B724" s="30"/>
      <c r="C724" s="82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ht="15.75" customHeight="1">
      <c r="A725" s="30"/>
      <c r="B725" s="30"/>
      <c r="C725" s="82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ht="15.75" customHeight="1">
      <c r="A726" s="30"/>
      <c r="B726" s="30"/>
      <c r="C726" s="82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ht="15.75" customHeight="1">
      <c r="A727" s="30"/>
      <c r="B727" s="30"/>
      <c r="C727" s="82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ht="15.75" customHeight="1">
      <c r="A728" s="30"/>
      <c r="B728" s="30"/>
      <c r="C728" s="82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ht="15.75" customHeight="1">
      <c r="A729" s="30"/>
      <c r="B729" s="30"/>
      <c r="C729" s="82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ht="15.75" customHeight="1">
      <c r="A730" s="30"/>
      <c r="B730" s="30"/>
      <c r="C730" s="82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ht="15.75" customHeight="1">
      <c r="A731" s="30"/>
      <c r="B731" s="30"/>
      <c r="C731" s="82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ht="15.75" customHeight="1">
      <c r="A732" s="30"/>
      <c r="B732" s="30"/>
      <c r="C732" s="82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ht="15.75" customHeight="1">
      <c r="A733" s="30"/>
      <c r="B733" s="30"/>
      <c r="C733" s="82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ht="15.75" customHeight="1">
      <c r="A734" s="30"/>
      <c r="B734" s="30"/>
      <c r="C734" s="82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ht="15.75" customHeight="1">
      <c r="A735" s="30"/>
      <c r="B735" s="30"/>
      <c r="C735" s="82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ht="15.75" customHeight="1">
      <c r="A736" s="30"/>
      <c r="B736" s="30"/>
      <c r="C736" s="82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ht="15.75" customHeight="1">
      <c r="A737" s="30"/>
      <c r="B737" s="30"/>
      <c r="C737" s="82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ht="15.75" customHeight="1">
      <c r="A738" s="30"/>
      <c r="B738" s="30"/>
      <c r="C738" s="82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ht="15.75" customHeight="1">
      <c r="A739" s="30"/>
      <c r="B739" s="30"/>
      <c r="C739" s="82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ht="15.75" customHeight="1">
      <c r="A740" s="30"/>
      <c r="B740" s="30"/>
      <c r="C740" s="82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ht="15.75" customHeight="1">
      <c r="A741" s="30"/>
      <c r="B741" s="30"/>
      <c r="C741" s="82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ht="15.75" customHeight="1">
      <c r="A742" s="30"/>
      <c r="B742" s="30"/>
      <c r="C742" s="82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ht="15.75" customHeight="1">
      <c r="A743" s="30"/>
      <c r="B743" s="30"/>
      <c r="C743" s="82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ht="15.75" customHeight="1">
      <c r="A744" s="30"/>
      <c r="B744" s="30"/>
      <c r="C744" s="82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ht="15.75" customHeight="1">
      <c r="A745" s="30"/>
      <c r="B745" s="30"/>
      <c r="C745" s="82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ht="15.75" customHeight="1">
      <c r="A746" s="30"/>
      <c r="B746" s="30"/>
      <c r="C746" s="82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ht="15.75" customHeight="1">
      <c r="A747" s="30"/>
      <c r="B747" s="30"/>
      <c r="C747" s="82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ht="15.75" customHeight="1">
      <c r="A748" s="30"/>
      <c r="B748" s="30"/>
      <c r="C748" s="82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ht="15.75" customHeight="1">
      <c r="A749" s="30"/>
      <c r="B749" s="30"/>
      <c r="C749" s="82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ht="15.75" customHeight="1">
      <c r="A750" s="30"/>
      <c r="B750" s="30"/>
      <c r="C750" s="82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ht="15.75" customHeight="1">
      <c r="A751" s="30"/>
      <c r="B751" s="30"/>
      <c r="C751" s="82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ht="15.75" customHeight="1">
      <c r="A752" s="30"/>
      <c r="B752" s="30"/>
      <c r="C752" s="82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ht="15.75" customHeight="1">
      <c r="A753" s="30"/>
      <c r="B753" s="30"/>
      <c r="C753" s="82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ht="15.75" customHeight="1">
      <c r="A754" s="30"/>
      <c r="B754" s="30"/>
      <c r="C754" s="82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ht="15.75" customHeight="1">
      <c r="A755" s="30"/>
      <c r="B755" s="30"/>
      <c r="C755" s="82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ht="15.75" customHeight="1">
      <c r="A756" s="30"/>
      <c r="B756" s="30"/>
      <c r="C756" s="82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ht="15.75" customHeight="1">
      <c r="A757" s="30"/>
      <c r="B757" s="30"/>
      <c r="C757" s="82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ht="15.75" customHeight="1">
      <c r="A758" s="30"/>
      <c r="B758" s="30"/>
      <c r="C758" s="82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ht="15.75" customHeight="1">
      <c r="A759" s="30"/>
      <c r="B759" s="30"/>
      <c r="C759" s="82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ht="15.75" customHeight="1">
      <c r="A760" s="30"/>
      <c r="B760" s="30"/>
      <c r="C760" s="82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ht="15.75" customHeight="1">
      <c r="A761" s="30"/>
      <c r="B761" s="30"/>
      <c r="C761" s="82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ht="15.75" customHeight="1">
      <c r="A762" s="30"/>
      <c r="B762" s="30"/>
      <c r="C762" s="82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ht="15.75" customHeight="1">
      <c r="A763" s="30"/>
      <c r="B763" s="30"/>
      <c r="C763" s="82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ht="15.75" customHeight="1">
      <c r="A764" s="30"/>
      <c r="B764" s="30"/>
      <c r="C764" s="82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ht="15.75" customHeight="1">
      <c r="A765" s="30"/>
      <c r="B765" s="30"/>
      <c r="C765" s="82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ht="15.75" customHeight="1">
      <c r="A766" s="30"/>
      <c r="B766" s="30"/>
      <c r="C766" s="82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ht="15.75" customHeight="1">
      <c r="A767" s="30"/>
      <c r="B767" s="30"/>
      <c r="C767" s="82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ht="15.75" customHeight="1">
      <c r="A768" s="30"/>
      <c r="B768" s="30"/>
      <c r="C768" s="82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ht="15.75" customHeight="1">
      <c r="A769" s="30"/>
      <c r="B769" s="30"/>
      <c r="C769" s="82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ht="15.75" customHeight="1">
      <c r="A770" s="30"/>
      <c r="B770" s="30"/>
      <c r="C770" s="82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ht="15.75" customHeight="1">
      <c r="A771" s="30"/>
      <c r="B771" s="30"/>
      <c r="C771" s="82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ht="15.75" customHeight="1">
      <c r="A772" s="30"/>
      <c r="B772" s="30"/>
      <c r="C772" s="82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ht="15.75" customHeight="1">
      <c r="A773" s="30"/>
      <c r="B773" s="30"/>
      <c r="C773" s="82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ht="15.75" customHeight="1">
      <c r="A774" s="30"/>
      <c r="B774" s="30"/>
      <c r="C774" s="82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ht="15.75" customHeight="1">
      <c r="A775" s="30"/>
      <c r="B775" s="30"/>
      <c r="C775" s="82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ht="15.75" customHeight="1">
      <c r="A776" s="30"/>
      <c r="B776" s="30"/>
      <c r="C776" s="82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ht="15.75" customHeight="1">
      <c r="A777" s="30"/>
      <c r="B777" s="30"/>
      <c r="C777" s="82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ht="15.75" customHeight="1">
      <c r="A778" s="30"/>
      <c r="B778" s="30"/>
      <c r="C778" s="82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ht="15.75" customHeight="1">
      <c r="A779" s="30"/>
      <c r="B779" s="30"/>
      <c r="C779" s="82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ht="15.75" customHeight="1">
      <c r="A780" s="30"/>
      <c r="B780" s="30"/>
      <c r="C780" s="82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ht="15.75" customHeight="1">
      <c r="A781" s="30"/>
      <c r="B781" s="30"/>
      <c r="C781" s="82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ht="15.75" customHeight="1">
      <c r="A782" s="30"/>
      <c r="B782" s="30"/>
      <c r="C782" s="82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ht="15.75" customHeight="1">
      <c r="A783" s="30"/>
      <c r="B783" s="30"/>
      <c r="C783" s="82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ht="15.75" customHeight="1">
      <c r="A784" s="30"/>
      <c r="B784" s="30"/>
      <c r="C784" s="82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ht="15.75" customHeight="1">
      <c r="A785" s="30"/>
      <c r="B785" s="30"/>
      <c r="C785" s="82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ht="15.75" customHeight="1">
      <c r="A786" s="30"/>
      <c r="B786" s="30"/>
      <c r="C786" s="82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ht="15.75" customHeight="1">
      <c r="A787" s="30"/>
      <c r="B787" s="30"/>
      <c r="C787" s="82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ht="15.75" customHeight="1">
      <c r="A788" s="30"/>
      <c r="B788" s="30"/>
      <c r="C788" s="82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ht="15.75" customHeight="1">
      <c r="A789" s="30"/>
      <c r="B789" s="30"/>
      <c r="C789" s="82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ht="15.75" customHeight="1">
      <c r="A790" s="30"/>
      <c r="B790" s="30"/>
      <c r="C790" s="82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ht="15.75" customHeight="1">
      <c r="A791" s="30"/>
      <c r="B791" s="30"/>
      <c r="C791" s="82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ht="15.75" customHeight="1">
      <c r="A792" s="30"/>
      <c r="B792" s="30"/>
      <c r="C792" s="82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ht="15.75" customHeight="1">
      <c r="A793" s="30"/>
      <c r="B793" s="30"/>
      <c r="C793" s="82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ht="15.75" customHeight="1">
      <c r="A794" s="30"/>
      <c r="B794" s="30"/>
      <c r="C794" s="82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ht="15.75" customHeight="1">
      <c r="A795" s="30"/>
      <c r="B795" s="30"/>
      <c r="C795" s="82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ht="15.75" customHeight="1">
      <c r="A796" s="30"/>
      <c r="B796" s="30"/>
      <c r="C796" s="82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ht="15.75" customHeight="1">
      <c r="A797" s="30"/>
      <c r="B797" s="30"/>
      <c r="C797" s="82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ht="15.75" customHeight="1">
      <c r="A798" s="30"/>
      <c r="B798" s="30"/>
      <c r="C798" s="82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ht="15.75" customHeight="1">
      <c r="A799" s="30"/>
      <c r="B799" s="30"/>
      <c r="C799" s="82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ht="15.75" customHeight="1">
      <c r="A800" s="30"/>
      <c r="B800" s="30"/>
      <c r="C800" s="82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ht="15.75" customHeight="1">
      <c r="A801" s="30"/>
      <c r="B801" s="30"/>
      <c r="C801" s="82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ht="15.75" customHeight="1">
      <c r="A802" s="30"/>
      <c r="B802" s="30"/>
      <c r="C802" s="82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ht="15.75" customHeight="1">
      <c r="A803" s="30"/>
      <c r="B803" s="30"/>
      <c r="C803" s="82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ht="15.75" customHeight="1">
      <c r="A804" s="30"/>
      <c r="B804" s="30"/>
      <c r="C804" s="82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ht="15.75" customHeight="1">
      <c r="A805" s="30"/>
      <c r="B805" s="30"/>
      <c r="C805" s="82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ht="15.75" customHeight="1">
      <c r="A806" s="30"/>
      <c r="B806" s="30"/>
      <c r="C806" s="82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ht="15.75" customHeight="1">
      <c r="A807" s="30"/>
      <c r="B807" s="30"/>
      <c r="C807" s="82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ht="15.75" customHeight="1">
      <c r="A808" s="30"/>
      <c r="B808" s="30"/>
      <c r="C808" s="82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ht="15.75" customHeight="1">
      <c r="A809" s="30"/>
      <c r="B809" s="30"/>
      <c r="C809" s="82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ht="15.75" customHeight="1">
      <c r="A810" s="30"/>
      <c r="B810" s="30"/>
      <c r="C810" s="82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ht="15.75" customHeight="1">
      <c r="A811" s="30"/>
      <c r="B811" s="30"/>
      <c r="C811" s="82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ht="15.75" customHeight="1">
      <c r="A812" s="30"/>
      <c r="B812" s="30"/>
      <c r="C812" s="82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ht="15.75" customHeight="1">
      <c r="A813" s="30"/>
      <c r="B813" s="30"/>
      <c r="C813" s="82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ht="15.75" customHeight="1">
      <c r="A814" s="30"/>
      <c r="B814" s="30"/>
      <c r="C814" s="82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ht="15.75" customHeight="1">
      <c r="A815" s="30"/>
      <c r="B815" s="30"/>
      <c r="C815" s="82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ht="15.75" customHeight="1">
      <c r="A816" s="30"/>
      <c r="B816" s="30"/>
      <c r="C816" s="82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ht="15.75" customHeight="1">
      <c r="A817" s="30"/>
      <c r="B817" s="30"/>
      <c r="C817" s="82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ht="15.75" customHeight="1">
      <c r="A818" s="30"/>
      <c r="B818" s="30"/>
      <c r="C818" s="82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ht="15.75" customHeight="1">
      <c r="A819" s="30"/>
      <c r="B819" s="30"/>
      <c r="C819" s="82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ht="15.75" customHeight="1">
      <c r="A820" s="30"/>
      <c r="B820" s="30"/>
      <c r="C820" s="82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ht="15.75" customHeight="1">
      <c r="A821" s="30"/>
      <c r="B821" s="30"/>
      <c r="C821" s="82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ht="15.75" customHeight="1">
      <c r="A822" s="30"/>
      <c r="B822" s="30"/>
      <c r="C822" s="82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ht="15.75" customHeight="1">
      <c r="A823" s="30"/>
      <c r="B823" s="30"/>
      <c r="C823" s="82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ht="15.75" customHeight="1">
      <c r="A824" s="30"/>
      <c r="B824" s="30"/>
      <c r="C824" s="82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ht="15.75" customHeight="1">
      <c r="A825" s="30"/>
      <c r="B825" s="30"/>
      <c r="C825" s="82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ht="15.75" customHeight="1">
      <c r="A826" s="30"/>
      <c r="B826" s="30"/>
      <c r="C826" s="82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ht="15.75" customHeight="1">
      <c r="A827" s="30"/>
      <c r="B827" s="30"/>
      <c r="C827" s="82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ht="15.75" customHeight="1">
      <c r="A828" s="30"/>
      <c r="B828" s="30"/>
      <c r="C828" s="82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ht="15.75" customHeight="1">
      <c r="A829" s="30"/>
      <c r="B829" s="30"/>
      <c r="C829" s="82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ht="15.75" customHeight="1">
      <c r="A830" s="30"/>
      <c r="B830" s="30"/>
      <c r="C830" s="82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ht="15.75" customHeight="1">
      <c r="A831" s="30"/>
      <c r="B831" s="30"/>
      <c r="C831" s="82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ht="15.75" customHeight="1">
      <c r="A832" s="30"/>
      <c r="B832" s="30"/>
      <c r="C832" s="82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ht="15.75" customHeight="1">
      <c r="A833" s="30"/>
      <c r="B833" s="30"/>
      <c r="C833" s="82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ht="15.75" customHeight="1">
      <c r="A834" s="30"/>
      <c r="B834" s="30"/>
      <c r="C834" s="82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ht="15.75" customHeight="1">
      <c r="A835" s="30"/>
      <c r="B835" s="30"/>
      <c r="C835" s="82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ht="15.75" customHeight="1">
      <c r="A836" s="30"/>
      <c r="B836" s="30"/>
      <c r="C836" s="82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ht="15.75" customHeight="1">
      <c r="A837" s="30"/>
      <c r="B837" s="30"/>
      <c r="C837" s="82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ht="15.75" customHeight="1">
      <c r="A838" s="30"/>
      <c r="B838" s="30"/>
      <c r="C838" s="82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ht="15.75" customHeight="1">
      <c r="A839" s="30"/>
      <c r="B839" s="30"/>
      <c r="C839" s="82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ht="15.75" customHeight="1">
      <c r="A840" s="30"/>
      <c r="B840" s="30"/>
      <c r="C840" s="82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ht="15.75" customHeight="1">
      <c r="A841" s="30"/>
      <c r="B841" s="30"/>
      <c r="C841" s="82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ht="15.75" customHeight="1">
      <c r="A842" s="30"/>
      <c r="B842" s="30"/>
      <c r="C842" s="82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ht="15.75" customHeight="1">
      <c r="A843" s="30"/>
      <c r="B843" s="30"/>
      <c r="C843" s="82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ht="15.75" customHeight="1">
      <c r="A844" s="30"/>
      <c r="B844" s="30"/>
      <c r="C844" s="82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ht="15.75" customHeight="1">
      <c r="A845" s="30"/>
      <c r="B845" s="30"/>
      <c r="C845" s="82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ht="15.75" customHeight="1">
      <c r="A846" s="30"/>
      <c r="B846" s="30"/>
      <c r="C846" s="82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ht="15.75" customHeight="1">
      <c r="A847" s="30"/>
      <c r="B847" s="30"/>
      <c r="C847" s="82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ht="15.75" customHeight="1">
      <c r="A848" s="30"/>
      <c r="B848" s="30"/>
      <c r="C848" s="82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ht="15.75" customHeight="1">
      <c r="A849" s="30"/>
      <c r="B849" s="30"/>
      <c r="C849" s="82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ht="15.75" customHeight="1">
      <c r="A850" s="30"/>
      <c r="B850" s="30"/>
      <c r="C850" s="82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ht="15.75" customHeight="1">
      <c r="A851" s="30"/>
      <c r="B851" s="30"/>
      <c r="C851" s="82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ht="15.75" customHeight="1">
      <c r="A852" s="30"/>
      <c r="B852" s="30"/>
      <c r="C852" s="82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ht="15.75" customHeight="1">
      <c r="A853" s="30"/>
      <c r="B853" s="30"/>
      <c r="C853" s="82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ht="15.75" customHeight="1">
      <c r="A854" s="30"/>
      <c r="B854" s="30"/>
      <c r="C854" s="82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ht="15.75" customHeight="1">
      <c r="A855" s="30"/>
      <c r="B855" s="30"/>
      <c r="C855" s="82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ht="15.75" customHeight="1">
      <c r="A856" s="30"/>
      <c r="B856" s="30"/>
      <c r="C856" s="82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ht="15.75" customHeight="1">
      <c r="A857" s="30"/>
      <c r="B857" s="30"/>
      <c r="C857" s="82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ht="15.75" customHeight="1">
      <c r="A858" s="30"/>
      <c r="B858" s="30"/>
      <c r="C858" s="82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ht="15.75" customHeight="1">
      <c r="A859" s="30"/>
      <c r="B859" s="30"/>
      <c r="C859" s="82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ht="15.75" customHeight="1">
      <c r="A860" s="30"/>
      <c r="B860" s="30"/>
      <c r="C860" s="82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ht="15.75" customHeight="1">
      <c r="A861" s="30"/>
      <c r="B861" s="30"/>
      <c r="C861" s="82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ht="15.75" customHeight="1">
      <c r="A862" s="30"/>
      <c r="B862" s="30"/>
      <c r="C862" s="82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ht="15.75" customHeight="1">
      <c r="A863" s="30"/>
      <c r="B863" s="30"/>
      <c r="C863" s="82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ht="15.75" customHeight="1">
      <c r="A864" s="30"/>
      <c r="B864" s="30"/>
      <c r="C864" s="82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ht="15.75" customHeight="1">
      <c r="A865" s="30"/>
      <c r="B865" s="30"/>
      <c r="C865" s="82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ht="15.75" customHeight="1">
      <c r="A866" s="30"/>
      <c r="B866" s="30"/>
      <c r="C866" s="82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ht="15.75" customHeight="1">
      <c r="A867" s="30"/>
      <c r="B867" s="30"/>
      <c r="C867" s="82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ht="15.75" customHeight="1">
      <c r="A868" s="30"/>
      <c r="B868" s="30"/>
      <c r="C868" s="82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ht="15.75" customHeight="1">
      <c r="A869" s="30"/>
      <c r="B869" s="30"/>
      <c r="C869" s="82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ht="15.75" customHeight="1">
      <c r="A870" s="30"/>
      <c r="B870" s="30"/>
      <c r="C870" s="82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ht="15.75" customHeight="1">
      <c r="A871" s="30"/>
      <c r="B871" s="30"/>
      <c r="C871" s="82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ht="15.75" customHeight="1">
      <c r="A872" s="30"/>
      <c r="B872" s="30"/>
      <c r="C872" s="82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ht="15.75" customHeight="1">
      <c r="A873" s="30"/>
      <c r="B873" s="30"/>
      <c r="C873" s="82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ht="15.75" customHeight="1">
      <c r="A874" s="30"/>
      <c r="B874" s="30"/>
      <c r="C874" s="82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ht="15.75" customHeight="1">
      <c r="A875" s="30"/>
      <c r="B875" s="30"/>
      <c r="C875" s="82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ht="15.75" customHeight="1">
      <c r="A876" s="30"/>
      <c r="B876" s="30"/>
      <c r="C876" s="82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ht="15.75" customHeight="1">
      <c r="A877" s="30"/>
      <c r="B877" s="30"/>
      <c r="C877" s="82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ht="15.75" customHeight="1">
      <c r="A878" s="30"/>
      <c r="B878" s="30"/>
      <c r="C878" s="82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ht="15.75" customHeight="1">
      <c r="A879" s="30"/>
      <c r="B879" s="30"/>
      <c r="C879" s="82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ht="15.75" customHeight="1">
      <c r="A880" s="30"/>
      <c r="B880" s="30"/>
      <c r="C880" s="82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ht="15.75" customHeight="1">
      <c r="A881" s="30"/>
      <c r="B881" s="30"/>
      <c r="C881" s="82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ht="15.75" customHeight="1">
      <c r="A882" s="30"/>
      <c r="B882" s="30"/>
      <c r="C882" s="82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ht="15.75" customHeight="1">
      <c r="A883" s="30"/>
      <c r="B883" s="30"/>
      <c r="C883" s="82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ht="15.75" customHeight="1">
      <c r="A884" s="30"/>
      <c r="B884" s="30"/>
      <c r="C884" s="82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ht="15.75" customHeight="1">
      <c r="A885" s="30"/>
      <c r="B885" s="30"/>
      <c r="C885" s="82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ht="15.75" customHeight="1">
      <c r="A886" s="30"/>
      <c r="B886" s="30"/>
      <c r="C886" s="82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ht="15.75" customHeight="1">
      <c r="A887" s="30"/>
      <c r="B887" s="30"/>
      <c r="C887" s="82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ht="15.75" customHeight="1">
      <c r="A888" s="30"/>
      <c r="B888" s="30"/>
      <c r="C888" s="82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ht="15.75" customHeight="1">
      <c r="A889" s="30"/>
      <c r="B889" s="30"/>
      <c r="C889" s="82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ht="15.75" customHeight="1">
      <c r="A890" s="30"/>
      <c r="B890" s="30"/>
      <c r="C890" s="82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ht="15.75" customHeight="1">
      <c r="A891" s="30"/>
      <c r="B891" s="30"/>
      <c r="C891" s="82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ht="15.75" customHeight="1">
      <c r="A892" s="30"/>
      <c r="B892" s="30"/>
      <c r="C892" s="82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ht="15.75" customHeight="1">
      <c r="A893" s="30"/>
      <c r="B893" s="30"/>
      <c r="C893" s="82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ht="15.75" customHeight="1">
      <c r="A894" s="30"/>
      <c r="B894" s="30"/>
      <c r="C894" s="82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ht="15.75" customHeight="1">
      <c r="A895" s="30"/>
      <c r="B895" s="30"/>
      <c r="C895" s="82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ht="15.75" customHeight="1">
      <c r="A896" s="30"/>
      <c r="B896" s="30"/>
      <c r="C896" s="82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ht="15.75" customHeight="1">
      <c r="A897" s="30"/>
      <c r="B897" s="30"/>
      <c r="C897" s="82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ht="15.75" customHeight="1">
      <c r="A898" s="30"/>
      <c r="B898" s="30"/>
      <c r="C898" s="82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ht="15.75" customHeight="1">
      <c r="A899" s="30"/>
      <c r="B899" s="30"/>
      <c r="C899" s="82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ht="15.75" customHeight="1">
      <c r="A900" s="30"/>
      <c r="B900" s="30"/>
      <c r="C900" s="82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ht="15.75" customHeight="1">
      <c r="A901" s="30"/>
      <c r="B901" s="30"/>
      <c r="C901" s="82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ht="15.75" customHeight="1">
      <c r="A902" s="30"/>
      <c r="B902" s="30"/>
      <c r="C902" s="82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ht="15.75" customHeight="1">
      <c r="A903" s="30"/>
      <c r="B903" s="30"/>
      <c r="C903" s="82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ht="15.75" customHeight="1">
      <c r="A904" s="30"/>
      <c r="B904" s="30"/>
      <c r="C904" s="82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ht="15.75" customHeight="1">
      <c r="A905" s="30"/>
      <c r="B905" s="30"/>
      <c r="C905" s="82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ht="15.75" customHeight="1">
      <c r="A906" s="30"/>
      <c r="B906" s="30"/>
      <c r="C906" s="82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ht="15.75" customHeight="1">
      <c r="A907" s="30"/>
      <c r="B907" s="30"/>
      <c r="C907" s="82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ht="15.75" customHeight="1">
      <c r="A908" s="30"/>
      <c r="B908" s="30"/>
      <c r="C908" s="82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ht="15.75" customHeight="1">
      <c r="A909" s="30"/>
      <c r="B909" s="30"/>
      <c r="C909" s="82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ht="15.75" customHeight="1">
      <c r="A910" s="30"/>
      <c r="B910" s="30"/>
      <c r="C910" s="82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ht="15.75" customHeight="1">
      <c r="A911" s="30"/>
      <c r="B911" s="30"/>
      <c r="C911" s="82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ht="15.75" customHeight="1">
      <c r="A912" s="30"/>
      <c r="B912" s="30"/>
      <c r="C912" s="82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ht="15.75" customHeight="1">
      <c r="A913" s="30"/>
      <c r="B913" s="30"/>
      <c r="C913" s="82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ht="15.75" customHeight="1">
      <c r="A914" s="30"/>
      <c r="B914" s="30"/>
      <c r="C914" s="82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ht="15.75" customHeight="1">
      <c r="A915" s="30"/>
      <c r="B915" s="30"/>
      <c r="C915" s="82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ht="15.75" customHeight="1">
      <c r="A916" s="30"/>
      <c r="B916" s="30"/>
      <c r="C916" s="82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ht="15.75" customHeight="1">
      <c r="A917" s="30"/>
      <c r="B917" s="30"/>
      <c r="C917" s="82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ht="15.75" customHeight="1">
      <c r="A918" s="30"/>
      <c r="B918" s="30"/>
      <c r="C918" s="82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ht="15.75" customHeight="1">
      <c r="A919" s="30"/>
      <c r="B919" s="30"/>
      <c r="C919" s="82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ht="15.75" customHeight="1">
      <c r="A920" s="30"/>
      <c r="B920" s="30"/>
      <c r="C920" s="82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ht="15.75" customHeight="1">
      <c r="A921" s="30"/>
      <c r="B921" s="30"/>
      <c r="C921" s="82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ht="15.75" customHeight="1">
      <c r="A922" s="30"/>
      <c r="B922" s="30"/>
      <c r="C922" s="82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ht="15.75" customHeight="1">
      <c r="A923" s="30"/>
      <c r="B923" s="30"/>
      <c r="C923" s="82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ht="15.75" customHeight="1">
      <c r="A924" s="30"/>
      <c r="B924" s="30"/>
      <c r="C924" s="82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ht="15.75" customHeight="1">
      <c r="A925" s="30"/>
      <c r="B925" s="30"/>
      <c r="C925" s="82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ht="15.75" customHeight="1">
      <c r="A926" s="30"/>
      <c r="B926" s="30"/>
      <c r="C926" s="82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ht="15.75" customHeight="1">
      <c r="A927" s="30"/>
      <c r="B927" s="30"/>
      <c r="C927" s="82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ht="15.75" customHeight="1">
      <c r="A928" s="30"/>
      <c r="B928" s="30"/>
      <c r="C928" s="82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ht="15.75" customHeight="1">
      <c r="A929" s="30"/>
      <c r="B929" s="30"/>
      <c r="C929" s="82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ht="15.75" customHeight="1">
      <c r="A930" s="30"/>
      <c r="B930" s="30"/>
      <c r="C930" s="82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ht="15.75" customHeight="1">
      <c r="A931" s="30"/>
      <c r="B931" s="30"/>
      <c r="C931" s="82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ht="15.75" customHeight="1">
      <c r="A932" s="30"/>
      <c r="B932" s="30"/>
      <c r="C932" s="82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ht="15.75" customHeight="1">
      <c r="A933" s="30"/>
      <c r="B933" s="30"/>
      <c r="C933" s="82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ht="15.75" customHeight="1">
      <c r="A934" s="30"/>
      <c r="B934" s="30"/>
      <c r="C934" s="82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ht="15.75" customHeight="1">
      <c r="A935" s="30"/>
      <c r="B935" s="30"/>
      <c r="C935" s="82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ht="15.75" customHeight="1">
      <c r="A936" s="30"/>
      <c r="B936" s="30"/>
      <c r="C936" s="82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ht="15.75" customHeight="1">
      <c r="A937" s="30"/>
      <c r="B937" s="30"/>
      <c r="C937" s="82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ht="15.75" customHeight="1">
      <c r="A938" s="30"/>
      <c r="B938" s="30"/>
      <c r="C938" s="82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ht="15.75" customHeight="1">
      <c r="A939" s="30"/>
      <c r="B939" s="30"/>
      <c r="C939" s="82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ht="15.75" customHeight="1">
      <c r="A940" s="30"/>
      <c r="B940" s="30"/>
      <c r="C940" s="82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ht="15.75" customHeight="1">
      <c r="A941" s="30"/>
      <c r="B941" s="30"/>
      <c r="C941" s="82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ht="15.75" customHeight="1">
      <c r="A942" s="30"/>
      <c r="B942" s="30"/>
      <c r="C942" s="82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ht="15.75" customHeight="1">
      <c r="A943" s="30"/>
      <c r="B943" s="30"/>
      <c r="C943" s="82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ht="15.75" customHeight="1">
      <c r="A944" s="30"/>
      <c r="B944" s="30"/>
      <c r="C944" s="82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ht="15.75" customHeight="1">
      <c r="A945" s="30"/>
      <c r="B945" s="30"/>
      <c r="C945" s="82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ht="15.75" customHeight="1">
      <c r="A946" s="30"/>
      <c r="B946" s="30"/>
      <c r="C946" s="82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ht="15.75" customHeight="1">
      <c r="A947" s="30"/>
      <c r="B947" s="30"/>
      <c r="C947" s="82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ht="15.75" customHeight="1">
      <c r="A948" s="30"/>
      <c r="B948" s="30"/>
      <c r="C948" s="82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ht="15.75" customHeight="1">
      <c r="A949" s="30"/>
      <c r="B949" s="30"/>
      <c r="C949" s="82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ht="15.75" customHeight="1">
      <c r="A950" s="30"/>
      <c r="B950" s="30"/>
      <c r="C950" s="82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ht="15.75" customHeight="1">
      <c r="A951" s="30"/>
      <c r="B951" s="30"/>
      <c r="C951" s="82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ht="15.75" customHeight="1">
      <c r="A952" s="30"/>
      <c r="B952" s="30"/>
      <c r="C952" s="82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ht="15.75" customHeight="1">
      <c r="A953" s="30"/>
      <c r="B953" s="30"/>
      <c r="C953" s="82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ht="15.75" customHeight="1">
      <c r="A954" s="30"/>
      <c r="B954" s="30"/>
      <c r="C954" s="82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ht="15.75" customHeight="1">
      <c r="A955" s="30"/>
      <c r="B955" s="30"/>
      <c r="C955" s="82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ht="15.75" customHeight="1">
      <c r="A956" s="30"/>
      <c r="B956" s="30"/>
      <c r="C956" s="82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ht="15.75" customHeight="1">
      <c r="A957" s="30"/>
      <c r="B957" s="30"/>
      <c r="C957" s="82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ht="15.75" customHeight="1">
      <c r="A958" s="30"/>
      <c r="B958" s="30"/>
      <c r="C958" s="82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ht="15.75" customHeight="1">
      <c r="A959" s="30"/>
      <c r="B959" s="30"/>
      <c r="C959" s="82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ht="15.75" customHeight="1">
      <c r="A960" s="30"/>
      <c r="B960" s="30"/>
      <c r="C960" s="82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ht="15.75" customHeight="1">
      <c r="A961" s="30"/>
      <c r="B961" s="30"/>
      <c r="C961" s="82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ht="15.75" customHeight="1">
      <c r="A962" s="30"/>
      <c r="B962" s="30"/>
      <c r="C962" s="82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ht="15.75" customHeight="1">
      <c r="A963" s="30"/>
      <c r="B963" s="30"/>
      <c r="C963" s="82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ht="15.75" customHeight="1">
      <c r="A964" s="30"/>
      <c r="B964" s="30"/>
      <c r="C964" s="82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ht="15.75" customHeight="1">
      <c r="A965" s="30"/>
      <c r="B965" s="30"/>
      <c r="C965" s="82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ht="15.75" customHeight="1">
      <c r="A966" s="30"/>
      <c r="B966" s="30"/>
      <c r="C966" s="82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ht="15.75" customHeight="1">
      <c r="A967" s="30"/>
      <c r="B967" s="30"/>
      <c r="C967" s="82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ht="15.75" customHeight="1">
      <c r="A968" s="30"/>
      <c r="B968" s="30"/>
      <c r="C968" s="82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ht="15.75" customHeight="1">
      <c r="A969" s="30"/>
      <c r="B969" s="30"/>
      <c r="C969" s="82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ht="15.75" customHeight="1">
      <c r="A970" s="30"/>
      <c r="B970" s="30"/>
      <c r="C970" s="82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ht="15.75" customHeight="1">
      <c r="A971" s="30"/>
      <c r="B971" s="30"/>
      <c r="C971" s="82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ht="15.75" customHeight="1">
      <c r="A972" s="30"/>
      <c r="B972" s="30"/>
      <c r="C972" s="82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ht="15.75" customHeight="1">
      <c r="A973" s="30"/>
      <c r="B973" s="30"/>
      <c r="C973" s="82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ht="15.75" customHeight="1">
      <c r="A974" s="30"/>
      <c r="B974" s="30"/>
      <c r="C974" s="82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ht="15.75" customHeight="1">
      <c r="A975" s="30"/>
      <c r="B975" s="30"/>
      <c r="C975" s="82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ht="15.75" customHeight="1">
      <c r="A976" s="30"/>
      <c r="B976" s="30"/>
      <c r="C976" s="82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ht="15.75" customHeight="1">
      <c r="A977" s="30"/>
      <c r="B977" s="30"/>
      <c r="C977" s="82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ht="15.75" customHeight="1">
      <c r="A978" s="30"/>
      <c r="B978" s="30"/>
      <c r="C978" s="82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ht="15.75" customHeight="1">
      <c r="A979" s="30"/>
      <c r="B979" s="30"/>
      <c r="C979" s="82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ht="15.75" customHeight="1">
      <c r="A980" s="30"/>
      <c r="B980" s="30"/>
      <c r="C980" s="82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ht="15.75" customHeight="1">
      <c r="A981" s="30"/>
      <c r="B981" s="30"/>
      <c r="C981" s="82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ht="15.75" customHeight="1">
      <c r="A982" s="30"/>
      <c r="B982" s="30"/>
      <c r="C982" s="82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ht="15.75" customHeight="1">
      <c r="A983" s="30"/>
      <c r="B983" s="30"/>
      <c r="C983" s="82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ht="15.75" customHeight="1">
      <c r="A984" s="30"/>
      <c r="B984" s="30"/>
      <c r="C984" s="82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ht="15.75" customHeight="1">
      <c r="A985" s="30"/>
      <c r="B985" s="30"/>
      <c r="C985" s="82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ht="15.75" customHeight="1">
      <c r="A986" s="30"/>
      <c r="B986" s="30"/>
      <c r="C986" s="82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ht="15.75" customHeight="1">
      <c r="A987" s="30"/>
      <c r="B987" s="30"/>
      <c r="C987" s="82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ht="15.75" customHeight="1">
      <c r="A988" s="30"/>
      <c r="B988" s="30"/>
      <c r="C988" s="82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ht="15.75" customHeight="1">
      <c r="A989" s="30"/>
      <c r="B989" s="30"/>
      <c r="C989" s="82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ht="15.75" customHeight="1">
      <c r="A990" s="30"/>
      <c r="B990" s="30"/>
      <c r="C990" s="82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ht="15.75" customHeight="1">
      <c r="A991" s="30"/>
      <c r="B991" s="30"/>
      <c r="C991" s="82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ht="15.75" customHeight="1">
      <c r="A992" s="30"/>
      <c r="B992" s="30"/>
      <c r="C992" s="82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ht="15.75" customHeight="1">
      <c r="A993" s="30"/>
      <c r="B993" s="30"/>
      <c r="C993" s="82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ht="15.75" customHeight="1">
      <c r="A994" s="30"/>
      <c r="B994" s="30"/>
      <c r="C994" s="82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ht="15.75" customHeight="1">
      <c r="A995" s="30"/>
      <c r="B995" s="30"/>
      <c r="C995" s="82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ht="15.75" customHeight="1">
      <c r="A996" s="30"/>
      <c r="B996" s="30"/>
      <c r="C996" s="82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ht="15.75" customHeight="1">
      <c r="A997" s="30"/>
      <c r="B997" s="30"/>
      <c r="C997" s="82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ht="15.75" customHeight="1">
      <c r="A998" s="30"/>
      <c r="B998" s="30"/>
      <c r="C998" s="82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ht="15.75" customHeight="1">
      <c r="A999" s="30"/>
      <c r="B999" s="30"/>
      <c r="C999" s="82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ht="15.75" customHeight="1">
      <c r="A1000" s="30"/>
      <c r="B1000" s="30"/>
      <c r="C1000" s="82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</sheetData>
  <mergeCells count="2">
    <mergeCell ref="A1:N1"/>
    <mergeCell ref="A2:N2"/>
  </mergeCells>
  <conditionalFormatting sqref="N4:N203">
    <cfRule type="expression" dxfId="0" priority="1">
      <formula>N4="SOLD OUT"</formula>
    </cfRule>
  </conditionalFormatting>
  <conditionalFormatting sqref="N4:N203">
    <cfRule type="expression" dxfId="1" priority="2">
      <formula>N4="ON TRACK"</formula>
    </cfRule>
  </conditionalFormatting>
  <conditionalFormatting sqref="N4:N203">
    <cfRule type="expression" dxfId="2" priority="3">
      <formula>N4="BELUM TERJUAL"</formula>
    </cfRule>
  </conditionalFormatting>
  <conditionalFormatting sqref="N4:N203">
    <cfRule type="expression" dxfId="3" priority="4">
      <formula>N4="SLOW MOVE"</formula>
    </cfRule>
  </conditionalFormatting>
  <conditionalFormatting sqref="J4:J203">
    <cfRule type="expression" dxfId="4" priority="5">
      <formula>J4&gt;0</formula>
    </cfRule>
  </conditionalFormatting>
  <conditionalFormatting sqref="J4:J203">
    <cfRule type="expression" dxfId="5" priority="6">
      <formula>J4&lt;0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348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9.43"/>
    <col customWidth="1" min="3" max="3" width="14.29"/>
    <col customWidth="1" min="4" max="4" width="18.0"/>
    <col customWidth="1" min="5" max="5" width="28.0"/>
    <col customWidth="1" min="6" max="6" width="16.29"/>
    <col customWidth="1" min="7" max="7" width="26.29"/>
    <col customWidth="1" min="8" max="8" width="18.0"/>
    <col customWidth="1" min="9" max="9" width="16.29"/>
    <col customWidth="1" min="10" max="21" width="8.71"/>
  </cols>
  <sheetData>
    <row r="1" ht="36.0" customHeight="1">
      <c r="A1" s="1" t="s">
        <v>420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5" t="s">
        <v>421</v>
      </c>
      <c r="B2" s="2"/>
      <c r="C2" s="2"/>
      <c r="D2" s="2"/>
      <c r="E2" s="2"/>
      <c r="F2" s="2"/>
      <c r="G2" s="2"/>
      <c r="H2" s="2"/>
      <c r="I2" s="3"/>
    </row>
    <row r="3" ht="27.75" customHeight="1">
      <c r="A3" s="132" t="s">
        <v>407</v>
      </c>
      <c r="B3" s="72" t="s">
        <v>144</v>
      </c>
      <c r="C3" s="72" t="s">
        <v>422</v>
      </c>
      <c r="D3" s="74" t="s">
        <v>423</v>
      </c>
      <c r="E3" s="72" t="s">
        <v>424</v>
      </c>
      <c r="F3" s="72" t="s">
        <v>168</v>
      </c>
      <c r="G3" s="114" t="s">
        <v>425</v>
      </c>
      <c r="H3" s="76" t="s">
        <v>426</v>
      </c>
      <c r="I3" s="76" t="s">
        <v>427</v>
      </c>
    </row>
    <row r="4" ht="18.0" customHeight="1">
      <c r="A4" s="134" t="s">
        <v>382</v>
      </c>
      <c r="B4" s="77" t="s">
        <v>361</v>
      </c>
      <c r="C4" s="77" t="s">
        <v>428</v>
      </c>
      <c r="D4" s="79">
        <v>2.625E7</v>
      </c>
      <c r="E4" s="77" t="s">
        <v>429</v>
      </c>
      <c r="F4" s="77" t="s">
        <v>430</v>
      </c>
      <c r="G4" s="118">
        <f>IFERROR(IF(A4="",0,IF(C4="Masuk",D4,IF(C4="Keluar",-D4,0))),0)</f>
        <v>26250000</v>
      </c>
      <c r="H4" s="81" t="str">
        <f t="shared" ref="H4:H1003" si="1">IFERROR(IF(A4="","—",IF(G4&lt;0,"🚨 NEGATIF",IF(G4&lt;50000000,"⚡ KRITIS",IF(G4&lt;150000000,"✓ AMAN","💎 EXCELLENT")))),"—")</f>
        <v>⚡ KRITIS</v>
      </c>
      <c r="I4" s="81" t="str">
        <f t="shared" ref="I4:I1003" si="2">IFERROR(IF(A4="","",TEXT(A4,"MMM YYYY")),"—")</f>
        <v>Mar 2026</v>
      </c>
    </row>
    <row r="5" ht="18.0" customHeight="1">
      <c r="A5" s="132" t="s">
        <v>382</v>
      </c>
      <c r="B5" s="72" t="s">
        <v>361</v>
      </c>
      <c r="C5" s="72" t="s">
        <v>431</v>
      </c>
      <c r="D5" s="74">
        <v>2.2E7</v>
      </c>
      <c r="E5" s="72" t="s">
        <v>432</v>
      </c>
      <c r="F5" s="72" t="s">
        <v>433</v>
      </c>
      <c r="G5" s="114">
        <f t="shared" ref="G5:G1003" si="3">IFERROR(IF(A5="",0,G4+IF(C5="Masuk",D5,IF(C5="Keluar",-D5,0))),0)</f>
        <v>4250000</v>
      </c>
      <c r="H5" s="76" t="str">
        <f t="shared" si="1"/>
        <v>⚡ KRITIS</v>
      </c>
      <c r="I5" s="76" t="str">
        <f t="shared" si="2"/>
        <v>Mar 2026</v>
      </c>
    </row>
    <row r="6" ht="18.0" customHeight="1">
      <c r="A6" s="134" t="s">
        <v>386</v>
      </c>
      <c r="B6" s="77" t="s">
        <v>362</v>
      </c>
      <c r="C6" s="77" t="s">
        <v>428</v>
      </c>
      <c r="D6" s="79">
        <v>4.5E7</v>
      </c>
      <c r="E6" s="77" t="s">
        <v>434</v>
      </c>
      <c r="F6" s="77" t="s">
        <v>430</v>
      </c>
      <c r="G6" s="118">
        <f t="shared" si="3"/>
        <v>49250000</v>
      </c>
      <c r="H6" s="81" t="str">
        <f t="shared" si="1"/>
        <v>⚡ KRITIS</v>
      </c>
      <c r="I6" s="81" t="str">
        <f t="shared" si="2"/>
        <v>Mar 2026</v>
      </c>
    </row>
    <row r="7" ht="18.0" customHeight="1">
      <c r="A7" s="132" t="s">
        <v>386</v>
      </c>
      <c r="B7" s="72" t="s">
        <v>362</v>
      </c>
      <c r="C7" s="72" t="s">
        <v>431</v>
      </c>
      <c r="D7" s="74">
        <v>3.5E7</v>
      </c>
      <c r="E7" s="72" t="s">
        <v>435</v>
      </c>
      <c r="F7" s="72" t="s">
        <v>433</v>
      </c>
      <c r="G7" s="114">
        <f t="shared" si="3"/>
        <v>14250000</v>
      </c>
      <c r="H7" s="76" t="str">
        <f t="shared" si="1"/>
        <v>⚡ KRITIS</v>
      </c>
      <c r="I7" s="76" t="str">
        <f t="shared" si="2"/>
        <v>Mar 2026</v>
      </c>
    </row>
    <row r="8" ht="18.0" customHeight="1">
      <c r="A8" s="134" t="s">
        <v>400</v>
      </c>
      <c r="B8" s="77" t="s">
        <v>366</v>
      </c>
      <c r="C8" s="77" t="s">
        <v>428</v>
      </c>
      <c r="D8" s="79">
        <v>4.375E7</v>
      </c>
      <c r="E8" s="77" t="s">
        <v>436</v>
      </c>
      <c r="F8" s="77" t="s">
        <v>430</v>
      </c>
      <c r="G8" s="118">
        <f t="shared" si="3"/>
        <v>58000000</v>
      </c>
      <c r="H8" s="81" t="str">
        <f t="shared" si="1"/>
        <v>✓ AMAN</v>
      </c>
      <c r="I8" s="81" t="str">
        <f t="shared" si="2"/>
        <v>Apr 2026</v>
      </c>
    </row>
    <row r="9" ht="18.0" customHeight="1">
      <c r="A9" s="132" t="s">
        <v>400</v>
      </c>
      <c r="B9" s="72" t="s">
        <v>366</v>
      </c>
      <c r="C9" s="72" t="s">
        <v>431</v>
      </c>
      <c r="D9" s="74">
        <v>3.675E7</v>
      </c>
      <c r="E9" s="72" t="s">
        <v>437</v>
      </c>
      <c r="F9" s="72" t="s">
        <v>433</v>
      </c>
      <c r="G9" s="114">
        <f t="shared" si="3"/>
        <v>21250000</v>
      </c>
      <c r="H9" s="76" t="str">
        <f t="shared" si="1"/>
        <v>⚡ KRITIS</v>
      </c>
      <c r="I9" s="76" t="str">
        <f t="shared" si="2"/>
        <v>Apr 2026</v>
      </c>
    </row>
    <row r="10" ht="18.0" customHeight="1">
      <c r="A10" s="134" t="s">
        <v>403</v>
      </c>
      <c r="B10" s="77" t="s">
        <v>367</v>
      </c>
      <c r="C10" s="77" t="s">
        <v>428</v>
      </c>
      <c r="D10" s="79">
        <v>4.05E7</v>
      </c>
      <c r="E10" s="77" t="s">
        <v>438</v>
      </c>
      <c r="F10" s="77" t="s">
        <v>430</v>
      </c>
      <c r="G10" s="118">
        <f t="shared" si="3"/>
        <v>61750000</v>
      </c>
      <c r="H10" s="81" t="str">
        <f t="shared" si="1"/>
        <v>✓ AMAN</v>
      </c>
      <c r="I10" s="81" t="str">
        <f t="shared" si="2"/>
        <v>Apr 2026</v>
      </c>
    </row>
    <row r="11" ht="18.0" customHeight="1">
      <c r="A11" s="132" t="s">
        <v>403</v>
      </c>
      <c r="B11" s="72" t="s">
        <v>367</v>
      </c>
      <c r="C11" s="72" t="s">
        <v>431</v>
      </c>
      <c r="D11" s="74">
        <v>3.145E7</v>
      </c>
      <c r="E11" s="72" t="s">
        <v>439</v>
      </c>
      <c r="F11" s="72" t="s">
        <v>433</v>
      </c>
      <c r="G11" s="114">
        <f t="shared" si="3"/>
        <v>30300000</v>
      </c>
      <c r="H11" s="76" t="str">
        <f t="shared" si="1"/>
        <v>⚡ KRITIS</v>
      </c>
      <c r="I11" s="76" t="str">
        <f t="shared" si="2"/>
        <v>Apr 2026</v>
      </c>
    </row>
    <row r="12" ht="18.0" customHeight="1">
      <c r="A12" s="134" t="s">
        <v>394</v>
      </c>
      <c r="B12" s="77" t="s">
        <v>363</v>
      </c>
      <c r="C12" s="77" t="s">
        <v>428</v>
      </c>
      <c r="D12" s="79">
        <v>1.392E7</v>
      </c>
      <c r="E12" s="77" t="s">
        <v>440</v>
      </c>
      <c r="F12" s="77" t="s">
        <v>430</v>
      </c>
      <c r="G12" s="118">
        <f t="shared" si="3"/>
        <v>44220000</v>
      </c>
      <c r="H12" s="81" t="str">
        <f t="shared" si="1"/>
        <v>⚡ KRITIS</v>
      </c>
      <c r="I12" s="81" t="str">
        <f t="shared" si="2"/>
        <v>Apr 2026</v>
      </c>
    </row>
    <row r="13" ht="18.0" customHeight="1">
      <c r="A13" s="132" t="s">
        <v>394</v>
      </c>
      <c r="B13" s="72" t="s">
        <v>364</v>
      </c>
      <c r="C13" s="72" t="s">
        <v>428</v>
      </c>
      <c r="D13" s="74">
        <v>1.35E7</v>
      </c>
      <c r="E13" s="72" t="s">
        <v>441</v>
      </c>
      <c r="F13" s="72" t="s">
        <v>430</v>
      </c>
      <c r="G13" s="114">
        <f t="shared" si="3"/>
        <v>57720000</v>
      </c>
      <c r="H13" s="76" t="str">
        <f t="shared" si="1"/>
        <v>✓ AMAN</v>
      </c>
      <c r="I13" s="76" t="str">
        <f t="shared" si="2"/>
        <v>Apr 2026</v>
      </c>
    </row>
    <row r="14" ht="18.0" customHeight="1">
      <c r="A14" s="134" t="s">
        <v>412</v>
      </c>
      <c r="B14" s="77" t="s">
        <v>361</v>
      </c>
      <c r="C14" s="77" t="s">
        <v>428</v>
      </c>
      <c r="D14" s="79">
        <v>5.208E7</v>
      </c>
      <c r="E14" s="77" t="s">
        <v>442</v>
      </c>
      <c r="F14" s="77" t="s">
        <v>430</v>
      </c>
      <c r="G14" s="118">
        <f t="shared" si="3"/>
        <v>109800000</v>
      </c>
      <c r="H14" s="81" t="str">
        <f t="shared" si="1"/>
        <v>✓ AMAN</v>
      </c>
      <c r="I14" s="81" t="str">
        <f t="shared" si="2"/>
        <v>Apr 2026</v>
      </c>
    </row>
    <row r="15" ht="18.0" customHeight="1">
      <c r="A15" s="132" t="s">
        <v>412</v>
      </c>
      <c r="B15" s="72" t="s">
        <v>364</v>
      </c>
      <c r="C15" s="72" t="s">
        <v>428</v>
      </c>
      <c r="D15" s="74">
        <v>1.35E7</v>
      </c>
      <c r="E15" s="72" t="s">
        <v>443</v>
      </c>
      <c r="F15" s="72" t="s">
        <v>430</v>
      </c>
      <c r="G15" s="114">
        <f t="shared" si="3"/>
        <v>123300000</v>
      </c>
      <c r="H15" s="76" t="str">
        <f t="shared" si="1"/>
        <v>✓ AMAN</v>
      </c>
      <c r="I15" s="76" t="str">
        <f t="shared" si="2"/>
        <v>Apr 2026</v>
      </c>
    </row>
    <row r="16" ht="18.0" customHeight="1">
      <c r="A16" s="134" t="s">
        <v>413</v>
      </c>
      <c r="B16" s="77" t="s">
        <v>13</v>
      </c>
      <c r="C16" s="77" t="s">
        <v>431</v>
      </c>
      <c r="D16" s="79">
        <v>8500000.0</v>
      </c>
      <c r="E16" s="77" t="s">
        <v>444</v>
      </c>
      <c r="F16" s="77" t="s">
        <v>445</v>
      </c>
      <c r="G16" s="118">
        <f t="shared" si="3"/>
        <v>114800000</v>
      </c>
      <c r="H16" s="81" t="str">
        <f t="shared" si="1"/>
        <v>✓ AMAN</v>
      </c>
      <c r="I16" s="81" t="str">
        <f t="shared" si="2"/>
        <v>Apr 2026</v>
      </c>
    </row>
    <row r="17" ht="18.0" customHeight="1">
      <c r="A17" s="132" t="s">
        <v>414</v>
      </c>
      <c r="B17" s="72" t="s">
        <v>13</v>
      </c>
      <c r="C17" s="72" t="s">
        <v>431</v>
      </c>
      <c r="D17" s="74">
        <v>3500000.0</v>
      </c>
      <c r="E17" s="72" t="s">
        <v>446</v>
      </c>
      <c r="F17" s="72" t="s">
        <v>447</v>
      </c>
      <c r="G17" s="114">
        <f t="shared" si="3"/>
        <v>111300000</v>
      </c>
      <c r="H17" s="76" t="str">
        <f t="shared" si="1"/>
        <v>✓ AMAN</v>
      </c>
      <c r="I17" s="76" t="str">
        <f t="shared" si="2"/>
        <v>Apr 2026</v>
      </c>
    </row>
    <row r="18" ht="18.0" customHeight="1">
      <c r="A18" s="134"/>
      <c r="B18" s="77"/>
      <c r="C18" s="77"/>
      <c r="D18" s="79"/>
      <c r="E18" s="77"/>
      <c r="F18" s="77"/>
      <c r="G18" s="118">
        <f t="shared" si="3"/>
        <v>0</v>
      </c>
      <c r="H18" s="81" t="str">
        <f t="shared" si="1"/>
        <v>—</v>
      </c>
      <c r="I18" s="81" t="str">
        <f t="shared" si="2"/>
        <v/>
      </c>
    </row>
    <row r="19" ht="18.0" customHeight="1">
      <c r="A19" s="132"/>
      <c r="B19" s="72"/>
      <c r="C19" s="72"/>
      <c r="D19" s="74"/>
      <c r="E19" s="72"/>
      <c r="F19" s="72"/>
      <c r="G19" s="114">
        <f t="shared" si="3"/>
        <v>0</v>
      </c>
      <c r="H19" s="76" t="str">
        <f t="shared" si="1"/>
        <v>—</v>
      </c>
      <c r="I19" s="76" t="str">
        <f t="shared" si="2"/>
        <v/>
      </c>
    </row>
    <row r="20" ht="18.0" customHeight="1">
      <c r="A20" s="134"/>
      <c r="B20" s="77"/>
      <c r="C20" s="77"/>
      <c r="D20" s="79"/>
      <c r="E20" s="77"/>
      <c r="F20" s="77"/>
      <c r="G20" s="118">
        <f t="shared" si="3"/>
        <v>0</v>
      </c>
      <c r="H20" s="81" t="str">
        <f t="shared" si="1"/>
        <v>—</v>
      </c>
      <c r="I20" s="81" t="str">
        <f t="shared" si="2"/>
        <v/>
      </c>
    </row>
    <row r="21" ht="18.0" customHeight="1">
      <c r="A21" s="132"/>
      <c r="B21" s="72"/>
      <c r="C21" s="72"/>
      <c r="D21" s="74"/>
      <c r="E21" s="72"/>
      <c r="F21" s="72"/>
      <c r="G21" s="114">
        <f t="shared" si="3"/>
        <v>0</v>
      </c>
      <c r="H21" s="76" t="str">
        <f t="shared" si="1"/>
        <v>—</v>
      </c>
      <c r="I21" s="76" t="str">
        <f t="shared" si="2"/>
        <v/>
      </c>
    </row>
    <row r="22" ht="18.0" customHeight="1">
      <c r="A22" s="134"/>
      <c r="B22" s="77"/>
      <c r="C22" s="77"/>
      <c r="D22" s="79"/>
      <c r="E22" s="77"/>
      <c r="F22" s="77"/>
      <c r="G22" s="118">
        <f t="shared" si="3"/>
        <v>0</v>
      </c>
      <c r="H22" s="81" t="str">
        <f t="shared" si="1"/>
        <v>—</v>
      </c>
      <c r="I22" s="81" t="str">
        <f t="shared" si="2"/>
        <v/>
      </c>
    </row>
    <row r="23" ht="18.0" customHeight="1">
      <c r="A23" s="132"/>
      <c r="B23" s="72"/>
      <c r="C23" s="72"/>
      <c r="D23" s="74"/>
      <c r="E23" s="72"/>
      <c r="F23" s="72"/>
      <c r="G23" s="114">
        <f t="shared" si="3"/>
        <v>0</v>
      </c>
      <c r="H23" s="76" t="str">
        <f t="shared" si="1"/>
        <v>—</v>
      </c>
      <c r="I23" s="76" t="str">
        <f t="shared" si="2"/>
        <v/>
      </c>
    </row>
    <row r="24" ht="18.0" customHeight="1">
      <c r="A24" s="134"/>
      <c r="B24" s="77"/>
      <c r="C24" s="77"/>
      <c r="D24" s="79"/>
      <c r="E24" s="77"/>
      <c r="F24" s="77"/>
      <c r="G24" s="118">
        <f t="shared" si="3"/>
        <v>0</v>
      </c>
      <c r="H24" s="81" t="str">
        <f t="shared" si="1"/>
        <v>—</v>
      </c>
      <c r="I24" s="81" t="str">
        <f t="shared" si="2"/>
        <v/>
      </c>
    </row>
    <row r="25" ht="18.0" customHeight="1">
      <c r="A25" s="132"/>
      <c r="B25" s="72"/>
      <c r="C25" s="72"/>
      <c r="D25" s="74"/>
      <c r="E25" s="72"/>
      <c r="F25" s="72"/>
      <c r="G25" s="114">
        <f t="shared" si="3"/>
        <v>0</v>
      </c>
      <c r="H25" s="76" t="str">
        <f t="shared" si="1"/>
        <v>—</v>
      </c>
      <c r="I25" s="76" t="str">
        <f t="shared" si="2"/>
        <v/>
      </c>
    </row>
    <row r="26" ht="18.0" customHeight="1">
      <c r="A26" s="134"/>
      <c r="B26" s="77"/>
      <c r="C26" s="77"/>
      <c r="D26" s="79"/>
      <c r="E26" s="77"/>
      <c r="F26" s="77"/>
      <c r="G26" s="118">
        <f t="shared" si="3"/>
        <v>0</v>
      </c>
      <c r="H26" s="81" t="str">
        <f t="shared" si="1"/>
        <v>—</v>
      </c>
      <c r="I26" s="81" t="str">
        <f t="shared" si="2"/>
        <v/>
      </c>
    </row>
    <row r="27" ht="18.0" customHeight="1">
      <c r="A27" s="132"/>
      <c r="B27" s="72"/>
      <c r="C27" s="72"/>
      <c r="D27" s="74"/>
      <c r="E27" s="72"/>
      <c r="F27" s="72"/>
      <c r="G27" s="114">
        <f t="shared" si="3"/>
        <v>0</v>
      </c>
      <c r="H27" s="76" t="str">
        <f t="shared" si="1"/>
        <v>—</v>
      </c>
      <c r="I27" s="76" t="str">
        <f t="shared" si="2"/>
        <v/>
      </c>
    </row>
    <row r="28" ht="18.0" customHeight="1">
      <c r="A28" s="134"/>
      <c r="B28" s="77"/>
      <c r="C28" s="77"/>
      <c r="D28" s="79"/>
      <c r="E28" s="77"/>
      <c r="F28" s="77"/>
      <c r="G28" s="118">
        <f t="shared" si="3"/>
        <v>0</v>
      </c>
      <c r="H28" s="81" t="str">
        <f t="shared" si="1"/>
        <v>—</v>
      </c>
      <c r="I28" s="81" t="str">
        <f t="shared" si="2"/>
        <v/>
      </c>
    </row>
    <row r="29" ht="18.0" customHeight="1">
      <c r="A29" s="132"/>
      <c r="B29" s="72"/>
      <c r="C29" s="72"/>
      <c r="D29" s="74"/>
      <c r="E29" s="72"/>
      <c r="F29" s="72"/>
      <c r="G29" s="114">
        <f t="shared" si="3"/>
        <v>0</v>
      </c>
      <c r="H29" s="76" t="str">
        <f t="shared" si="1"/>
        <v>—</v>
      </c>
      <c r="I29" s="76" t="str">
        <f t="shared" si="2"/>
        <v/>
      </c>
    </row>
    <row r="30" ht="18.0" customHeight="1">
      <c r="A30" s="134"/>
      <c r="B30" s="77"/>
      <c r="C30" s="77"/>
      <c r="D30" s="79"/>
      <c r="E30" s="77"/>
      <c r="F30" s="77"/>
      <c r="G30" s="118">
        <f t="shared" si="3"/>
        <v>0</v>
      </c>
      <c r="H30" s="81" t="str">
        <f t="shared" si="1"/>
        <v>—</v>
      </c>
      <c r="I30" s="81" t="str">
        <f t="shared" si="2"/>
        <v/>
      </c>
    </row>
    <row r="31" ht="18.0" customHeight="1">
      <c r="A31" s="132"/>
      <c r="B31" s="72"/>
      <c r="C31" s="72"/>
      <c r="D31" s="74"/>
      <c r="E31" s="72"/>
      <c r="F31" s="72"/>
      <c r="G31" s="114">
        <f t="shared" si="3"/>
        <v>0</v>
      </c>
      <c r="H31" s="76" t="str">
        <f t="shared" si="1"/>
        <v>—</v>
      </c>
      <c r="I31" s="76" t="str">
        <f t="shared" si="2"/>
        <v/>
      </c>
    </row>
    <row r="32" ht="18.0" customHeight="1">
      <c r="A32" s="134"/>
      <c r="B32" s="77"/>
      <c r="C32" s="77"/>
      <c r="D32" s="79"/>
      <c r="E32" s="77"/>
      <c r="F32" s="77"/>
      <c r="G32" s="118">
        <f t="shared" si="3"/>
        <v>0</v>
      </c>
      <c r="H32" s="81" t="str">
        <f t="shared" si="1"/>
        <v>—</v>
      </c>
      <c r="I32" s="81" t="str">
        <f t="shared" si="2"/>
        <v/>
      </c>
    </row>
    <row r="33" ht="18.0" customHeight="1">
      <c r="A33" s="132"/>
      <c r="B33" s="72"/>
      <c r="C33" s="72"/>
      <c r="D33" s="74"/>
      <c r="E33" s="72"/>
      <c r="F33" s="72"/>
      <c r="G33" s="114">
        <f t="shared" si="3"/>
        <v>0</v>
      </c>
      <c r="H33" s="76" t="str">
        <f t="shared" si="1"/>
        <v>—</v>
      </c>
      <c r="I33" s="76" t="str">
        <f t="shared" si="2"/>
        <v/>
      </c>
    </row>
    <row r="34" ht="18.0" customHeight="1">
      <c r="A34" s="134"/>
      <c r="B34" s="77"/>
      <c r="C34" s="77"/>
      <c r="D34" s="79"/>
      <c r="E34" s="77"/>
      <c r="F34" s="77"/>
      <c r="G34" s="118">
        <f t="shared" si="3"/>
        <v>0</v>
      </c>
      <c r="H34" s="81" t="str">
        <f t="shared" si="1"/>
        <v>—</v>
      </c>
      <c r="I34" s="81" t="str">
        <f t="shared" si="2"/>
        <v/>
      </c>
    </row>
    <row r="35" ht="18.0" customHeight="1">
      <c r="A35" s="132"/>
      <c r="B35" s="72"/>
      <c r="C35" s="72"/>
      <c r="D35" s="74"/>
      <c r="E35" s="72"/>
      <c r="F35" s="72"/>
      <c r="G35" s="114">
        <f t="shared" si="3"/>
        <v>0</v>
      </c>
      <c r="H35" s="76" t="str">
        <f t="shared" si="1"/>
        <v>—</v>
      </c>
      <c r="I35" s="76" t="str">
        <f t="shared" si="2"/>
        <v/>
      </c>
    </row>
    <row r="36" ht="18.0" customHeight="1">
      <c r="A36" s="134"/>
      <c r="B36" s="77"/>
      <c r="C36" s="77"/>
      <c r="D36" s="79"/>
      <c r="E36" s="77"/>
      <c r="F36" s="77"/>
      <c r="G36" s="118">
        <f t="shared" si="3"/>
        <v>0</v>
      </c>
      <c r="H36" s="81" t="str">
        <f t="shared" si="1"/>
        <v>—</v>
      </c>
      <c r="I36" s="81" t="str">
        <f t="shared" si="2"/>
        <v/>
      </c>
    </row>
    <row r="37" ht="18.0" customHeight="1">
      <c r="A37" s="132"/>
      <c r="B37" s="72"/>
      <c r="C37" s="72"/>
      <c r="D37" s="74"/>
      <c r="E37" s="72"/>
      <c r="F37" s="72"/>
      <c r="G37" s="114">
        <f t="shared" si="3"/>
        <v>0</v>
      </c>
      <c r="H37" s="76" t="str">
        <f t="shared" si="1"/>
        <v>—</v>
      </c>
      <c r="I37" s="76" t="str">
        <f t="shared" si="2"/>
        <v/>
      </c>
    </row>
    <row r="38" ht="18.0" customHeight="1">
      <c r="A38" s="134"/>
      <c r="B38" s="77"/>
      <c r="C38" s="77"/>
      <c r="D38" s="79"/>
      <c r="E38" s="77"/>
      <c r="F38" s="77"/>
      <c r="G38" s="118">
        <f t="shared" si="3"/>
        <v>0</v>
      </c>
      <c r="H38" s="81" t="str">
        <f t="shared" si="1"/>
        <v>—</v>
      </c>
      <c r="I38" s="81" t="str">
        <f t="shared" si="2"/>
        <v/>
      </c>
    </row>
    <row r="39" ht="18.0" customHeight="1">
      <c r="A39" s="132"/>
      <c r="B39" s="72"/>
      <c r="C39" s="72"/>
      <c r="D39" s="74"/>
      <c r="E39" s="72"/>
      <c r="F39" s="72"/>
      <c r="G39" s="114">
        <f t="shared" si="3"/>
        <v>0</v>
      </c>
      <c r="H39" s="76" t="str">
        <f t="shared" si="1"/>
        <v>—</v>
      </c>
      <c r="I39" s="76" t="str">
        <f t="shared" si="2"/>
        <v/>
      </c>
    </row>
    <row r="40" ht="18.0" customHeight="1">
      <c r="A40" s="134"/>
      <c r="B40" s="77"/>
      <c r="C40" s="77"/>
      <c r="D40" s="79"/>
      <c r="E40" s="77"/>
      <c r="F40" s="77"/>
      <c r="G40" s="118">
        <f t="shared" si="3"/>
        <v>0</v>
      </c>
      <c r="H40" s="81" t="str">
        <f t="shared" si="1"/>
        <v>—</v>
      </c>
      <c r="I40" s="81" t="str">
        <f t="shared" si="2"/>
        <v/>
      </c>
    </row>
    <row r="41" ht="18.0" customHeight="1">
      <c r="A41" s="132"/>
      <c r="B41" s="72"/>
      <c r="C41" s="72"/>
      <c r="D41" s="74"/>
      <c r="E41" s="72"/>
      <c r="F41" s="72"/>
      <c r="G41" s="114">
        <f t="shared" si="3"/>
        <v>0</v>
      </c>
      <c r="H41" s="76" t="str">
        <f t="shared" si="1"/>
        <v>—</v>
      </c>
      <c r="I41" s="76" t="str">
        <f t="shared" si="2"/>
        <v/>
      </c>
    </row>
    <row r="42" ht="18.0" customHeight="1">
      <c r="A42" s="134"/>
      <c r="B42" s="77"/>
      <c r="C42" s="77"/>
      <c r="D42" s="79"/>
      <c r="E42" s="77"/>
      <c r="F42" s="77"/>
      <c r="G42" s="118">
        <f t="shared" si="3"/>
        <v>0</v>
      </c>
      <c r="H42" s="81" t="str">
        <f t="shared" si="1"/>
        <v>—</v>
      </c>
      <c r="I42" s="81" t="str">
        <f t="shared" si="2"/>
        <v/>
      </c>
    </row>
    <row r="43" ht="18.0" customHeight="1">
      <c r="A43" s="132"/>
      <c r="B43" s="72"/>
      <c r="C43" s="72"/>
      <c r="D43" s="74"/>
      <c r="E43" s="72"/>
      <c r="F43" s="72"/>
      <c r="G43" s="114">
        <f t="shared" si="3"/>
        <v>0</v>
      </c>
      <c r="H43" s="76" t="str">
        <f t="shared" si="1"/>
        <v>—</v>
      </c>
      <c r="I43" s="76" t="str">
        <f t="shared" si="2"/>
        <v/>
      </c>
    </row>
    <row r="44" ht="18.0" customHeight="1">
      <c r="A44" s="134"/>
      <c r="B44" s="77"/>
      <c r="C44" s="77"/>
      <c r="D44" s="79"/>
      <c r="E44" s="77"/>
      <c r="F44" s="77"/>
      <c r="G44" s="118">
        <f t="shared" si="3"/>
        <v>0</v>
      </c>
      <c r="H44" s="81" t="str">
        <f t="shared" si="1"/>
        <v>—</v>
      </c>
      <c r="I44" s="81" t="str">
        <f t="shared" si="2"/>
        <v/>
      </c>
    </row>
    <row r="45" ht="18.0" customHeight="1">
      <c r="A45" s="132"/>
      <c r="B45" s="72"/>
      <c r="C45" s="72"/>
      <c r="D45" s="74"/>
      <c r="E45" s="72"/>
      <c r="F45" s="72"/>
      <c r="G45" s="114">
        <f t="shared" si="3"/>
        <v>0</v>
      </c>
      <c r="H45" s="76" t="str">
        <f t="shared" si="1"/>
        <v>—</v>
      </c>
      <c r="I45" s="76" t="str">
        <f t="shared" si="2"/>
        <v/>
      </c>
    </row>
    <row r="46" ht="18.0" customHeight="1">
      <c r="A46" s="134"/>
      <c r="B46" s="77"/>
      <c r="C46" s="77"/>
      <c r="D46" s="79"/>
      <c r="E46" s="77"/>
      <c r="F46" s="77"/>
      <c r="G46" s="118">
        <f t="shared" si="3"/>
        <v>0</v>
      </c>
      <c r="H46" s="81" t="str">
        <f t="shared" si="1"/>
        <v>—</v>
      </c>
      <c r="I46" s="81" t="str">
        <f t="shared" si="2"/>
        <v/>
      </c>
    </row>
    <row r="47" ht="18.0" customHeight="1">
      <c r="A47" s="132"/>
      <c r="B47" s="72"/>
      <c r="C47" s="72"/>
      <c r="D47" s="74"/>
      <c r="E47" s="72"/>
      <c r="F47" s="72"/>
      <c r="G47" s="114">
        <f t="shared" si="3"/>
        <v>0</v>
      </c>
      <c r="H47" s="76" t="str">
        <f t="shared" si="1"/>
        <v>—</v>
      </c>
      <c r="I47" s="76" t="str">
        <f t="shared" si="2"/>
        <v/>
      </c>
    </row>
    <row r="48" ht="18.0" customHeight="1">
      <c r="A48" s="134"/>
      <c r="B48" s="77"/>
      <c r="C48" s="77"/>
      <c r="D48" s="79"/>
      <c r="E48" s="77"/>
      <c r="F48" s="77"/>
      <c r="G48" s="118">
        <f t="shared" si="3"/>
        <v>0</v>
      </c>
      <c r="H48" s="81" t="str">
        <f t="shared" si="1"/>
        <v>—</v>
      </c>
      <c r="I48" s="81" t="str">
        <f t="shared" si="2"/>
        <v/>
      </c>
    </row>
    <row r="49" ht="18.0" customHeight="1">
      <c r="A49" s="132"/>
      <c r="B49" s="72"/>
      <c r="C49" s="72"/>
      <c r="D49" s="74"/>
      <c r="E49" s="72"/>
      <c r="F49" s="72"/>
      <c r="G49" s="114">
        <f t="shared" si="3"/>
        <v>0</v>
      </c>
      <c r="H49" s="76" t="str">
        <f t="shared" si="1"/>
        <v>—</v>
      </c>
      <c r="I49" s="76" t="str">
        <f t="shared" si="2"/>
        <v/>
      </c>
    </row>
    <row r="50" ht="18.0" customHeight="1">
      <c r="A50" s="134"/>
      <c r="B50" s="77"/>
      <c r="C50" s="77"/>
      <c r="D50" s="79"/>
      <c r="E50" s="77"/>
      <c r="F50" s="77"/>
      <c r="G50" s="118">
        <f t="shared" si="3"/>
        <v>0</v>
      </c>
      <c r="H50" s="81" t="str">
        <f t="shared" si="1"/>
        <v>—</v>
      </c>
      <c r="I50" s="81" t="str">
        <f t="shared" si="2"/>
        <v/>
      </c>
    </row>
    <row r="51" ht="18.0" customHeight="1">
      <c r="A51" s="132"/>
      <c r="B51" s="72"/>
      <c r="C51" s="72"/>
      <c r="D51" s="74"/>
      <c r="E51" s="72"/>
      <c r="F51" s="72"/>
      <c r="G51" s="114">
        <f t="shared" si="3"/>
        <v>0</v>
      </c>
      <c r="H51" s="76" t="str">
        <f t="shared" si="1"/>
        <v>—</v>
      </c>
      <c r="I51" s="76" t="str">
        <f t="shared" si="2"/>
        <v/>
      </c>
    </row>
    <row r="52" ht="18.0" customHeight="1">
      <c r="A52" s="134"/>
      <c r="B52" s="77"/>
      <c r="C52" s="77"/>
      <c r="D52" s="79"/>
      <c r="E52" s="77"/>
      <c r="F52" s="77"/>
      <c r="G52" s="118">
        <f t="shared" si="3"/>
        <v>0</v>
      </c>
      <c r="H52" s="81" t="str">
        <f t="shared" si="1"/>
        <v>—</v>
      </c>
      <c r="I52" s="81" t="str">
        <f t="shared" si="2"/>
        <v/>
      </c>
    </row>
    <row r="53" ht="18.0" customHeight="1">
      <c r="A53" s="132"/>
      <c r="B53" s="72"/>
      <c r="C53" s="72"/>
      <c r="D53" s="74"/>
      <c r="E53" s="72"/>
      <c r="F53" s="72"/>
      <c r="G53" s="114">
        <f t="shared" si="3"/>
        <v>0</v>
      </c>
      <c r="H53" s="76" t="str">
        <f t="shared" si="1"/>
        <v>—</v>
      </c>
      <c r="I53" s="76" t="str">
        <f t="shared" si="2"/>
        <v/>
      </c>
    </row>
    <row r="54" ht="18.0" customHeight="1">
      <c r="A54" s="134"/>
      <c r="B54" s="77"/>
      <c r="C54" s="77"/>
      <c r="D54" s="79"/>
      <c r="E54" s="77"/>
      <c r="F54" s="77"/>
      <c r="G54" s="118">
        <f t="shared" si="3"/>
        <v>0</v>
      </c>
      <c r="H54" s="81" t="str">
        <f t="shared" si="1"/>
        <v>—</v>
      </c>
      <c r="I54" s="81" t="str">
        <f t="shared" si="2"/>
        <v/>
      </c>
    </row>
    <row r="55" ht="18.0" customHeight="1">
      <c r="A55" s="132"/>
      <c r="B55" s="72"/>
      <c r="C55" s="72"/>
      <c r="D55" s="74"/>
      <c r="E55" s="72"/>
      <c r="F55" s="72"/>
      <c r="G55" s="114">
        <f t="shared" si="3"/>
        <v>0</v>
      </c>
      <c r="H55" s="76" t="str">
        <f t="shared" si="1"/>
        <v>—</v>
      </c>
      <c r="I55" s="76" t="str">
        <f t="shared" si="2"/>
        <v/>
      </c>
    </row>
    <row r="56" ht="18.0" customHeight="1">
      <c r="A56" s="134"/>
      <c r="B56" s="77"/>
      <c r="C56" s="77"/>
      <c r="D56" s="79"/>
      <c r="E56" s="77"/>
      <c r="F56" s="77"/>
      <c r="G56" s="118">
        <f t="shared" si="3"/>
        <v>0</v>
      </c>
      <c r="H56" s="81" t="str">
        <f t="shared" si="1"/>
        <v>—</v>
      </c>
      <c r="I56" s="81" t="str">
        <f t="shared" si="2"/>
        <v/>
      </c>
    </row>
    <row r="57" ht="18.0" customHeight="1">
      <c r="A57" s="132"/>
      <c r="B57" s="72"/>
      <c r="C57" s="72"/>
      <c r="D57" s="74"/>
      <c r="E57" s="72"/>
      <c r="F57" s="72"/>
      <c r="G57" s="114">
        <f t="shared" si="3"/>
        <v>0</v>
      </c>
      <c r="H57" s="76" t="str">
        <f t="shared" si="1"/>
        <v>—</v>
      </c>
      <c r="I57" s="76" t="str">
        <f t="shared" si="2"/>
        <v/>
      </c>
    </row>
    <row r="58" ht="18.0" customHeight="1">
      <c r="A58" s="134"/>
      <c r="B58" s="77"/>
      <c r="C58" s="77"/>
      <c r="D58" s="79"/>
      <c r="E58" s="77"/>
      <c r="F58" s="77"/>
      <c r="G58" s="118">
        <f t="shared" si="3"/>
        <v>0</v>
      </c>
      <c r="H58" s="81" t="str">
        <f t="shared" si="1"/>
        <v>—</v>
      </c>
      <c r="I58" s="81" t="str">
        <f t="shared" si="2"/>
        <v/>
      </c>
    </row>
    <row r="59" ht="18.0" customHeight="1">
      <c r="A59" s="132"/>
      <c r="B59" s="72"/>
      <c r="C59" s="72"/>
      <c r="D59" s="74"/>
      <c r="E59" s="72"/>
      <c r="F59" s="72"/>
      <c r="G59" s="114">
        <f t="shared" si="3"/>
        <v>0</v>
      </c>
      <c r="H59" s="76" t="str">
        <f t="shared" si="1"/>
        <v>—</v>
      </c>
      <c r="I59" s="76" t="str">
        <f t="shared" si="2"/>
        <v/>
      </c>
    </row>
    <row r="60" ht="18.0" customHeight="1">
      <c r="A60" s="134"/>
      <c r="B60" s="77"/>
      <c r="C60" s="77"/>
      <c r="D60" s="79"/>
      <c r="E60" s="77"/>
      <c r="F60" s="77"/>
      <c r="G60" s="118">
        <f t="shared" si="3"/>
        <v>0</v>
      </c>
      <c r="H60" s="81" t="str">
        <f t="shared" si="1"/>
        <v>—</v>
      </c>
      <c r="I60" s="81" t="str">
        <f t="shared" si="2"/>
        <v/>
      </c>
    </row>
    <row r="61" ht="18.0" customHeight="1">
      <c r="A61" s="132"/>
      <c r="B61" s="72"/>
      <c r="C61" s="72"/>
      <c r="D61" s="74"/>
      <c r="E61" s="72"/>
      <c r="F61" s="72"/>
      <c r="G61" s="114">
        <f t="shared" si="3"/>
        <v>0</v>
      </c>
      <c r="H61" s="76" t="str">
        <f t="shared" si="1"/>
        <v>—</v>
      </c>
      <c r="I61" s="76" t="str">
        <f t="shared" si="2"/>
        <v/>
      </c>
    </row>
    <row r="62" ht="18.0" customHeight="1">
      <c r="A62" s="134"/>
      <c r="B62" s="77"/>
      <c r="C62" s="77"/>
      <c r="D62" s="79"/>
      <c r="E62" s="77"/>
      <c r="F62" s="77"/>
      <c r="G62" s="118">
        <f t="shared" si="3"/>
        <v>0</v>
      </c>
      <c r="H62" s="81" t="str">
        <f t="shared" si="1"/>
        <v>—</v>
      </c>
      <c r="I62" s="81" t="str">
        <f t="shared" si="2"/>
        <v/>
      </c>
    </row>
    <row r="63" ht="18.0" customHeight="1">
      <c r="A63" s="132"/>
      <c r="B63" s="72"/>
      <c r="C63" s="72"/>
      <c r="D63" s="74"/>
      <c r="E63" s="72"/>
      <c r="F63" s="72"/>
      <c r="G63" s="114">
        <f t="shared" si="3"/>
        <v>0</v>
      </c>
      <c r="H63" s="76" t="str">
        <f t="shared" si="1"/>
        <v>—</v>
      </c>
      <c r="I63" s="76" t="str">
        <f t="shared" si="2"/>
        <v/>
      </c>
    </row>
    <row r="64" ht="18.0" customHeight="1">
      <c r="A64" s="134"/>
      <c r="B64" s="77"/>
      <c r="C64" s="77"/>
      <c r="D64" s="79"/>
      <c r="E64" s="77"/>
      <c r="F64" s="77"/>
      <c r="G64" s="118">
        <f t="shared" si="3"/>
        <v>0</v>
      </c>
      <c r="H64" s="81" t="str">
        <f t="shared" si="1"/>
        <v>—</v>
      </c>
      <c r="I64" s="81" t="str">
        <f t="shared" si="2"/>
        <v/>
      </c>
    </row>
    <row r="65" ht="18.0" customHeight="1">
      <c r="A65" s="132"/>
      <c r="B65" s="72"/>
      <c r="C65" s="72"/>
      <c r="D65" s="74"/>
      <c r="E65" s="72"/>
      <c r="F65" s="72"/>
      <c r="G65" s="114">
        <f t="shared" si="3"/>
        <v>0</v>
      </c>
      <c r="H65" s="76" t="str">
        <f t="shared" si="1"/>
        <v>—</v>
      </c>
      <c r="I65" s="76" t="str">
        <f t="shared" si="2"/>
        <v/>
      </c>
    </row>
    <row r="66" ht="18.0" customHeight="1">
      <c r="A66" s="134"/>
      <c r="B66" s="77"/>
      <c r="C66" s="77"/>
      <c r="D66" s="79"/>
      <c r="E66" s="77"/>
      <c r="F66" s="77"/>
      <c r="G66" s="118">
        <f t="shared" si="3"/>
        <v>0</v>
      </c>
      <c r="H66" s="81" t="str">
        <f t="shared" si="1"/>
        <v>—</v>
      </c>
      <c r="I66" s="81" t="str">
        <f t="shared" si="2"/>
        <v/>
      </c>
    </row>
    <row r="67" ht="18.0" customHeight="1">
      <c r="A67" s="132"/>
      <c r="B67" s="72"/>
      <c r="C67" s="72"/>
      <c r="D67" s="74"/>
      <c r="E67" s="72"/>
      <c r="F67" s="72"/>
      <c r="G67" s="114">
        <f t="shared" si="3"/>
        <v>0</v>
      </c>
      <c r="H67" s="76" t="str">
        <f t="shared" si="1"/>
        <v>—</v>
      </c>
      <c r="I67" s="76" t="str">
        <f t="shared" si="2"/>
        <v/>
      </c>
    </row>
    <row r="68" ht="18.0" customHeight="1">
      <c r="A68" s="134"/>
      <c r="B68" s="77"/>
      <c r="C68" s="77"/>
      <c r="D68" s="79"/>
      <c r="E68" s="77"/>
      <c r="F68" s="77"/>
      <c r="G68" s="118">
        <f t="shared" si="3"/>
        <v>0</v>
      </c>
      <c r="H68" s="81" t="str">
        <f t="shared" si="1"/>
        <v>—</v>
      </c>
      <c r="I68" s="81" t="str">
        <f t="shared" si="2"/>
        <v/>
      </c>
    </row>
    <row r="69" ht="18.0" customHeight="1">
      <c r="A69" s="132"/>
      <c r="B69" s="72"/>
      <c r="C69" s="72"/>
      <c r="D69" s="74"/>
      <c r="E69" s="72"/>
      <c r="F69" s="72"/>
      <c r="G69" s="114">
        <f t="shared" si="3"/>
        <v>0</v>
      </c>
      <c r="H69" s="76" t="str">
        <f t="shared" si="1"/>
        <v>—</v>
      </c>
      <c r="I69" s="76" t="str">
        <f t="shared" si="2"/>
        <v/>
      </c>
    </row>
    <row r="70" ht="18.0" customHeight="1">
      <c r="A70" s="134"/>
      <c r="B70" s="77"/>
      <c r="C70" s="77"/>
      <c r="D70" s="79"/>
      <c r="E70" s="77"/>
      <c r="F70" s="77"/>
      <c r="G70" s="118">
        <f t="shared" si="3"/>
        <v>0</v>
      </c>
      <c r="H70" s="81" t="str">
        <f t="shared" si="1"/>
        <v>—</v>
      </c>
      <c r="I70" s="81" t="str">
        <f t="shared" si="2"/>
        <v/>
      </c>
    </row>
    <row r="71" ht="18.0" customHeight="1">
      <c r="A71" s="132"/>
      <c r="B71" s="72"/>
      <c r="C71" s="72"/>
      <c r="D71" s="74"/>
      <c r="E71" s="72"/>
      <c r="F71" s="72"/>
      <c r="G71" s="114">
        <f t="shared" si="3"/>
        <v>0</v>
      </c>
      <c r="H71" s="76" t="str">
        <f t="shared" si="1"/>
        <v>—</v>
      </c>
      <c r="I71" s="76" t="str">
        <f t="shared" si="2"/>
        <v/>
      </c>
    </row>
    <row r="72" ht="18.0" customHeight="1">
      <c r="A72" s="134"/>
      <c r="B72" s="77"/>
      <c r="C72" s="77"/>
      <c r="D72" s="79"/>
      <c r="E72" s="77"/>
      <c r="F72" s="77"/>
      <c r="G72" s="118">
        <f t="shared" si="3"/>
        <v>0</v>
      </c>
      <c r="H72" s="81" t="str">
        <f t="shared" si="1"/>
        <v>—</v>
      </c>
      <c r="I72" s="81" t="str">
        <f t="shared" si="2"/>
        <v/>
      </c>
    </row>
    <row r="73" ht="18.0" customHeight="1">
      <c r="A73" s="132"/>
      <c r="B73" s="72"/>
      <c r="C73" s="72"/>
      <c r="D73" s="74"/>
      <c r="E73" s="72"/>
      <c r="F73" s="72"/>
      <c r="G73" s="114">
        <f t="shared" si="3"/>
        <v>0</v>
      </c>
      <c r="H73" s="76" t="str">
        <f t="shared" si="1"/>
        <v>—</v>
      </c>
      <c r="I73" s="76" t="str">
        <f t="shared" si="2"/>
        <v/>
      </c>
    </row>
    <row r="74" ht="18.0" customHeight="1">
      <c r="A74" s="134"/>
      <c r="B74" s="77"/>
      <c r="C74" s="77"/>
      <c r="D74" s="79"/>
      <c r="E74" s="77"/>
      <c r="F74" s="77"/>
      <c r="G74" s="118">
        <f t="shared" si="3"/>
        <v>0</v>
      </c>
      <c r="H74" s="81" t="str">
        <f t="shared" si="1"/>
        <v>—</v>
      </c>
      <c r="I74" s="81" t="str">
        <f t="shared" si="2"/>
        <v/>
      </c>
    </row>
    <row r="75" ht="18.0" customHeight="1">
      <c r="A75" s="132"/>
      <c r="B75" s="72"/>
      <c r="C75" s="72"/>
      <c r="D75" s="74"/>
      <c r="E75" s="72"/>
      <c r="F75" s="72"/>
      <c r="G75" s="114">
        <f t="shared" si="3"/>
        <v>0</v>
      </c>
      <c r="H75" s="76" t="str">
        <f t="shared" si="1"/>
        <v>—</v>
      </c>
      <c r="I75" s="76" t="str">
        <f t="shared" si="2"/>
        <v/>
      </c>
    </row>
    <row r="76" ht="18.0" customHeight="1">
      <c r="A76" s="134"/>
      <c r="B76" s="77"/>
      <c r="C76" s="77"/>
      <c r="D76" s="79"/>
      <c r="E76" s="77"/>
      <c r="F76" s="77"/>
      <c r="G76" s="118">
        <f t="shared" si="3"/>
        <v>0</v>
      </c>
      <c r="H76" s="81" t="str">
        <f t="shared" si="1"/>
        <v>—</v>
      </c>
      <c r="I76" s="81" t="str">
        <f t="shared" si="2"/>
        <v/>
      </c>
    </row>
    <row r="77" ht="18.0" customHeight="1">
      <c r="A77" s="132"/>
      <c r="B77" s="72"/>
      <c r="C77" s="72"/>
      <c r="D77" s="74"/>
      <c r="E77" s="72"/>
      <c r="F77" s="72"/>
      <c r="G77" s="114">
        <f t="shared" si="3"/>
        <v>0</v>
      </c>
      <c r="H77" s="76" t="str">
        <f t="shared" si="1"/>
        <v>—</v>
      </c>
      <c r="I77" s="76" t="str">
        <f t="shared" si="2"/>
        <v/>
      </c>
    </row>
    <row r="78" ht="18.0" customHeight="1">
      <c r="A78" s="134"/>
      <c r="B78" s="77"/>
      <c r="C78" s="77"/>
      <c r="D78" s="79"/>
      <c r="E78" s="77"/>
      <c r="F78" s="77"/>
      <c r="G78" s="118">
        <f t="shared" si="3"/>
        <v>0</v>
      </c>
      <c r="H78" s="81" t="str">
        <f t="shared" si="1"/>
        <v>—</v>
      </c>
      <c r="I78" s="81" t="str">
        <f t="shared" si="2"/>
        <v/>
      </c>
    </row>
    <row r="79" ht="18.0" customHeight="1">
      <c r="A79" s="132"/>
      <c r="B79" s="72"/>
      <c r="C79" s="72"/>
      <c r="D79" s="74"/>
      <c r="E79" s="72"/>
      <c r="F79" s="72"/>
      <c r="G79" s="114">
        <f t="shared" si="3"/>
        <v>0</v>
      </c>
      <c r="H79" s="76" t="str">
        <f t="shared" si="1"/>
        <v>—</v>
      </c>
      <c r="I79" s="76" t="str">
        <f t="shared" si="2"/>
        <v/>
      </c>
    </row>
    <row r="80" ht="18.0" customHeight="1">
      <c r="A80" s="134"/>
      <c r="B80" s="77"/>
      <c r="C80" s="77"/>
      <c r="D80" s="79"/>
      <c r="E80" s="77"/>
      <c r="F80" s="77"/>
      <c r="G80" s="118">
        <f t="shared" si="3"/>
        <v>0</v>
      </c>
      <c r="H80" s="81" t="str">
        <f t="shared" si="1"/>
        <v>—</v>
      </c>
      <c r="I80" s="81" t="str">
        <f t="shared" si="2"/>
        <v/>
      </c>
    </row>
    <row r="81" ht="18.0" customHeight="1">
      <c r="A81" s="132"/>
      <c r="B81" s="72"/>
      <c r="C81" s="72"/>
      <c r="D81" s="74"/>
      <c r="E81" s="72"/>
      <c r="F81" s="72"/>
      <c r="G81" s="114">
        <f t="shared" si="3"/>
        <v>0</v>
      </c>
      <c r="H81" s="76" t="str">
        <f t="shared" si="1"/>
        <v>—</v>
      </c>
      <c r="I81" s="76" t="str">
        <f t="shared" si="2"/>
        <v/>
      </c>
    </row>
    <row r="82" ht="18.0" customHeight="1">
      <c r="A82" s="134"/>
      <c r="B82" s="77"/>
      <c r="C82" s="77"/>
      <c r="D82" s="79"/>
      <c r="E82" s="77"/>
      <c r="F82" s="77"/>
      <c r="G82" s="118">
        <f t="shared" si="3"/>
        <v>0</v>
      </c>
      <c r="H82" s="81" t="str">
        <f t="shared" si="1"/>
        <v>—</v>
      </c>
      <c r="I82" s="81" t="str">
        <f t="shared" si="2"/>
        <v/>
      </c>
    </row>
    <row r="83" ht="18.0" customHeight="1">
      <c r="A83" s="132"/>
      <c r="B83" s="72"/>
      <c r="C83" s="72"/>
      <c r="D83" s="74"/>
      <c r="E83" s="72"/>
      <c r="F83" s="72"/>
      <c r="G83" s="114">
        <f t="shared" si="3"/>
        <v>0</v>
      </c>
      <c r="H83" s="76" t="str">
        <f t="shared" si="1"/>
        <v>—</v>
      </c>
      <c r="I83" s="76" t="str">
        <f t="shared" si="2"/>
        <v/>
      </c>
    </row>
    <row r="84" ht="18.0" customHeight="1">
      <c r="A84" s="134"/>
      <c r="B84" s="77"/>
      <c r="C84" s="77"/>
      <c r="D84" s="79"/>
      <c r="E84" s="77"/>
      <c r="F84" s="77"/>
      <c r="G84" s="118">
        <f t="shared" si="3"/>
        <v>0</v>
      </c>
      <c r="H84" s="81" t="str">
        <f t="shared" si="1"/>
        <v>—</v>
      </c>
      <c r="I84" s="81" t="str">
        <f t="shared" si="2"/>
        <v/>
      </c>
    </row>
    <row r="85" ht="18.0" customHeight="1">
      <c r="A85" s="132"/>
      <c r="B85" s="72"/>
      <c r="C85" s="72"/>
      <c r="D85" s="74"/>
      <c r="E85" s="72"/>
      <c r="F85" s="72"/>
      <c r="G85" s="114">
        <f t="shared" si="3"/>
        <v>0</v>
      </c>
      <c r="H85" s="76" t="str">
        <f t="shared" si="1"/>
        <v>—</v>
      </c>
      <c r="I85" s="76" t="str">
        <f t="shared" si="2"/>
        <v/>
      </c>
    </row>
    <row r="86" ht="18.0" customHeight="1">
      <c r="A86" s="134"/>
      <c r="B86" s="77"/>
      <c r="C86" s="77"/>
      <c r="D86" s="79"/>
      <c r="E86" s="77"/>
      <c r="F86" s="77"/>
      <c r="G86" s="118">
        <f t="shared" si="3"/>
        <v>0</v>
      </c>
      <c r="H86" s="81" t="str">
        <f t="shared" si="1"/>
        <v>—</v>
      </c>
      <c r="I86" s="81" t="str">
        <f t="shared" si="2"/>
        <v/>
      </c>
    </row>
    <row r="87" ht="18.0" customHeight="1">
      <c r="A87" s="132"/>
      <c r="B87" s="72"/>
      <c r="C87" s="72"/>
      <c r="D87" s="74"/>
      <c r="E87" s="72"/>
      <c r="F87" s="72"/>
      <c r="G87" s="114">
        <f t="shared" si="3"/>
        <v>0</v>
      </c>
      <c r="H87" s="76" t="str">
        <f t="shared" si="1"/>
        <v>—</v>
      </c>
      <c r="I87" s="76" t="str">
        <f t="shared" si="2"/>
        <v/>
      </c>
    </row>
    <row r="88" ht="18.0" customHeight="1">
      <c r="A88" s="134"/>
      <c r="B88" s="77"/>
      <c r="C88" s="77"/>
      <c r="D88" s="79"/>
      <c r="E88" s="77"/>
      <c r="F88" s="77"/>
      <c r="G88" s="118">
        <f t="shared" si="3"/>
        <v>0</v>
      </c>
      <c r="H88" s="81" t="str">
        <f t="shared" si="1"/>
        <v>—</v>
      </c>
      <c r="I88" s="81" t="str">
        <f t="shared" si="2"/>
        <v/>
      </c>
    </row>
    <row r="89" ht="18.0" customHeight="1">
      <c r="A89" s="132"/>
      <c r="B89" s="72"/>
      <c r="C89" s="72"/>
      <c r="D89" s="74"/>
      <c r="E89" s="72"/>
      <c r="F89" s="72"/>
      <c r="G89" s="114">
        <f t="shared" si="3"/>
        <v>0</v>
      </c>
      <c r="H89" s="76" t="str">
        <f t="shared" si="1"/>
        <v>—</v>
      </c>
      <c r="I89" s="76" t="str">
        <f t="shared" si="2"/>
        <v/>
      </c>
    </row>
    <row r="90" ht="18.0" customHeight="1">
      <c r="A90" s="134"/>
      <c r="B90" s="77"/>
      <c r="C90" s="77"/>
      <c r="D90" s="79"/>
      <c r="E90" s="77"/>
      <c r="F90" s="77"/>
      <c r="G90" s="118">
        <f t="shared" si="3"/>
        <v>0</v>
      </c>
      <c r="H90" s="81" t="str">
        <f t="shared" si="1"/>
        <v>—</v>
      </c>
      <c r="I90" s="81" t="str">
        <f t="shared" si="2"/>
        <v/>
      </c>
    </row>
    <row r="91" ht="18.0" customHeight="1">
      <c r="A91" s="132"/>
      <c r="B91" s="72"/>
      <c r="C91" s="72"/>
      <c r="D91" s="74"/>
      <c r="E91" s="72"/>
      <c r="F91" s="72"/>
      <c r="G91" s="114">
        <f t="shared" si="3"/>
        <v>0</v>
      </c>
      <c r="H91" s="76" t="str">
        <f t="shared" si="1"/>
        <v>—</v>
      </c>
      <c r="I91" s="76" t="str">
        <f t="shared" si="2"/>
        <v/>
      </c>
    </row>
    <row r="92" ht="18.0" customHeight="1">
      <c r="A92" s="134"/>
      <c r="B92" s="77"/>
      <c r="C92" s="77"/>
      <c r="D92" s="79"/>
      <c r="E92" s="77"/>
      <c r="F92" s="77"/>
      <c r="G92" s="118">
        <f t="shared" si="3"/>
        <v>0</v>
      </c>
      <c r="H92" s="81" t="str">
        <f t="shared" si="1"/>
        <v>—</v>
      </c>
      <c r="I92" s="81" t="str">
        <f t="shared" si="2"/>
        <v/>
      </c>
    </row>
    <row r="93" ht="18.0" customHeight="1">
      <c r="A93" s="132"/>
      <c r="B93" s="72"/>
      <c r="C93" s="72"/>
      <c r="D93" s="74"/>
      <c r="E93" s="72"/>
      <c r="F93" s="72"/>
      <c r="G93" s="114">
        <f t="shared" si="3"/>
        <v>0</v>
      </c>
      <c r="H93" s="76" t="str">
        <f t="shared" si="1"/>
        <v>—</v>
      </c>
      <c r="I93" s="76" t="str">
        <f t="shared" si="2"/>
        <v/>
      </c>
    </row>
    <row r="94" ht="18.0" customHeight="1">
      <c r="A94" s="134"/>
      <c r="B94" s="77"/>
      <c r="C94" s="77"/>
      <c r="D94" s="79"/>
      <c r="E94" s="77"/>
      <c r="F94" s="77"/>
      <c r="G94" s="118">
        <f t="shared" si="3"/>
        <v>0</v>
      </c>
      <c r="H94" s="81" t="str">
        <f t="shared" si="1"/>
        <v>—</v>
      </c>
      <c r="I94" s="81" t="str">
        <f t="shared" si="2"/>
        <v/>
      </c>
    </row>
    <row r="95" ht="18.0" customHeight="1">
      <c r="A95" s="132"/>
      <c r="B95" s="72"/>
      <c r="C95" s="72"/>
      <c r="D95" s="74"/>
      <c r="E95" s="72"/>
      <c r="F95" s="72"/>
      <c r="G95" s="114">
        <f t="shared" si="3"/>
        <v>0</v>
      </c>
      <c r="H95" s="76" t="str">
        <f t="shared" si="1"/>
        <v>—</v>
      </c>
      <c r="I95" s="76" t="str">
        <f t="shared" si="2"/>
        <v/>
      </c>
    </row>
    <row r="96" ht="18.0" customHeight="1">
      <c r="A96" s="134"/>
      <c r="B96" s="77"/>
      <c r="C96" s="77"/>
      <c r="D96" s="79"/>
      <c r="E96" s="77"/>
      <c r="F96" s="77"/>
      <c r="G96" s="118">
        <f t="shared" si="3"/>
        <v>0</v>
      </c>
      <c r="H96" s="81" t="str">
        <f t="shared" si="1"/>
        <v>—</v>
      </c>
      <c r="I96" s="81" t="str">
        <f t="shared" si="2"/>
        <v/>
      </c>
    </row>
    <row r="97" ht="18.0" customHeight="1">
      <c r="A97" s="132"/>
      <c r="B97" s="72"/>
      <c r="C97" s="72"/>
      <c r="D97" s="74"/>
      <c r="E97" s="72"/>
      <c r="F97" s="72"/>
      <c r="G97" s="114">
        <f t="shared" si="3"/>
        <v>0</v>
      </c>
      <c r="H97" s="76" t="str">
        <f t="shared" si="1"/>
        <v>—</v>
      </c>
      <c r="I97" s="76" t="str">
        <f t="shared" si="2"/>
        <v/>
      </c>
    </row>
    <row r="98" ht="18.0" customHeight="1">
      <c r="A98" s="134"/>
      <c r="B98" s="77"/>
      <c r="C98" s="77"/>
      <c r="D98" s="79"/>
      <c r="E98" s="77"/>
      <c r="F98" s="77"/>
      <c r="G98" s="118">
        <f t="shared" si="3"/>
        <v>0</v>
      </c>
      <c r="H98" s="81" t="str">
        <f t="shared" si="1"/>
        <v>—</v>
      </c>
      <c r="I98" s="81" t="str">
        <f t="shared" si="2"/>
        <v/>
      </c>
    </row>
    <row r="99" ht="18.0" customHeight="1">
      <c r="A99" s="132"/>
      <c r="B99" s="72"/>
      <c r="C99" s="72"/>
      <c r="D99" s="74"/>
      <c r="E99" s="72"/>
      <c r="F99" s="72"/>
      <c r="G99" s="114">
        <f t="shared" si="3"/>
        <v>0</v>
      </c>
      <c r="H99" s="76" t="str">
        <f t="shared" si="1"/>
        <v>—</v>
      </c>
      <c r="I99" s="76" t="str">
        <f t="shared" si="2"/>
        <v/>
      </c>
    </row>
    <row r="100" ht="18.0" customHeight="1">
      <c r="A100" s="134"/>
      <c r="B100" s="77"/>
      <c r="C100" s="77"/>
      <c r="D100" s="79"/>
      <c r="E100" s="77"/>
      <c r="F100" s="77"/>
      <c r="G100" s="118">
        <f t="shared" si="3"/>
        <v>0</v>
      </c>
      <c r="H100" s="81" t="str">
        <f t="shared" si="1"/>
        <v>—</v>
      </c>
      <c r="I100" s="81" t="str">
        <f t="shared" si="2"/>
        <v/>
      </c>
    </row>
    <row r="101" ht="18.0" customHeight="1">
      <c r="A101" s="132"/>
      <c r="B101" s="72"/>
      <c r="C101" s="72"/>
      <c r="D101" s="74"/>
      <c r="E101" s="72"/>
      <c r="F101" s="72"/>
      <c r="G101" s="114">
        <f t="shared" si="3"/>
        <v>0</v>
      </c>
      <c r="H101" s="76" t="str">
        <f t="shared" si="1"/>
        <v>—</v>
      </c>
      <c r="I101" s="76" t="str">
        <f t="shared" si="2"/>
        <v/>
      </c>
    </row>
    <row r="102" ht="18.0" customHeight="1">
      <c r="A102" s="134"/>
      <c r="B102" s="77"/>
      <c r="C102" s="77"/>
      <c r="D102" s="79"/>
      <c r="E102" s="77"/>
      <c r="F102" s="77"/>
      <c r="G102" s="118">
        <f t="shared" si="3"/>
        <v>0</v>
      </c>
      <c r="H102" s="81" t="str">
        <f t="shared" si="1"/>
        <v>—</v>
      </c>
      <c r="I102" s="81" t="str">
        <f t="shared" si="2"/>
        <v/>
      </c>
    </row>
    <row r="103" ht="18.0" customHeight="1">
      <c r="A103" s="132"/>
      <c r="B103" s="72"/>
      <c r="C103" s="72"/>
      <c r="D103" s="74"/>
      <c r="E103" s="72"/>
      <c r="F103" s="72"/>
      <c r="G103" s="114">
        <f t="shared" si="3"/>
        <v>0</v>
      </c>
      <c r="H103" s="76" t="str">
        <f t="shared" si="1"/>
        <v>—</v>
      </c>
      <c r="I103" s="76" t="str">
        <f t="shared" si="2"/>
        <v/>
      </c>
    </row>
    <row r="104" ht="18.0" customHeight="1">
      <c r="A104" s="134"/>
      <c r="B104" s="77"/>
      <c r="C104" s="77"/>
      <c r="D104" s="79"/>
      <c r="E104" s="77"/>
      <c r="F104" s="77"/>
      <c r="G104" s="118">
        <f t="shared" si="3"/>
        <v>0</v>
      </c>
      <c r="H104" s="81" t="str">
        <f t="shared" si="1"/>
        <v>—</v>
      </c>
      <c r="I104" s="81" t="str">
        <f t="shared" si="2"/>
        <v/>
      </c>
    </row>
    <row r="105" ht="18.0" customHeight="1">
      <c r="A105" s="132"/>
      <c r="B105" s="72"/>
      <c r="C105" s="72"/>
      <c r="D105" s="74"/>
      <c r="E105" s="72"/>
      <c r="F105" s="72"/>
      <c r="G105" s="114">
        <f t="shared" si="3"/>
        <v>0</v>
      </c>
      <c r="H105" s="76" t="str">
        <f t="shared" si="1"/>
        <v>—</v>
      </c>
      <c r="I105" s="76" t="str">
        <f t="shared" si="2"/>
        <v/>
      </c>
    </row>
    <row r="106" ht="18.0" customHeight="1">
      <c r="A106" s="134"/>
      <c r="B106" s="77"/>
      <c r="C106" s="77"/>
      <c r="D106" s="79"/>
      <c r="E106" s="77"/>
      <c r="F106" s="77"/>
      <c r="G106" s="118">
        <f t="shared" si="3"/>
        <v>0</v>
      </c>
      <c r="H106" s="81" t="str">
        <f t="shared" si="1"/>
        <v>—</v>
      </c>
      <c r="I106" s="81" t="str">
        <f t="shared" si="2"/>
        <v/>
      </c>
    </row>
    <row r="107" ht="18.0" customHeight="1">
      <c r="A107" s="132"/>
      <c r="B107" s="72"/>
      <c r="C107" s="72"/>
      <c r="D107" s="74"/>
      <c r="E107" s="72"/>
      <c r="F107" s="72"/>
      <c r="G107" s="114">
        <f t="shared" si="3"/>
        <v>0</v>
      </c>
      <c r="H107" s="76" t="str">
        <f t="shared" si="1"/>
        <v>—</v>
      </c>
      <c r="I107" s="76" t="str">
        <f t="shared" si="2"/>
        <v/>
      </c>
    </row>
    <row r="108" ht="18.0" customHeight="1">
      <c r="A108" s="134"/>
      <c r="B108" s="77"/>
      <c r="C108" s="77"/>
      <c r="D108" s="79"/>
      <c r="E108" s="77"/>
      <c r="F108" s="77"/>
      <c r="G108" s="118">
        <f t="shared" si="3"/>
        <v>0</v>
      </c>
      <c r="H108" s="81" t="str">
        <f t="shared" si="1"/>
        <v>—</v>
      </c>
      <c r="I108" s="81" t="str">
        <f t="shared" si="2"/>
        <v/>
      </c>
    </row>
    <row r="109" ht="18.0" customHeight="1">
      <c r="A109" s="132"/>
      <c r="B109" s="72"/>
      <c r="C109" s="72"/>
      <c r="D109" s="74"/>
      <c r="E109" s="72"/>
      <c r="F109" s="72"/>
      <c r="G109" s="114">
        <f t="shared" si="3"/>
        <v>0</v>
      </c>
      <c r="H109" s="76" t="str">
        <f t="shared" si="1"/>
        <v>—</v>
      </c>
      <c r="I109" s="76" t="str">
        <f t="shared" si="2"/>
        <v/>
      </c>
    </row>
    <row r="110" ht="18.0" customHeight="1">
      <c r="A110" s="134"/>
      <c r="B110" s="77"/>
      <c r="C110" s="77"/>
      <c r="D110" s="79"/>
      <c r="E110" s="77"/>
      <c r="F110" s="77"/>
      <c r="G110" s="118">
        <f t="shared" si="3"/>
        <v>0</v>
      </c>
      <c r="H110" s="81" t="str">
        <f t="shared" si="1"/>
        <v>—</v>
      </c>
      <c r="I110" s="81" t="str">
        <f t="shared" si="2"/>
        <v/>
      </c>
    </row>
    <row r="111" ht="18.0" customHeight="1">
      <c r="A111" s="132"/>
      <c r="B111" s="72"/>
      <c r="C111" s="72"/>
      <c r="D111" s="74"/>
      <c r="E111" s="72"/>
      <c r="F111" s="72"/>
      <c r="G111" s="114">
        <f t="shared" si="3"/>
        <v>0</v>
      </c>
      <c r="H111" s="76" t="str">
        <f t="shared" si="1"/>
        <v>—</v>
      </c>
      <c r="I111" s="76" t="str">
        <f t="shared" si="2"/>
        <v/>
      </c>
    </row>
    <row r="112" ht="18.0" customHeight="1">
      <c r="A112" s="134"/>
      <c r="B112" s="77"/>
      <c r="C112" s="77"/>
      <c r="D112" s="79"/>
      <c r="E112" s="77"/>
      <c r="F112" s="77"/>
      <c r="G112" s="118">
        <f t="shared" si="3"/>
        <v>0</v>
      </c>
      <c r="H112" s="81" t="str">
        <f t="shared" si="1"/>
        <v>—</v>
      </c>
      <c r="I112" s="81" t="str">
        <f t="shared" si="2"/>
        <v/>
      </c>
    </row>
    <row r="113" ht="18.0" customHeight="1">
      <c r="A113" s="132"/>
      <c r="B113" s="72"/>
      <c r="C113" s="72"/>
      <c r="D113" s="74"/>
      <c r="E113" s="72"/>
      <c r="F113" s="72"/>
      <c r="G113" s="114">
        <f t="shared" si="3"/>
        <v>0</v>
      </c>
      <c r="H113" s="76" t="str">
        <f t="shared" si="1"/>
        <v>—</v>
      </c>
      <c r="I113" s="76" t="str">
        <f t="shared" si="2"/>
        <v/>
      </c>
    </row>
    <row r="114" ht="18.0" customHeight="1">
      <c r="A114" s="134"/>
      <c r="B114" s="77"/>
      <c r="C114" s="77"/>
      <c r="D114" s="79"/>
      <c r="E114" s="77"/>
      <c r="F114" s="77"/>
      <c r="G114" s="118">
        <f t="shared" si="3"/>
        <v>0</v>
      </c>
      <c r="H114" s="81" t="str">
        <f t="shared" si="1"/>
        <v>—</v>
      </c>
      <c r="I114" s="81" t="str">
        <f t="shared" si="2"/>
        <v/>
      </c>
    </row>
    <row r="115" ht="18.0" customHeight="1">
      <c r="A115" s="132"/>
      <c r="B115" s="72"/>
      <c r="C115" s="72"/>
      <c r="D115" s="74"/>
      <c r="E115" s="72"/>
      <c r="F115" s="72"/>
      <c r="G115" s="114">
        <f t="shared" si="3"/>
        <v>0</v>
      </c>
      <c r="H115" s="76" t="str">
        <f t="shared" si="1"/>
        <v>—</v>
      </c>
      <c r="I115" s="76" t="str">
        <f t="shared" si="2"/>
        <v/>
      </c>
    </row>
    <row r="116" ht="18.0" customHeight="1">
      <c r="A116" s="134"/>
      <c r="B116" s="77"/>
      <c r="C116" s="77"/>
      <c r="D116" s="79"/>
      <c r="E116" s="77"/>
      <c r="F116" s="77"/>
      <c r="G116" s="118">
        <f t="shared" si="3"/>
        <v>0</v>
      </c>
      <c r="H116" s="81" t="str">
        <f t="shared" si="1"/>
        <v>—</v>
      </c>
      <c r="I116" s="81" t="str">
        <f t="shared" si="2"/>
        <v/>
      </c>
    </row>
    <row r="117" ht="18.0" customHeight="1">
      <c r="A117" s="132"/>
      <c r="B117" s="72"/>
      <c r="C117" s="72"/>
      <c r="D117" s="74"/>
      <c r="E117" s="72"/>
      <c r="F117" s="72"/>
      <c r="G117" s="114">
        <f t="shared" si="3"/>
        <v>0</v>
      </c>
      <c r="H117" s="76" t="str">
        <f t="shared" si="1"/>
        <v>—</v>
      </c>
      <c r="I117" s="76" t="str">
        <f t="shared" si="2"/>
        <v/>
      </c>
    </row>
    <row r="118" ht="18.0" customHeight="1">
      <c r="A118" s="134"/>
      <c r="B118" s="77"/>
      <c r="C118" s="77"/>
      <c r="D118" s="79"/>
      <c r="E118" s="77"/>
      <c r="F118" s="77"/>
      <c r="G118" s="118">
        <f t="shared" si="3"/>
        <v>0</v>
      </c>
      <c r="H118" s="81" t="str">
        <f t="shared" si="1"/>
        <v>—</v>
      </c>
      <c r="I118" s="81" t="str">
        <f t="shared" si="2"/>
        <v/>
      </c>
    </row>
    <row r="119" ht="18.0" customHeight="1">
      <c r="A119" s="132"/>
      <c r="B119" s="72"/>
      <c r="C119" s="72"/>
      <c r="D119" s="74"/>
      <c r="E119" s="72"/>
      <c r="F119" s="72"/>
      <c r="G119" s="114">
        <f t="shared" si="3"/>
        <v>0</v>
      </c>
      <c r="H119" s="76" t="str">
        <f t="shared" si="1"/>
        <v>—</v>
      </c>
      <c r="I119" s="76" t="str">
        <f t="shared" si="2"/>
        <v/>
      </c>
    </row>
    <row r="120" ht="18.0" customHeight="1">
      <c r="A120" s="134"/>
      <c r="B120" s="77"/>
      <c r="C120" s="77"/>
      <c r="D120" s="79"/>
      <c r="E120" s="77"/>
      <c r="F120" s="77"/>
      <c r="G120" s="118">
        <f t="shared" si="3"/>
        <v>0</v>
      </c>
      <c r="H120" s="81" t="str">
        <f t="shared" si="1"/>
        <v>—</v>
      </c>
      <c r="I120" s="81" t="str">
        <f t="shared" si="2"/>
        <v/>
      </c>
    </row>
    <row r="121" ht="18.0" customHeight="1">
      <c r="A121" s="132"/>
      <c r="B121" s="72"/>
      <c r="C121" s="72"/>
      <c r="D121" s="74"/>
      <c r="E121" s="72"/>
      <c r="F121" s="72"/>
      <c r="G121" s="114">
        <f t="shared" si="3"/>
        <v>0</v>
      </c>
      <c r="H121" s="76" t="str">
        <f t="shared" si="1"/>
        <v>—</v>
      </c>
      <c r="I121" s="76" t="str">
        <f t="shared" si="2"/>
        <v/>
      </c>
    </row>
    <row r="122" ht="18.0" customHeight="1">
      <c r="A122" s="134"/>
      <c r="B122" s="77"/>
      <c r="C122" s="77"/>
      <c r="D122" s="79"/>
      <c r="E122" s="77"/>
      <c r="F122" s="77"/>
      <c r="G122" s="118">
        <f t="shared" si="3"/>
        <v>0</v>
      </c>
      <c r="H122" s="81" t="str">
        <f t="shared" si="1"/>
        <v>—</v>
      </c>
      <c r="I122" s="81" t="str">
        <f t="shared" si="2"/>
        <v/>
      </c>
    </row>
    <row r="123" ht="18.0" customHeight="1">
      <c r="A123" s="132"/>
      <c r="B123" s="72"/>
      <c r="C123" s="72"/>
      <c r="D123" s="74"/>
      <c r="E123" s="72"/>
      <c r="F123" s="72"/>
      <c r="G123" s="114">
        <f t="shared" si="3"/>
        <v>0</v>
      </c>
      <c r="H123" s="76" t="str">
        <f t="shared" si="1"/>
        <v>—</v>
      </c>
      <c r="I123" s="76" t="str">
        <f t="shared" si="2"/>
        <v/>
      </c>
    </row>
    <row r="124" ht="18.0" customHeight="1">
      <c r="A124" s="134"/>
      <c r="B124" s="77"/>
      <c r="C124" s="77"/>
      <c r="D124" s="79"/>
      <c r="E124" s="77"/>
      <c r="F124" s="77"/>
      <c r="G124" s="118">
        <f t="shared" si="3"/>
        <v>0</v>
      </c>
      <c r="H124" s="81" t="str">
        <f t="shared" si="1"/>
        <v>—</v>
      </c>
      <c r="I124" s="81" t="str">
        <f t="shared" si="2"/>
        <v/>
      </c>
    </row>
    <row r="125" ht="18.0" customHeight="1">
      <c r="A125" s="132"/>
      <c r="B125" s="72"/>
      <c r="C125" s="72"/>
      <c r="D125" s="74"/>
      <c r="E125" s="72"/>
      <c r="F125" s="72"/>
      <c r="G125" s="114">
        <f t="shared" si="3"/>
        <v>0</v>
      </c>
      <c r="H125" s="76" t="str">
        <f t="shared" si="1"/>
        <v>—</v>
      </c>
      <c r="I125" s="76" t="str">
        <f t="shared" si="2"/>
        <v/>
      </c>
    </row>
    <row r="126" ht="18.0" customHeight="1">
      <c r="A126" s="134"/>
      <c r="B126" s="77"/>
      <c r="C126" s="77"/>
      <c r="D126" s="79"/>
      <c r="E126" s="77"/>
      <c r="F126" s="77"/>
      <c r="G126" s="118">
        <f t="shared" si="3"/>
        <v>0</v>
      </c>
      <c r="H126" s="81" t="str">
        <f t="shared" si="1"/>
        <v>—</v>
      </c>
      <c r="I126" s="81" t="str">
        <f t="shared" si="2"/>
        <v/>
      </c>
    </row>
    <row r="127" ht="18.0" customHeight="1">
      <c r="A127" s="132"/>
      <c r="B127" s="72"/>
      <c r="C127" s="72"/>
      <c r="D127" s="74"/>
      <c r="E127" s="72"/>
      <c r="F127" s="72"/>
      <c r="G127" s="114">
        <f t="shared" si="3"/>
        <v>0</v>
      </c>
      <c r="H127" s="76" t="str">
        <f t="shared" si="1"/>
        <v>—</v>
      </c>
      <c r="I127" s="76" t="str">
        <f t="shared" si="2"/>
        <v/>
      </c>
    </row>
    <row r="128" ht="18.0" customHeight="1">
      <c r="A128" s="134"/>
      <c r="B128" s="77"/>
      <c r="C128" s="77"/>
      <c r="D128" s="79"/>
      <c r="E128" s="77"/>
      <c r="F128" s="77"/>
      <c r="G128" s="118">
        <f t="shared" si="3"/>
        <v>0</v>
      </c>
      <c r="H128" s="81" t="str">
        <f t="shared" si="1"/>
        <v>—</v>
      </c>
      <c r="I128" s="81" t="str">
        <f t="shared" si="2"/>
        <v/>
      </c>
    </row>
    <row r="129" ht="18.0" customHeight="1">
      <c r="A129" s="132"/>
      <c r="B129" s="72"/>
      <c r="C129" s="72"/>
      <c r="D129" s="74"/>
      <c r="E129" s="72"/>
      <c r="F129" s="72"/>
      <c r="G129" s="114">
        <f t="shared" si="3"/>
        <v>0</v>
      </c>
      <c r="H129" s="76" t="str">
        <f t="shared" si="1"/>
        <v>—</v>
      </c>
      <c r="I129" s="76" t="str">
        <f t="shared" si="2"/>
        <v/>
      </c>
    </row>
    <row r="130" ht="18.0" customHeight="1">
      <c r="A130" s="134"/>
      <c r="B130" s="77"/>
      <c r="C130" s="77"/>
      <c r="D130" s="79"/>
      <c r="E130" s="77"/>
      <c r="F130" s="77"/>
      <c r="G130" s="118">
        <f t="shared" si="3"/>
        <v>0</v>
      </c>
      <c r="H130" s="81" t="str">
        <f t="shared" si="1"/>
        <v>—</v>
      </c>
      <c r="I130" s="81" t="str">
        <f t="shared" si="2"/>
        <v/>
      </c>
    </row>
    <row r="131" ht="18.0" customHeight="1">
      <c r="A131" s="132"/>
      <c r="B131" s="72"/>
      <c r="C131" s="72"/>
      <c r="D131" s="74"/>
      <c r="E131" s="72"/>
      <c r="F131" s="72"/>
      <c r="G131" s="114">
        <f t="shared" si="3"/>
        <v>0</v>
      </c>
      <c r="H131" s="76" t="str">
        <f t="shared" si="1"/>
        <v>—</v>
      </c>
      <c r="I131" s="76" t="str">
        <f t="shared" si="2"/>
        <v/>
      </c>
    </row>
    <row r="132" ht="18.0" customHeight="1">
      <c r="A132" s="134"/>
      <c r="B132" s="77"/>
      <c r="C132" s="77"/>
      <c r="D132" s="79"/>
      <c r="E132" s="77"/>
      <c r="F132" s="77"/>
      <c r="G132" s="118">
        <f t="shared" si="3"/>
        <v>0</v>
      </c>
      <c r="H132" s="81" t="str">
        <f t="shared" si="1"/>
        <v>—</v>
      </c>
      <c r="I132" s="81" t="str">
        <f t="shared" si="2"/>
        <v/>
      </c>
    </row>
    <row r="133" ht="18.0" customHeight="1">
      <c r="A133" s="132"/>
      <c r="B133" s="72"/>
      <c r="C133" s="72"/>
      <c r="D133" s="74"/>
      <c r="E133" s="72"/>
      <c r="F133" s="72"/>
      <c r="G133" s="114">
        <f t="shared" si="3"/>
        <v>0</v>
      </c>
      <c r="H133" s="76" t="str">
        <f t="shared" si="1"/>
        <v>—</v>
      </c>
      <c r="I133" s="76" t="str">
        <f t="shared" si="2"/>
        <v/>
      </c>
    </row>
    <row r="134" ht="18.0" customHeight="1">
      <c r="A134" s="134"/>
      <c r="B134" s="77"/>
      <c r="C134" s="77"/>
      <c r="D134" s="79"/>
      <c r="E134" s="77"/>
      <c r="F134" s="77"/>
      <c r="G134" s="118">
        <f t="shared" si="3"/>
        <v>0</v>
      </c>
      <c r="H134" s="81" t="str">
        <f t="shared" si="1"/>
        <v>—</v>
      </c>
      <c r="I134" s="81" t="str">
        <f t="shared" si="2"/>
        <v/>
      </c>
    </row>
    <row r="135" ht="18.0" customHeight="1">
      <c r="A135" s="132"/>
      <c r="B135" s="72"/>
      <c r="C135" s="72"/>
      <c r="D135" s="74"/>
      <c r="E135" s="72"/>
      <c r="F135" s="72"/>
      <c r="G135" s="114">
        <f t="shared" si="3"/>
        <v>0</v>
      </c>
      <c r="H135" s="76" t="str">
        <f t="shared" si="1"/>
        <v>—</v>
      </c>
      <c r="I135" s="76" t="str">
        <f t="shared" si="2"/>
        <v/>
      </c>
    </row>
    <row r="136" ht="18.0" customHeight="1">
      <c r="A136" s="134"/>
      <c r="B136" s="77"/>
      <c r="C136" s="77"/>
      <c r="D136" s="79"/>
      <c r="E136" s="77"/>
      <c r="F136" s="77"/>
      <c r="G136" s="118">
        <f t="shared" si="3"/>
        <v>0</v>
      </c>
      <c r="H136" s="81" t="str">
        <f t="shared" si="1"/>
        <v>—</v>
      </c>
      <c r="I136" s="81" t="str">
        <f t="shared" si="2"/>
        <v/>
      </c>
    </row>
    <row r="137" ht="18.0" customHeight="1">
      <c r="A137" s="132"/>
      <c r="B137" s="72"/>
      <c r="C137" s="72"/>
      <c r="D137" s="74"/>
      <c r="E137" s="72"/>
      <c r="F137" s="72"/>
      <c r="G137" s="114">
        <f t="shared" si="3"/>
        <v>0</v>
      </c>
      <c r="H137" s="76" t="str">
        <f t="shared" si="1"/>
        <v>—</v>
      </c>
      <c r="I137" s="76" t="str">
        <f t="shared" si="2"/>
        <v/>
      </c>
    </row>
    <row r="138" ht="18.0" customHeight="1">
      <c r="A138" s="134"/>
      <c r="B138" s="77"/>
      <c r="C138" s="77"/>
      <c r="D138" s="79"/>
      <c r="E138" s="77"/>
      <c r="F138" s="77"/>
      <c r="G138" s="118">
        <f t="shared" si="3"/>
        <v>0</v>
      </c>
      <c r="H138" s="81" t="str">
        <f t="shared" si="1"/>
        <v>—</v>
      </c>
      <c r="I138" s="81" t="str">
        <f t="shared" si="2"/>
        <v/>
      </c>
    </row>
    <row r="139" ht="18.0" customHeight="1">
      <c r="A139" s="132"/>
      <c r="B139" s="72"/>
      <c r="C139" s="72"/>
      <c r="D139" s="74"/>
      <c r="E139" s="72"/>
      <c r="F139" s="72"/>
      <c r="G139" s="114">
        <f t="shared" si="3"/>
        <v>0</v>
      </c>
      <c r="H139" s="76" t="str">
        <f t="shared" si="1"/>
        <v>—</v>
      </c>
      <c r="I139" s="76" t="str">
        <f t="shared" si="2"/>
        <v/>
      </c>
    </row>
    <row r="140" ht="18.0" customHeight="1">
      <c r="A140" s="134"/>
      <c r="B140" s="77"/>
      <c r="C140" s="77"/>
      <c r="D140" s="79"/>
      <c r="E140" s="77"/>
      <c r="F140" s="77"/>
      <c r="G140" s="118">
        <f t="shared" si="3"/>
        <v>0</v>
      </c>
      <c r="H140" s="81" t="str">
        <f t="shared" si="1"/>
        <v>—</v>
      </c>
      <c r="I140" s="81" t="str">
        <f t="shared" si="2"/>
        <v/>
      </c>
    </row>
    <row r="141" ht="18.0" customHeight="1">
      <c r="A141" s="132"/>
      <c r="B141" s="72"/>
      <c r="C141" s="72"/>
      <c r="D141" s="74"/>
      <c r="E141" s="72"/>
      <c r="F141" s="72"/>
      <c r="G141" s="114">
        <f t="shared" si="3"/>
        <v>0</v>
      </c>
      <c r="H141" s="76" t="str">
        <f t="shared" si="1"/>
        <v>—</v>
      </c>
      <c r="I141" s="76" t="str">
        <f t="shared" si="2"/>
        <v/>
      </c>
    </row>
    <row r="142" ht="18.0" customHeight="1">
      <c r="A142" s="134"/>
      <c r="B142" s="77"/>
      <c r="C142" s="77"/>
      <c r="D142" s="79"/>
      <c r="E142" s="77"/>
      <c r="F142" s="77"/>
      <c r="G142" s="118">
        <f t="shared" si="3"/>
        <v>0</v>
      </c>
      <c r="H142" s="81" t="str">
        <f t="shared" si="1"/>
        <v>—</v>
      </c>
      <c r="I142" s="81" t="str">
        <f t="shared" si="2"/>
        <v/>
      </c>
    </row>
    <row r="143" ht="18.0" customHeight="1">
      <c r="A143" s="132"/>
      <c r="B143" s="72"/>
      <c r="C143" s="72"/>
      <c r="D143" s="74"/>
      <c r="E143" s="72"/>
      <c r="F143" s="72"/>
      <c r="G143" s="114">
        <f t="shared" si="3"/>
        <v>0</v>
      </c>
      <c r="H143" s="76" t="str">
        <f t="shared" si="1"/>
        <v>—</v>
      </c>
      <c r="I143" s="76" t="str">
        <f t="shared" si="2"/>
        <v/>
      </c>
    </row>
    <row r="144" ht="18.0" customHeight="1">
      <c r="A144" s="134"/>
      <c r="B144" s="77"/>
      <c r="C144" s="77"/>
      <c r="D144" s="79"/>
      <c r="E144" s="77"/>
      <c r="F144" s="77"/>
      <c r="G144" s="118">
        <f t="shared" si="3"/>
        <v>0</v>
      </c>
      <c r="H144" s="81" t="str">
        <f t="shared" si="1"/>
        <v>—</v>
      </c>
      <c r="I144" s="81" t="str">
        <f t="shared" si="2"/>
        <v/>
      </c>
    </row>
    <row r="145" ht="18.0" customHeight="1">
      <c r="A145" s="132"/>
      <c r="B145" s="72"/>
      <c r="C145" s="72"/>
      <c r="D145" s="74"/>
      <c r="E145" s="72"/>
      <c r="F145" s="72"/>
      <c r="G145" s="114">
        <f t="shared" si="3"/>
        <v>0</v>
      </c>
      <c r="H145" s="76" t="str">
        <f t="shared" si="1"/>
        <v>—</v>
      </c>
      <c r="I145" s="76" t="str">
        <f t="shared" si="2"/>
        <v/>
      </c>
    </row>
    <row r="146" ht="18.0" customHeight="1">
      <c r="A146" s="134"/>
      <c r="B146" s="77"/>
      <c r="C146" s="77"/>
      <c r="D146" s="79"/>
      <c r="E146" s="77"/>
      <c r="F146" s="77"/>
      <c r="G146" s="118">
        <f t="shared" si="3"/>
        <v>0</v>
      </c>
      <c r="H146" s="81" t="str">
        <f t="shared" si="1"/>
        <v>—</v>
      </c>
      <c r="I146" s="81" t="str">
        <f t="shared" si="2"/>
        <v/>
      </c>
    </row>
    <row r="147" ht="18.0" customHeight="1">
      <c r="A147" s="132"/>
      <c r="B147" s="72"/>
      <c r="C147" s="72"/>
      <c r="D147" s="74"/>
      <c r="E147" s="72"/>
      <c r="F147" s="72"/>
      <c r="G147" s="114">
        <f t="shared" si="3"/>
        <v>0</v>
      </c>
      <c r="H147" s="76" t="str">
        <f t="shared" si="1"/>
        <v>—</v>
      </c>
      <c r="I147" s="76" t="str">
        <f t="shared" si="2"/>
        <v/>
      </c>
    </row>
    <row r="148" ht="18.0" customHeight="1">
      <c r="A148" s="134"/>
      <c r="B148" s="77"/>
      <c r="C148" s="77"/>
      <c r="D148" s="79"/>
      <c r="E148" s="77"/>
      <c r="F148" s="77"/>
      <c r="G148" s="118">
        <f t="shared" si="3"/>
        <v>0</v>
      </c>
      <c r="H148" s="81" t="str">
        <f t="shared" si="1"/>
        <v>—</v>
      </c>
      <c r="I148" s="81" t="str">
        <f t="shared" si="2"/>
        <v/>
      </c>
    </row>
    <row r="149" ht="18.0" customHeight="1">
      <c r="A149" s="132"/>
      <c r="B149" s="72"/>
      <c r="C149" s="72"/>
      <c r="D149" s="74"/>
      <c r="E149" s="72"/>
      <c r="F149" s="72"/>
      <c r="G149" s="114">
        <f t="shared" si="3"/>
        <v>0</v>
      </c>
      <c r="H149" s="76" t="str">
        <f t="shared" si="1"/>
        <v>—</v>
      </c>
      <c r="I149" s="76" t="str">
        <f t="shared" si="2"/>
        <v/>
      </c>
    </row>
    <row r="150" ht="18.0" customHeight="1">
      <c r="A150" s="134"/>
      <c r="B150" s="77"/>
      <c r="C150" s="77"/>
      <c r="D150" s="79"/>
      <c r="E150" s="77"/>
      <c r="F150" s="77"/>
      <c r="G150" s="118">
        <f t="shared" si="3"/>
        <v>0</v>
      </c>
      <c r="H150" s="81" t="str">
        <f t="shared" si="1"/>
        <v>—</v>
      </c>
      <c r="I150" s="81" t="str">
        <f t="shared" si="2"/>
        <v/>
      </c>
    </row>
    <row r="151" ht="18.0" customHeight="1">
      <c r="A151" s="132"/>
      <c r="B151" s="72"/>
      <c r="C151" s="72"/>
      <c r="D151" s="74"/>
      <c r="E151" s="72"/>
      <c r="F151" s="72"/>
      <c r="G151" s="114">
        <f t="shared" si="3"/>
        <v>0</v>
      </c>
      <c r="H151" s="76" t="str">
        <f t="shared" si="1"/>
        <v>—</v>
      </c>
      <c r="I151" s="76" t="str">
        <f t="shared" si="2"/>
        <v/>
      </c>
    </row>
    <row r="152" ht="18.0" customHeight="1">
      <c r="A152" s="134"/>
      <c r="B152" s="77"/>
      <c r="C152" s="77"/>
      <c r="D152" s="79"/>
      <c r="E152" s="77"/>
      <c r="F152" s="77"/>
      <c r="G152" s="118">
        <f t="shared" si="3"/>
        <v>0</v>
      </c>
      <c r="H152" s="81" t="str">
        <f t="shared" si="1"/>
        <v>—</v>
      </c>
      <c r="I152" s="81" t="str">
        <f t="shared" si="2"/>
        <v/>
      </c>
    </row>
    <row r="153" ht="18.0" customHeight="1">
      <c r="A153" s="132"/>
      <c r="B153" s="72"/>
      <c r="C153" s="72"/>
      <c r="D153" s="74"/>
      <c r="E153" s="72"/>
      <c r="F153" s="72"/>
      <c r="G153" s="114">
        <f t="shared" si="3"/>
        <v>0</v>
      </c>
      <c r="H153" s="76" t="str">
        <f t="shared" si="1"/>
        <v>—</v>
      </c>
      <c r="I153" s="76" t="str">
        <f t="shared" si="2"/>
        <v/>
      </c>
    </row>
    <row r="154" ht="18.0" customHeight="1">
      <c r="A154" s="134"/>
      <c r="B154" s="77"/>
      <c r="C154" s="77"/>
      <c r="D154" s="79"/>
      <c r="E154" s="77"/>
      <c r="F154" s="77"/>
      <c r="G154" s="118">
        <f t="shared" si="3"/>
        <v>0</v>
      </c>
      <c r="H154" s="81" t="str">
        <f t="shared" si="1"/>
        <v>—</v>
      </c>
      <c r="I154" s="81" t="str">
        <f t="shared" si="2"/>
        <v/>
      </c>
    </row>
    <row r="155" ht="18.0" customHeight="1">
      <c r="A155" s="132"/>
      <c r="B155" s="72"/>
      <c r="C155" s="72"/>
      <c r="D155" s="74"/>
      <c r="E155" s="72"/>
      <c r="F155" s="72"/>
      <c r="G155" s="114">
        <f t="shared" si="3"/>
        <v>0</v>
      </c>
      <c r="H155" s="76" t="str">
        <f t="shared" si="1"/>
        <v>—</v>
      </c>
      <c r="I155" s="76" t="str">
        <f t="shared" si="2"/>
        <v/>
      </c>
    </row>
    <row r="156" ht="18.0" customHeight="1">
      <c r="A156" s="134"/>
      <c r="B156" s="77"/>
      <c r="C156" s="77"/>
      <c r="D156" s="79"/>
      <c r="E156" s="77"/>
      <c r="F156" s="77"/>
      <c r="G156" s="118">
        <f t="shared" si="3"/>
        <v>0</v>
      </c>
      <c r="H156" s="81" t="str">
        <f t="shared" si="1"/>
        <v>—</v>
      </c>
      <c r="I156" s="81" t="str">
        <f t="shared" si="2"/>
        <v/>
      </c>
    </row>
    <row r="157" ht="18.0" customHeight="1">
      <c r="A157" s="132"/>
      <c r="B157" s="72"/>
      <c r="C157" s="72"/>
      <c r="D157" s="74"/>
      <c r="E157" s="72"/>
      <c r="F157" s="72"/>
      <c r="G157" s="114">
        <f t="shared" si="3"/>
        <v>0</v>
      </c>
      <c r="H157" s="76" t="str">
        <f t="shared" si="1"/>
        <v>—</v>
      </c>
      <c r="I157" s="76" t="str">
        <f t="shared" si="2"/>
        <v/>
      </c>
    </row>
    <row r="158" ht="18.0" customHeight="1">
      <c r="A158" s="134"/>
      <c r="B158" s="77"/>
      <c r="C158" s="77"/>
      <c r="D158" s="79"/>
      <c r="E158" s="77"/>
      <c r="F158" s="77"/>
      <c r="G158" s="118">
        <f t="shared" si="3"/>
        <v>0</v>
      </c>
      <c r="H158" s="81" t="str">
        <f t="shared" si="1"/>
        <v>—</v>
      </c>
      <c r="I158" s="81" t="str">
        <f t="shared" si="2"/>
        <v/>
      </c>
    </row>
    <row r="159" ht="18.0" customHeight="1">
      <c r="A159" s="132"/>
      <c r="B159" s="72"/>
      <c r="C159" s="72"/>
      <c r="D159" s="74"/>
      <c r="E159" s="72"/>
      <c r="F159" s="72"/>
      <c r="G159" s="114">
        <f t="shared" si="3"/>
        <v>0</v>
      </c>
      <c r="H159" s="76" t="str">
        <f t="shared" si="1"/>
        <v>—</v>
      </c>
      <c r="I159" s="76" t="str">
        <f t="shared" si="2"/>
        <v/>
      </c>
    </row>
    <row r="160" ht="18.0" customHeight="1">
      <c r="A160" s="134"/>
      <c r="B160" s="77"/>
      <c r="C160" s="77"/>
      <c r="D160" s="79"/>
      <c r="E160" s="77"/>
      <c r="F160" s="77"/>
      <c r="G160" s="118">
        <f t="shared" si="3"/>
        <v>0</v>
      </c>
      <c r="H160" s="81" t="str">
        <f t="shared" si="1"/>
        <v>—</v>
      </c>
      <c r="I160" s="81" t="str">
        <f t="shared" si="2"/>
        <v/>
      </c>
    </row>
    <row r="161" ht="18.0" customHeight="1">
      <c r="A161" s="132"/>
      <c r="B161" s="72"/>
      <c r="C161" s="72"/>
      <c r="D161" s="74"/>
      <c r="E161" s="72"/>
      <c r="F161" s="72"/>
      <c r="G161" s="114">
        <f t="shared" si="3"/>
        <v>0</v>
      </c>
      <c r="H161" s="76" t="str">
        <f t="shared" si="1"/>
        <v>—</v>
      </c>
      <c r="I161" s="76" t="str">
        <f t="shared" si="2"/>
        <v/>
      </c>
    </row>
    <row r="162" ht="18.0" customHeight="1">
      <c r="A162" s="134"/>
      <c r="B162" s="77"/>
      <c r="C162" s="77"/>
      <c r="D162" s="79"/>
      <c r="E162" s="77"/>
      <c r="F162" s="77"/>
      <c r="G162" s="118">
        <f t="shared" si="3"/>
        <v>0</v>
      </c>
      <c r="H162" s="81" t="str">
        <f t="shared" si="1"/>
        <v>—</v>
      </c>
      <c r="I162" s="81" t="str">
        <f t="shared" si="2"/>
        <v/>
      </c>
    </row>
    <row r="163" ht="18.0" customHeight="1">
      <c r="A163" s="132"/>
      <c r="B163" s="72"/>
      <c r="C163" s="72"/>
      <c r="D163" s="74"/>
      <c r="E163" s="72"/>
      <c r="F163" s="72"/>
      <c r="G163" s="114">
        <f t="shared" si="3"/>
        <v>0</v>
      </c>
      <c r="H163" s="76" t="str">
        <f t="shared" si="1"/>
        <v>—</v>
      </c>
      <c r="I163" s="76" t="str">
        <f t="shared" si="2"/>
        <v/>
      </c>
    </row>
    <row r="164" ht="18.0" customHeight="1">
      <c r="A164" s="134"/>
      <c r="B164" s="77"/>
      <c r="C164" s="77"/>
      <c r="D164" s="79"/>
      <c r="E164" s="77"/>
      <c r="F164" s="77"/>
      <c r="G164" s="118">
        <f t="shared" si="3"/>
        <v>0</v>
      </c>
      <c r="H164" s="81" t="str">
        <f t="shared" si="1"/>
        <v>—</v>
      </c>
      <c r="I164" s="81" t="str">
        <f t="shared" si="2"/>
        <v/>
      </c>
    </row>
    <row r="165" ht="18.0" customHeight="1">
      <c r="A165" s="132"/>
      <c r="B165" s="72"/>
      <c r="C165" s="72"/>
      <c r="D165" s="74"/>
      <c r="E165" s="72"/>
      <c r="F165" s="72"/>
      <c r="G165" s="114">
        <f t="shared" si="3"/>
        <v>0</v>
      </c>
      <c r="H165" s="76" t="str">
        <f t="shared" si="1"/>
        <v>—</v>
      </c>
      <c r="I165" s="76" t="str">
        <f t="shared" si="2"/>
        <v/>
      </c>
    </row>
    <row r="166" ht="18.0" customHeight="1">
      <c r="A166" s="134"/>
      <c r="B166" s="77"/>
      <c r="C166" s="77"/>
      <c r="D166" s="79"/>
      <c r="E166" s="77"/>
      <c r="F166" s="77"/>
      <c r="G166" s="118">
        <f t="shared" si="3"/>
        <v>0</v>
      </c>
      <c r="H166" s="81" t="str">
        <f t="shared" si="1"/>
        <v>—</v>
      </c>
      <c r="I166" s="81" t="str">
        <f t="shared" si="2"/>
        <v/>
      </c>
    </row>
    <row r="167" ht="18.0" customHeight="1">
      <c r="A167" s="132"/>
      <c r="B167" s="72"/>
      <c r="C167" s="72"/>
      <c r="D167" s="74"/>
      <c r="E167" s="72"/>
      <c r="F167" s="72"/>
      <c r="G167" s="114">
        <f t="shared" si="3"/>
        <v>0</v>
      </c>
      <c r="H167" s="76" t="str">
        <f t="shared" si="1"/>
        <v>—</v>
      </c>
      <c r="I167" s="76" t="str">
        <f t="shared" si="2"/>
        <v/>
      </c>
    </row>
    <row r="168" ht="18.0" customHeight="1">
      <c r="A168" s="134"/>
      <c r="B168" s="77"/>
      <c r="C168" s="77"/>
      <c r="D168" s="79"/>
      <c r="E168" s="77"/>
      <c r="F168" s="77"/>
      <c r="G168" s="118">
        <f t="shared" si="3"/>
        <v>0</v>
      </c>
      <c r="H168" s="81" t="str">
        <f t="shared" si="1"/>
        <v>—</v>
      </c>
      <c r="I168" s="81" t="str">
        <f t="shared" si="2"/>
        <v/>
      </c>
    </row>
    <row r="169" ht="18.0" customHeight="1">
      <c r="A169" s="132"/>
      <c r="B169" s="72"/>
      <c r="C169" s="72"/>
      <c r="D169" s="74"/>
      <c r="E169" s="72"/>
      <c r="F169" s="72"/>
      <c r="G169" s="114">
        <f t="shared" si="3"/>
        <v>0</v>
      </c>
      <c r="H169" s="76" t="str">
        <f t="shared" si="1"/>
        <v>—</v>
      </c>
      <c r="I169" s="76" t="str">
        <f t="shared" si="2"/>
        <v/>
      </c>
    </row>
    <row r="170" ht="18.0" customHeight="1">
      <c r="A170" s="134"/>
      <c r="B170" s="77"/>
      <c r="C170" s="77"/>
      <c r="D170" s="79"/>
      <c r="E170" s="77"/>
      <c r="F170" s="77"/>
      <c r="G170" s="118">
        <f t="shared" si="3"/>
        <v>0</v>
      </c>
      <c r="H170" s="81" t="str">
        <f t="shared" si="1"/>
        <v>—</v>
      </c>
      <c r="I170" s="81" t="str">
        <f t="shared" si="2"/>
        <v/>
      </c>
    </row>
    <row r="171" ht="18.0" customHeight="1">
      <c r="A171" s="132"/>
      <c r="B171" s="72"/>
      <c r="C171" s="72"/>
      <c r="D171" s="74"/>
      <c r="E171" s="72"/>
      <c r="F171" s="72"/>
      <c r="G171" s="114">
        <f t="shared" si="3"/>
        <v>0</v>
      </c>
      <c r="H171" s="76" t="str">
        <f t="shared" si="1"/>
        <v>—</v>
      </c>
      <c r="I171" s="76" t="str">
        <f t="shared" si="2"/>
        <v/>
      </c>
    </row>
    <row r="172" ht="18.0" customHeight="1">
      <c r="A172" s="134"/>
      <c r="B172" s="77"/>
      <c r="C172" s="77"/>
      <c r="D172" s="79"/>
      <c r="E172" s="77"/>
      <c r="F172" s="77"/>
      <c r="G172" s="118">
        <f t="shared" si="3"/>
        <v>0</v>
      </c>
      <c r="H172" s="81" t="str">
        <f t="shared" si="1"/>
        <v>—</v>
      </c>
      <c r="I172" s="81" t="str">
        <f t="shared" si="2"/>
        <v/>
      </c>
    </row>
    <row r="173" ht="18.0" customHeight="1">
      <c r="A173" s="132"/>
      <c r="B173" s="72"/>
      <c r="C173" s="72"/>
      <c r="D173" s="74"/>
      <c r="E173" s="72"/>
      <c r="F173" s="72"/>
      <c r="G173" s="114">
        <f t="shared" si="3"/>
        <v>0</v>
      </c>
      <c r="H173" s="76" t="str">
        <f t="shared" si="1"/>
        <v>—</v>
      </c>
      <c r="I173" s="76" t="str">
        <f t="shared" si="2"/>
        <v/>
      </c>
    </row>
    <row r="174" ht="18.0" customHeight="1">
      <c r="A174" s="134"/>
      <c r="B174" s="77"/>
      <c r="C174" s="77"/>
      <c r="D174" s="79"/>
      <c r="E174" s="77"/>
      <c r="F174" s="77"/>
      <c r="G174" s="118">
        <f t="shared" si="3"/>
        <v>0</v>
      </c>
      <c r="H174" s="81" t="str">
        <f t="shared" si="1"/>
        <v>—</v>
      </c>
      <c r="I174" s="81" t="str">
        <f t="shared" si="2"/>
        <v/>
      </c>
    </row>
    <row r="175" ht="18.0" customHeight="1">
      <c r="A175" s="132"/>
      <c r="B175" s="72"/>
      <c r="C175" s="72"/>
      <c r="D175" s="74"/>
      <c r="E175" s="72"/>
      <c r="F175" s="72"/>
      <c r="G175" s="114">
        <f t="shared" si="3"/>
        <v>0</v>
      </c>
      <c r="H175" s="76" t="str">
        <f t="shared" si="1"/>
        <v>—</v>
      </c>
      <c r="I175" s="76" t="str">
        <f t="shared" si="2"/>
        <v/>
      </c>
    </row>
    <row r="176" ht="18.0" customHeight="1">
      <c r="A176" s="134"/>
      <c r="B176" s="77"/>
      <c r="C176" s="77"/>
      <c r="D176" s="79"/>
      <c r="E176" s="77"/>
      <c r="F176" s="77"/>
      <c r="G176" s="118">
        <f t="shared" si="3"/>
        <v>0</v>
      </c>
      <c r="H176" s="81" t="str">
        <f t="shared" si="1"/>
        <v>—</v>
      </c>
      <c r="I176" s="81" t="str">
        <f t="shared" si="2"/>
        <v/>
      </c>
    </row>
    <row r="177" ht="18.0" customHeight="1">
      <c r="A177" s="132"/>
      <c r="B177" s="72"/>
      <c r="C177" s="72"/>
      <c r="D177" s="74"/>
      <c r="E177" s="72"/>
      <c r="F177" s="72"/>
      <c r="G177" s="114">
        <f t="shared" si="3"/>
        <v>0</v>
      </c>
      <c r="H177" s="76" t="str">
        <f t="shared" si="1"/>
        <v>—</v>
      </c>
      <c r="I177" s="76" t="str">
        <f t="shared" si="2"/>
        <v/>
      </c>
    </row>
    <row r="178" ht="18.0" customHeight="1">
      <c r="A178" s="134"/>
      <c r="B178" s="77"/>
      <c r="C178" s="77"/>
      <c r="D178" s="79"/>
      <c r="E178" s="77"/>
      <c r="F178" s="77"/>
      <c r="G178" s="118">
        <f t="shared" si="3"/>
        <v>0</v>
      </c>
      <c r="H178" s="81" t="str">
        <f t="shared" si="1"/>
        <v>—</v>
      </c>
      <c r="I178" s="81" t="str">
        <f t="shared" si="2"/>
        <v/>
      </c>
    </row>
    <row r="179" ht="18.0" customHeight="1">
      <c r="A179" s="132"/>
      <c r="B179" s="72"/>
      <c r="C179" s="72"/>
      <c r="D179" s="74"/>
      <c r="E179" s="72"/>
      <c r="F179" s="72"/>
      <c r="G179" s="114">
        <f t="shared" si="3"/>
        <v>0</v>
      </c>
      <c r="H179" s="76" t="str">
        <f t="shared" si="1"/>
        <v>—</v>
      </c>
      <c r="I179" s="76" t="str">
        <f t="shared" si="2"/>
        <v/>
      </c>
    </row>
    <row r="180" ht="18.0" customHeight="1">
      <c r="A180" s="134"/>
      <c r="B180" s="77"/>
      <c r="C180" s="77"/>
      <c r="D180" s="79"/>
      <c r="E180" s="77"/>
      <c r="F180" s="77"/>
      <c r="G180" s="118">
        <f t="shared" si="3"/>
        <v>0</v>
      </c>
      <c r="H180" s="81" t="str">
        <f t="shared" si="1"/>
        <v>—</v>
      </c>
      <c r="I180" s="81" t="str">
        <f t="shared" si="2"/>
        <v/>
      </c>
    </row>
    <row r="181" ht="18.0" customHeight="1">
      <c r="A181" s="132"/>
      <c r="B181" s="72"/>
      <c r="C181" s="72"/>
      <c r="D181" s="74"/>
      <c r="E181" s="72"/>
      <c r="F181" s="72"/>
      <c r="G181" s="114">
        <f t="shared" si="3"/>
        <v>0</v>
      </c>
      <c r="H181" s="76" t="str">
        <f t="shared" si="1"/>
        <v>—</v>
      </c>
      <c r="I181" s="76" t="str">
        <f t="shared" si="2"/>
        <v/>
      </c>
    </row>
    <row r="182" ht="18.0" customHeight="1">
      <c r="A182" s="134"/>
      <c r="B182" s="77"/>
      <c r="C182" s="77"/>
      <c r="D182" s="79"/>
      <c r="E182" s="77"/>
      <c r="F182" s="77"/>
      <c r="G182" s="118">
        <f t="shared" si="3"/>
        <v>0</v>
      </c>
      <c r="H182" s="81" t="str">
        <f t="shared" si="1"/>
        <v>—</v>
      </c>
      <c r="I182" s="81" t="str">
        <f t="shared" si="2"/>
        <v/>
      </c>
    </row>
    <row r="183" ht="18.0" customHeight="1">
      <c r="A183" s="132"/>
      <c r="B183" s="72"/>
      <c r="C183" s="72"/>
      <c r="D183" s="74"/>
      <c r="E183" s="72"/>
      <c r="F183" s="72"/>
      <c r="G183" s="114">
        <f t="shared" si="3"/>
        <v>0</v>
      </c>
      <c r="H183" s="76" t="str">
        <f t="shared" si="1"/>
        <v>—</v>
      </c>
      <c r="I183" s="76" t="str">
        <f t="shared" si="2"/>
        <v/>
      </c>
    </row>
    <row r="184" ht="18.0" customHeight="1">
      <c r="A184" s="134"/>
      <c r="B184" s="77"/>
      <c r="C184" s="77"/>
      <c r="D184" s="79"/>
      <c r="E184" s="77"/>
      <c r="F184" s="77"/>
      <c r="G184" s="118">
        <f t="shared" si="3"/>
        <v>0</v>
      </c>
      <c r="H184" s="81" t="str">
        <f t="shared" si="1"/>
        <v>—</v>
      </c>
      <c r="I184" s="81" t="str">
        <f t="shared" si="2"/>
        <v/>
      </c>
    </row>
    <row r="185" ht="18.0" customHeight="1">
      <c r="A185" s="132"/>
      <c r="B185" s="72"/>
      <c r="C185" s="72"/>
      <c r="D185" s="74"/>
      <c r="E185" s="72"/>
      <c r="F185" s="72"/>
      <c r="G185" s="114">
        <f t="shared" si="3"/>
        <v>0</v>
      </c>
      <c r="H185" s="76" t="str">
        <f t="shared" si="1"/>
        <v>—</v>
      </c>
      <c r="I185" s="76" t="str">
        <f t="shared" si="2"/>
        <v/>
      </c>
    </row>
    <row r="186" ht="18.0" customHeight="1">
      <c r="A186" s="134"/>
      <c r="B186" s="77"/>
      <c r="C186" s="77"/>
      <c r="D186" s="79"/>
      <c r="E186" s="77"/>
      <c r="F186" s="77"/>
      <c r="G186" s="118">
        <f t="shared" si="3"/>
        <v>0</v>
      </c>
      <c r="H186" s="81" t="str">
        <f t="shared" si="1"/>
        <v>—</v>
      </c>
      <c r="I186" s="81" t="str">
        <f t="shared" si="2"/>
        <v/>
      </c>
    </row>
    <row r="187" ht="18.0" customHeight="1">
      <c r="A187" s="132"/>
      <c r="B187" s="72"/>
      <c r="C187" s="72"/>
      <c r="D187" s="74"/>
      <c r="E187" s="72"/>
      <c r="F187" s="72"/>
      <c r="G187" s="114">
        <f t="shared" si="3"/>
        <v>0</v>
      </c>
      <c r="H187" s="76" t="str">
        <f t="shared" si="1"/>
        <v>—</v>
      </c>
      <c r="I187" s="76" t="str">
        <f t="shared" si="2"/>
        <v/>
      </c>
    </row>
    <row r="188" ht="18.0" customHeight="1">
      <c r="A188" s="134"/>
      <c r="B188" s="77"/>
      <c r="C188" s="77"/>
      <c r="D188" s="79"/>
      <c r="E188" s="77"/>
      <c r="F188" s="77"/>
      <c r="G188" s="118">
        <f t="shared" si="3"/>
        <v>0</v>
      </c>
      <c r="H188" s="81" t="str">
        <f t="shared" si="1"/>
        <v>—</v>
      </c>
      <c r="I188" s="81" t="str">
        <f t="shared" si="2"/>
        <v/>
      </c>
    </row>
    <row r="189" ht="18.0" customHeight="1">
      <c r="A189" s="132"/>
      <c r="B189" s="72"/>
      <c r="C189" s="72"/>
      <c r="D189" s="74"/>
      <c r="E189" s="72"/>
      <c r="F189" s="72"/>
      <c r="G189" s="114">
        <f t="shared" si="3"/>
        <v>0</v>
      </c>
      <c r="H189" s="76" t="str">
        <f t="shared" si="1"/>
        <v>—</v>
      </c>
      <c r="I189" s="76" t="str">
        <f t="shared" si="2"/>
        <v/>
      </c>
    </row>
    <row r="190" ht="18.0" customHeight="1">
      <c r="A190" s="134"/>
      <c r="B190" s="77"/>
      <c r="C190" s="77"/>
      <c r="D190" s="79"/>
      <c r="E190" s="77"/>
      <c r="F190" s="77"/>
      <c r="G190" s="118">
        <f t="shared" si="3"/>
        <v>0</v>
      </c>
      <c r="H190" s="81" t="str">
        <f t="shared" si="1"/>
        <v>—</v>
      </c>
      <c r="I190" s="81" t="str">
        <f t="shared" si="2"/>
        <v/>
      </c>
    </row>
    <row r="191" ht="18.0" customHeight="1">
      <c r="A191" s="132"/>
      <c r="B191" s="72"/>
      <c r="C191" s="72"/>
      <c r="D191" s="74"/>
      <c r="E191" s="72"/>
      <c r="F191" s="72"/>
      <c r="G191" s="114">
        <f t="shared" si="3"/>
        <v>0</v>
      </c>
      <c r="H191" s="76" t="str">
        <f t="shared" si="1"/>
        <v>—</v>
      </c>
      <c r="I191" s="76" t="str">
        <f t="shared" si="2"/>
        <v/>
      </c>
    </row>
    <row r="192" ht="18.0" customHeight="1">
      <c r="A192" s="134"/>
      <c r="B192" s="77"/>
      <c r="C192" s="77"/>
      <c r="D192" s="79"/>
      <c r="E192" s="77"/>
      <c r="F192" s="77"/>
      <c r="G192" s="118">
        <f t="shared" si="3"/>
        <v>0</v>
      </c>
      <c r="H192" s="81" t="str">
        <f t="shared" si="1"/>
        <v>—</v>
      </c>
      <c r="I192" s="81" t="str">
        <f t="shared" si="2"/>
        <v/>
      </c>
    </row>
    <row r="193" ht="18.0" customHeight="1">
      <c r="A193" s="132"/>
      <c r="B193" s="72"/>
      <c r="C193" s="72"/>
      <c r="D193" s="74"/>
      <c r="E193" s="72"/>
      <c r="F193" s="72"/>
      <c r="G193" s="114">
        <f t="shared" si="3"/>
        <v>0</v>
      </c>
      <c r="H193" s="76" t="str">
        <f t="shared" si="1"/>
        <v>—</v>
      </c>
      <c r="I193" s="76" t="str">
        <f t="shared" si="2"/>
        <v/>
      </c>
    </row>
    <row r="194" ht="18.0" customHeight="1">
      <c r="A194" s="134"/>
      <c r="B194" s="77"/>
      <c r="C194" s="77"/>
      <c r="D194" s="79"/>
      <c r="E194" s="77"/>
      <c r="F194" s="77"/>
      <c r="G194" s="118">
        <f t="shared" si="3"/>
        <v>0</v>
      </c>
      <c r="H194" s="81" t="str">
        <f t="shared" si="1"/>
        <v>—</v>
      </c>
      <c r="I194" s="81" t="str">
        <f t="shared" si="2"/>
        <v/>
      </c>
    </row>
    <row r="195" ht="18.0" customHeight="1">
      <c r="A195" s="132"/>
      <c r="B195" s="72"/>
      <c r="C195" s="72"/>
      <c r="D195" s="74"/>
      <c r="E195" s="72"/>
      <c r="F195" s="72"/>
      <c r="G195" s="114">
        <f t="shared" si="3"/>
        <v>0</v>
      </c>
      <c r="H195" s="76" t="str">
        <f t="shared" si="1"/>
        <v>—</v>
      </c>
      <c r="I195" s="76" t="str">
        <f t="shared" si="2"/>
        <v/>
      </c>
    </row>
    <row r="196" ht="18.0" customHeight="1">
      <c r="A196" s="134"/>
      <c r="B196" s="77"/>
      <c r="C196" s="77"/>
      <c r="D196" s="79"/>
      <c r="E196" s="77"/>
      <c r="F196" s="77"/>
      <c r="G196" s="118">
        <f t="shared" si="3"/>
        <v>0</v>
      </c>
      <c r="H196" s="81" t="str">
        <f t="shared" si="1"/>
        <v>—</v>
      </c>
      <c r="I196" s="81" t="str">
        <f t="shared" si="2"/>
        <v/>
      </c>
    </row>
    <row r="197" ht="18.0" customHeight="1">
      <c r="A197" s="132"/>
      <c r="B197" s="72"/>
      <c r="C197" s="72"/>
      <c r="D197" s="74"/>
      <c r="E197" s="72"/>
      <c r="F197" s="72"/>
      <c r="G197" s="114">
        <f t="shared" si="3"/>
        <v>0</v>
      </c>
      <c r="H197" s="76" t="str">
        <f t="shared" si="1"/>
        <v>—</v>
      </c>
      <c r="I197" s="76" t="str">
        <f t="shared" si="2"/>
        <v/>
      </c>
    </row>
    <row r="198" ht="18.0" customHeight="1">
      <c r="A198" s="134"/>
      <c r="B198" s="77"/>
      <c r="C198" s="77"/>
      <c r="D198" s="79"/>
      <c r="E198" s="77"/>
      <c r="F198" s="77"/>
      <c r="G198" s="118">
        <f t="shared" si="3"/>
        <v>0</v>
      </c>
      <c r="H198" s="81" t="str">
        <f t="shared" si="1"/>
        <v>—</v>
      </c>
      <c r="I198" s="81" t="str">
        <f t="shared" si="2"/>
        <v/>
      </c>
    </row>
    <row r="199" ht="18.0" customHeight="1">
      <c r="A199" s="132"/>
      <c r="B199" s="72"/>
      <c r="C199" s="72"/>
      <c r="D199" s="74"/>
      <c r="E199" s="72"/>
      <c r="F199" s="72"/>
      <c r="G199" s="114">
        <f t="shared" si="3"/>
        <v>0</v>
      </c>
      <c r="H199" s="76" t="str">
        <f t="shared" si="1"/>
        <v>—</v>
      </c>
      <c r="I199" s="76" t="str">
        <f t="shared" si="2"/>
        <v/>
      </c>
    </row>
    <row r="200" ht="18.0" customHeight="1">
      <c r="A200" s="134"/>
      <c r="B200" s="77"/>
      <c r="C200" s="77"/>
      <c r="D200" s="79"/>
      <c r="E200" s="77"/>
      <c r="F200" s="77"/>
      <c r="G200" s="118">
        <f t="shared" si="3"/>
        <v>0</v>
      </c>
      <c r="H200" s="81" t="str">
        <f t="shared" si="1"/>
        <v>—</v>
      </c>
      <c r="I200" s="81" t="str">
        <f t="shared" si="2"/>
        <v/>
      </c>
    </row>
    <row r="201" ht="18.0" customHeight="1">
      <c r="A201" s="132"/>
      <c r="B201" s="72"/>
      <c r="C201" s="72"/>
      <c r="D201" s="74"/>
      <c r="E201" s="72"/>
      <c r="F201" s="72"/>
      <c r="G201" s="114">
        <f t="shared" si="3"/>
        <v>0</v>
      </c>
      <c r="H201" s="76" t="str">
        <f t="shared" si="1"/>
        <v>—</v>
      </c>
      <c r="I201" s="76" t="str">
        <f t="shared" si="2"/>
        <v/>
      </c>
    </row>
    <row r="202" ht="18.0" customHeight="1">
      <c r="A202" s="134"/>
      <c r="B202" s="77"/>
      <c r="C202" s="77"/>
      <c r="D202" s="79"/>
      <c r="E202" s="77"/>
      <c r="F202" s="77"/>
      <c r="G202" s="118">
        <f t="shared" si="3"/>
        <v>0</v>
      </c>
      <c r="H202" s="81" t="str">
        <f t="shared" si="1"/>
        <v>—</v>
      </c>
      <c r="I202" s="81" t="str">
        <f t="shared" si="2"/>
        <v/>
      </c>
    </row>
    <row r="203" ht="18.0" customHeight="1">
      <c r="A203" s="132"/>
      <c r="B203" s="72"/>
      <c r="C203" s="72"/>
      <c r="D203" s="74"/>
      <c r="E203" s="72"/>
      <c r="F203" s="72"/>
      <c r="G203" s="114">
        <f t="shared" si="3"/>
        <v>0</v>
      </c>
      <c r="H203" s="76" t="str">
        <f t="shared" si="1"/>
        <v>—</v>
      </c>
      <c r="I203" s="76" t="str">
        <f t="shared" si="2"/>
        <v/>
      </c>
    </row>
    <row r="204" ht="18.0" customHeight="1">
      <c r="A204" s="134"/>
      <c r="B204" s="77"/>
      <c r="C204" s="77"/>
      <c r="D204" s="79"/>
      <c r="E204" s="77"/>
      <c r="F204" s="77"/>
      <c r="G204" s="118">
        <f t="shared" si="3"/>
        <v>0</v>
      </c>
      <c r="H204" s="81" t="str">
        <f t="shared" si="1"/>
        <v>—</v>
      </c>
      <c r="I204" s="81" t="str">
        <f t="shared" si="2"/>
        <v/>
      </c>
    </row>
    <row r="205" ht="18.0" customHeight="1">
      <c r="A205" s="132"/>
      <c r="B205" s="72"/>
      <c r="C205" s="72"/>
      <c r="D205" s="74"/>
      <c r="E205" s="72"/>
      <c r="F205" s="72"/>
      <c r="G205" s="114">
        <f t="shared" si="3"/>
        <v>0</v>
      </c>
      <c r="H205" s="76" t="str">
        <f t="shared" si="1"/>
        <v>—</v>
      </c>
      <c r="I205" s="76" t="str">
        <f t="shared" si="2"/>
        <v/>
      </c>
    </row>
    <row r="206" ht="18.0" customHeight="1">
      <c r="A206" s="134"/>
      <c r="B206" s="77"/>
      <c r="C206" s="77"/>
      <c r="D206" s="79"/>
      <c r="E206" s="77"/>
      <c r="F206" s="77"/>
      <c r="G206" s="118">
        <f t="shared" si="3"/>
        <v>0</v>
      </c>
      <c r="H206" s="81" t="str">
        <f t="shared" si="1"/>
        <v>—</v>
      </c>
      <c r="I206" s="81" t="str">
        <f t="shared" si="2"/>
        <v/>
      </c>
    </row>
    <row r="207" ht="18.0" customHeight="1">
      <c r="A207" s="132"/>
      <c r="B207" s="72"/>
      <c r="C207" s="72"/>
      <c r="D207" s="74"/>
      <c r="E207" s="72"/>
      <c r="F207" s="72"/>
      <c r="G207" s="114">
        <f t="shared" si="3"/>
        <v>0</v>
      </c>
      <c r="H207" s="76" t="str">
        <f t="shared" si="1"/>
        <v>—</v>
      </c>
      <c r="I207" s="76" t="str">
        <f t="shared" si="2"/>
        <v/>
      </c>
    </row>
    <row r="208" ht="18.0" customHeight="1">
      <c r="A208" s="134"/>
      <c r="B208" s="77"/>
      <c r="C208" s="77"/>
      <c r="D208" s="79"/>
      <c r="E208" s="77"/>
      <c r="F208" s="77"/>
      <c r="G208" s="118">
        <f t="shared" si="3"/>
        <v>0</v>
      </c>
      <c r="H208" s="81" t="str">
        <f t="shared" si="1"/>
        <v>—</v>
      </c>
      <c r="I208" s="81" t="str">
        <f t="shared" si="2"/>
        <v/>
      </c>
    </row>
    <row r="209" ht="18.0" customHeight="1">
      <c r="A209" s="132"/>
      <c r="B209" s="72"/>
      <c r="C209" s="72"/>
      <c r="D209" s="74"/>
      <c r="E209" s="72"/>
      <c r="F209" s="72"/>
      <c r="G209" s="114">
        <f t="shared" si="3"/>
        <v>0</v>
      </c>
      <c r="H209" s="76" t="str">
        <f t="shared" si="1"/>
        <v>—</v>
      </c>
      <c r="I209" s="76" t="str">
        <f t="shared" si="2"/>
        <v/>
      </c>
    </row>
    <row r="210" ht="18.0" customHeight="1">
      <c r="A210" s="134"/>
      <c r="B210" s="77"/>
      <c r="C210" s="77"/>
      <c r="D210" s="79"/>
      <c r="E210" s="77"/>
      <c r="F210" s="77"/>
      <c r="G210" s="118">
        <f t="shared" si="3"/>
        <v>0</v>
      </c>
      <c r="H210" s="81" t="str">
        <f t="shared" si="1"/>
        <v>—</v>
      </c>
      <c r="I210" s="81" t="str">
        <f t="shared" si="2"/>
        <v/>
      </c>
    </row>
    <row r="211" ht="18.0" customHeight="1">
      <c r="A211" s="132"/>
      <c r="B211" s="72"/>
      <c r="C211" s="72"/>
      <c r="D211" s="74"/>
      <c r="E211" s="72"/>
      <c r="F211" s="72"/>
      <c r="G211" s="114">
        <f t="shared" si="3"/>
        <v>0</v>
      </c>
      <c r="H211" s="76" t="str">
        <f t="shared" si="1"/>
        <v>—</v>
      </c>
      <c r="I211" s="76" t="str">
        <f t="shared" si="2"/>
        <v/>
      </c>
    </row>
    <row r="212" ht="18.0" customHeight="1">
      <c r="A212" s="134"/>
      <c r="B212" s="77"/>
      <c r="C212" s="77"/>
      <c r="D212" s="79"/>
      <c r="E212" s="77"/>
      <c r="F212" s="77"/>
      <c r="G212" s="118">
        <f t="shared" si="3"/>
        <v>0</v>
      </c>
      <c r="H212" s="81" t="str">
        <f t="shared" si="1"/>
        <v>—</v>
      </c>
      <c r="I212" s="81" t="str">
        <f t="shared" si="2"/>
        <v/>
      </c>
    </row>
    <row r="213" ht="18.0" customHeight="1">
      <c r="A213" s="132"/>
      <c r="B213" s="72"/>
      <c r="C213" s="72"/>
      <c r="D213" s="74"/>
      <c r="E213" s="72"/>
      <c r="F213" s="72"/>
      <c r="G213" s="114">
        <f t="shared" si="3"/>
        <v>0</v>
      </c>
      <c r="H213" s="76" t="str">
        <f t="shared" si="1"/>
        <v>—</v>
      </c>
      <c r="I213" s="76" t="str">
        <f t="shared" si="2"/>
        <v/>
      </c>
    </row>
    <row r="214" ht="18.0" customHeight="1">
      <c r="A214" s="134"/>
      <c r="B214" s="77"/>
      <c r="C214" s="77"/>
      <c r="D214" s="79"/>
      <c r="E214" s="77"/>
      <c r="F214" s="77"/>
      <c r="G214" s="118">
        <f t="shared" si="3"/>
        <v>0</v>
      </c>
      <c r="H214" s="81" t="str">
        <f t="shared" si="1"/>
        <v>—</v>
      </c>
      <c r="I214" s="81" t="str">
        <f t="shared" si="2"/>
        <v/>
      </c>
    </row>
    <row r="215" ht="18.0" customHeight="1">
      <c r="A215" s="132"/>
      <c r="B215" s="72"/>
      <c r="C215" s="72"/>
      <c r="D215" s="74"/>
      <c r="E215" s="72"/>
      <c r="F215" s="72"/>
      <c r="G215" s="114">
        <f t="shared" si="3"/>
        <v>0</v>
      </c>
      <c r="H215" s="76" t="str">
        <f t="shared" si="1"/>
        <v>—</v>
      </c>
      <c r="I215" s="76" t="str">
        <f t="shared" si="2"/>
        <v/>
      </c>
    </row>
    <row r="216" ht="18.0" customHeight="1">
      <c r="A216" s="134"/>
      <c r="B216" s="77"/>
      <c r="C216" s="77"/>
      <c r="D216" s="79"/>
      <c r="E216" s="77"/>
      <c r="F216" s="77"/>
      <c r="G216" s="118">
        <f t="shared" si="3"/>
        <v>0</v>
      </c>
      <c r="H216" s="81" t="str">
        <f t="shared" si="1"/>
        <v>—</v>
      </c>
      <c r="I216" s="81" t="str">
        <f t="shared" si="2"/>
        <v/>
      </c>
    </row>
    <row r="217" ht="18.0" customHeight="1">
      <c r="A217" s="132"/>
      <c r="B217" s="72"/>
      <c r="C217" s="72"/>
      <c r="D217" s="74"/>
      <c r="E217" s="72"/>
      <c r="F217" s="72"/>
      <c r="G217" s="114">
        <f t="shared" si="3"/>
        <v>0</v>
      </c>
      <c r="H217" s="76" t="str">
        <f t="shared" si="1"/>
        <v>—</v>
      </c>
      <c r="I217" s="76" t="str">
        <f t="shared" si="2"/>
        <v/>
      </c>
    </row>
    <row r="218" ht="18.0" customHeight="1">
      <c r="A218" s="134"/>
      <c r="B218" s="77"/>
      <c r="C218" s="77"/>
      <c r="D218" s="79"/>
      <c r="E218" s="77"/>
      <c r="F218" s="77"/>
      <c r="G218" s="118">
        <f t="shared" si="3"/>
        <v>0</v>
      </c>
      <c r="H218" s="81" t="str">
        <f t="shared" si="1"/>
        <v>—</v>
      </c>
      <c r="I218" s="81" t="str">
        <f t="shared" si="2"/>
        <v/>
      </c>
    </row>
    <row r="219" ht="18.0" customHeight="1">
      <c r="A219" s="132"/>
      <c r="B219" s="72"/>
      <c r="C219" s="72"/>
      <c r="D219" s="74"/>
      <c r="E219" s="72"/>
      <c r="F219" s="72"/>
      <c r="G219" s="114">
        <f t="shared" si="3"/>
        <v>0</v>
      </c>
      <c r="H219" s="76" t="str">
        <f t="shared" si="1"/>
        <v>—</v>
      </c>
      <c r="I219" s="76" t="str">
        <f t="shared" si="2"/>
        <v/>
      </c>
    </row>
    <row r="220" ht="18.0" customHeight="1">
      <c r="A220" s="134"/>
      <c r="B220" s="77"/>
      <c r="C220" s="77"/>
      <c r="D220" s="79"/>
      <c r="E220" s="77"/>
      <c r="F220" s="77"/>
      <c r="G220" s="118">
        <f t="shared" si="3"/>
        <v>0</v>
      </c>
      <c r="H220" s="81" t="str">
        <f t="shared" si="1"/>
        <v>—</v>
      </c>
      <c r="I220" s="81" t="str">
        <f t="shared" si="2"/>
        <v/>
      </c>
    </row>
    <row r="221" ht="18.0" customHeight="1">
      <c r="A221" s="132"/>
      <c r="B221" s="72"/>
      <c r="C221" s="72"/>
      <c r="D221" s="74"/>
      <c r="E221" s="72"/>
      <c r="F221" s="72"/>
      <c r="G221" s="114">
        <f t="shared" si="3"/>
        <v>0</v>
      </c>
      <c r="H221" s="76" t="str">
        <f t="shared" si="1"/>
        <v>—</v>
      </c>
      <c r="I221" s="76" t="str">
        <f t="shared" si="2"/>
        <v/>
      </c>
    </row>
    <row r="222" ht="18.0" customHeight="1">
      <c r="A222" s="134"/>
      <c r="B222" s="77"/>
      <c r="C222" s="77"/>
      <c r="D222" s="79"/>
      <c r="E222" s="77"/>
      <c r="F222" s="77"/>
      <c r="G222" s="118">
        <f t="shared" si="3"/>
        <v>0</v>
      </c>
      <c r="H222" s="81" t="str">
        <f t="shared" si="1"/>
        <v>—</v>
      </c>
      <c r="I222" s="81" t="str">
        <f t="shared" si="2"/>
        <v/>
      </c>
    </row>
    <row r="223" ht="18.0" customHeight="1">
      <c r="A223" s="132"/>
      <c r="B223" s="72"/>
      <c r="C223" s="72"/>
      <c r="D223" s="74"/>
      <c r="E223" s="72"/>
      <c r="F223" s="72"/>
      <c r="G223" s="114">
        <f t="shared" si="3"/>
        <v>0</v>
      </c>
      <c r="H223" s="76" t="str">
        <f t="shared" si="1"/>
        <v>—</v>
      </c>
      <c r="I223" s="76" t="str">
        <f t="shared" si="2"/>
        <v/>
      </c>
    </row>
    <row r="224" ht="18.0" customHeight="1">
      <c r="A224" s="134"/>
      <c r="B224" s="77"/>
      <c r="C224" s="77"/>
      <c r="D224" s="79"/>
      <c r="E224" s="77"/>
      <c r="F224" s="77"/>
      <c r="G224" s="118">
        <f t="shared" si="3"/>
        <v>0</v>
      </c>
      <c r="H224" s="81" t="str">
        <f t="shared" si="1"/>
        <v>—</v>
      </c>
      <c r="I224" s="81" t="str">
        <f t="shared" si="2"/>
        <v/>
      </c>
    </row>
    <row r="225" ht="18.0" customHeight="1">
      <c r="A225" s="132"/>
      <c r="B225" s="72"/>
      <c r="C225" s="72"/>
      <c r="D225" s="74"/>
      <c r="E225" s="72"/>
      <c r="F225" s="72"/>
      <c r="G225" s="114">
        <f t="shared" si="3"/>
        <v>0</v>
      </c>
      <c r="H225" s="76" t="str">
        <f t="shared" si="1"/>
        <v>—</v>
      </c>
      <c r="I225" s="76" t="str">
        <f t="shared" si="2"/>
        <v/>
      </c>
    </row>
    <row r="226" ht="18.0" customHeight="1">
      <c r="A226" s="134"/>
      <c r="B226" s="77"/>
      <c r="C226" s="77"/>
      <c r="D226" s="79"/>
      <c r="E226" s="77"/>
      <c r="F226" s="77"/>
      <c r="G226" s="118">
        <f t="shared" si="3"/>
        <v>0</v>
      </c>
      <c r="H226" s="81" t="str">
        <f t="shared" si="1"/>
        <v>—</v>
      </c>
      <c r="I226" s="81" t="str">
        <f t="shared" si="2"/>
        <v/>
      </c>
    </row>
    <row r="227" ht="18.0" customHeight="1">
      <c r="A227" s="132"/>
      <c r="B227" s="72"/>
      <c r="C227" s="72"/>
      <c r="D227" s="74"/>
      <c r="E227" s="72"/>
      <c r="F227" s="72"/>
      <c r="G227" s="114">
        <f t="shared" si="3"/>
        <v>0</v>
      </c>
      <c r="H227" s="76" t="str">
        <f t="shared" si="1"/>
        <v>—</v>
      </c>
      <c r="I227" s="76" t="str">
        <f t="shared" si="2"/>
        <v/>
      </c>
    </row>
    <row r="228" ht="18.0" customHeight="1">
      <c r="A228" s="134"/>
      <c r="B228" s="77"/>
      <c r="C228" s="77"/>
      <c r="D228" s="79"/>
      <c r="E228" s="77"/>
      <c r="F228" s="77"/>
      <c r="G228" s="118">
        <f t="shared" si="3"/>
        <v>0</v>
      </c>
      <c r="H228" s="81" t="str">
        <f t="shared" si="1"/>
        <v>—</v>
      </c>
      <c r="I228" s="81" t="str">
        <f t="shared" si="2"/>
        <v/>
      </c>
    </row>
    <row r="229" ht="18.0" customHeight="1">
      <c r="A229" s="132"/>
      <c r="B229" s="72"/>
      <c r="C229" s="72"/>
      <c r="D229" s="74"/>
      <c r="E229" s="72"/>
      <c r="F229" s="72"/>
      <c r="G229" s="114">
        <f t="shared" si="3"/>
        <v>0</v>
      </c>
      <c r="H229" s="76" t="str">
        <f t="shared" si="1"/>
        <v>—</v>
      </c>
      <c r="I229" s="76" t="str">
        <f t="shared" si="2"/>
        <v/>
      </c>
    </row>
    <row r="230" ht="18.0" customHeight="1">
      <c r="A230" s="134"/>
      <c r="B230" s="77"/>
      <c r="C230" s="77"/>
      <c r="D230" s="79"/>
      <c r="E230" s="77"/>
      <c r="F230" s="77"/>
      <c r="G230" s="118">
        <f t="shared" si="3"/>
        <v>0</v>
      </c>
      <c r="H230" s="81" t="str">
        <f t="shared" si="1"/>
        <v>—</v>
      </c>
      <c r="I230" s="81" t="str">
        <f t="shared" si="2"/>
        <v/>
      </c>
    </row>
    <row r="231" ht="18.0" customHeight="1">
      <c r="A231" s="132"/>
      <c r="B231" s="72"/>
      <c r="C231" s="72"/>
      <c r="D231" s="74"/>
      <c r="E231" s="72"/>
      <c r="F231" s="72"/>
      <c r="G231" s="114">
        <f t="shared" si="3"/>
        <v>0</v>
      </c>
      <c r="H231" s="76" t="str">
        <f t="shared" si="1"/>
        <v>—</v>
      </c>
      <c r="I231" s="76" t="str">
        <f t="shared" si="2"/>
        <v/>
      </c>
    </row>
    <row r="232" ht="18.0" customHeight="1">
      <c r="A232" s="134"/>
      <c r="B232" s="77"/>
      <c r="C232" s="77"/>
      <c r="D232" s="79"/>
      <c r="E232" s="77"/>
      <c r="F232" s="77"/>
      <c r="G232" s="118">
        <f t="shared" si="3"/>
        <v>0</v>
      </c>
      <c r="H232" s="81" t="str">
        <f t="shared" si="1"/>
        <v>—</v>
      </c>
      <c r="I232" s="81" t="str">
        <f t="shared" si="2"/>
        <v/>
      </c>
    </row>
    <row r="233" ht="18.0" customHeight="1">
      <c r="A233" s="132"/>
      <c r="B233" s="72"/>
      <c r="C233" s="72"/>
      <c r="D233" s="74"/>
      <c r="E233" s="72"/>
      <c r="F233" s="72"/>
      <c r="G233" s="114">
        <f t="shared" si="3"/>
        <v>0</v>
      </c>
      <c r="H233" s="76" t="str">
        <f t="shared" si="1"/>
        <v>—</v>
      </c>
      <c r="I233" s="76" t="str">
        <f t="shared" si="2"/>
        <v/>
      </c>
    </row>
    <row r="234" ht="18.0" customHeight="1">
      <c r="A234" s="134"/>
      <c r="B234" s="77"/>
      <c r="C234" s="77"/>
      <c r="D234" s="79"/>
      <c r="E234" s="77"/>
      <c r="F234" s="77"/>
      <c r="G234" s="118">
        <f t="shared" si="3"/>
        <v>0</v>
      </c>
      <c r="H234" s="81" t="str">
        <f t="shared" si="1"/>
        <v>—</v>
      </c>
      <c r="I234" s="81" t="str">
        <f t="shared" si="2"/>
        <v/>
      </c>
    </row>
    <row r="235" ht="18.0" customHeight="1">
      <c r="A235" s="132"/>
      <c r="B235" s="72"/>
      <c r="C235" s="72"/>
      <c r="D235" s="74"/>
      <c r="E235" s="72"/>
      <c r="F235" s="72"/>
      <c r="G235" s="114">
        <f t="shared" si="3"/>
        <v>0</v>
      </c>
      <c r="H235" s="76" t="str">
        <f t="shared" si="1"/>
        <v>—</v>
      </c>
      <c r="I235" s="76" t="str">
        <f t="shared" si="2"/>
        <v/>
      </c>
    </row>
    <row r="236" ht="18.0" customHeight="1">
      <c r="A236" s="134"/>
      <c r="B236" s="77"/>
      <c r="C236" s="77"/>
      <c r="D236" s="79"/>
      <c r="E236" s="77"/>
      <c r="F236" s="77"/>
      <c r="G236" s="118">
        <f t="shared" si="3"/>
        <v>0</v>
      </c>
      <c r="H236" s="81" t="str">
        <f t="shared" si="1"/>
        <v>—</v>
      </c>
      <c r="I236" s="81" t="str">
        <f t="shared" si="2"/>
        <v/>
      </c>
    </row>
    <row r="237" ht="18.0" customHeight="1">
      <c r="A237" s="132"/>
      <c r="B237" s="72"/>
      <c r="C237" s="72"/>
      <c r="D237" s="74"/>
      <c r="E237" s="72"/>
      <c r="F237" s="72"/>
      <c r="G237" s="114">
        <f t="shared" si="3"/>
        <v>0</v>
      </c>
      <c r="H237" s="76" t="str">
        <f t="shared" si="1"/>
        <v>—</v>
      </c>
      <c r="I237" s="76" t="str">
        <f t="shared" si="2"/>
        <v/>
      </c>
    </row>
    <row r="238" ht="18.0" customHeight="1">
      <c r="A238" s="134"/>
      <c r="B238" s="77"/>
      <c r="C238" s="77"/>
      <c r="D238" s="79"/>
      <c r="E238" s="77"/>
      <c r="F238" s="77"/>
      <c r="G238" s="118">
        <f t="shared" si="3"/>
        <v>0</v>
      </c>
      <c r="H238" s="81" t="str">
        <f t="shared" si="1"/>
        <v>—</v>
      </c>
      <c r="I238" s="81" t="str">
        <f t="shared" si="2"/>
        <v/>
      </c>
    </row>
    <row r="239" ht="18.0" customHeight="1">
      <c r="A239" s="132"/>
      <c r="B239" s="72"/>
      <c r="C239" s="72"/>
      <c r="D239" s="74"/>
      <c r="E239" s="72"/>
      <c r="F239" s="72"/>
      <c r="G239" s="114">
        <f t="shared" si="3"/>
        <v>0</v>
      </c>
      <c r="H239" s="76" t="str">
        <f t="shared" si="1"/>
        <v>—</v>
      </c>
      <c r="I239" s="76" t="str">
        <f t="shared" si="2"/>
        <v/>
      </c>
    </row>
    <row r="240" ht="18.0" customHeight="1">
      <c r="A240" s="134"/>
      <c r="B240" s="77"/>
      <c r="C240" s="77"/>
      <c r="D240" s="79"/>
      <c r="E240" s="77"/>
      <c r="F240" s="77"/>
      <c r="G240" s="118">
        <f t="shared" si="3"/>
        <v>0</v>
      </c>
      <c r="H240" s="81" t="str">
        <f t="shared" si="1"/>
        <v>—</v>
      </c>
      <c r="I240" s="81" t="str">
        <f t="shared" si="2"/>
        <v/>
      </c>
    </row>
    <row r="241" ht="18.0" customHeight="1">
      <c r="A241" s="132"/>
      <c r="B241" s="72"/>
      <c r="C241" s="72"/>
      <c r="D241" s="74"/>
      <c r="E241" s="72"/>
      <c r="F241" s="72"/>
      <c r="G241" s="114">
        <f t="shared" si="3"/>
        <v>0</v>
      </c>
      <c r="H241" s="76" t="str">
        <f t="shared" si="1"/>
        <v>—</v>
      </c>
      <c r="I241" s="76" t="str">
        <f t="shared" si="2"/>
        <v/>
      </c>
    </row>
    <row r="242" ht="18.0" customHeight="1">
      <c r="A242" s="134"/>
      <c r="B242" s="77"/>
      <c r="C242" s="77"/>
      <c r="D242" s="79"/>
      <c r="E242" s="77"/>
      <c r="F242" s="77"/>
      <c r="G242" s="118">
        <f t="shared" si="3"/>
        <v>0</v>
      </c>
      <c r="H242" s="81" t="str">
        <f t="shared" si="1"/>
        <v>—</v>
      </c>
      <c r="I242" s="81" t="str">
        <f t="shared" si="2"/>
        <v/>
      </c>
    </row>
    <row r="243" ht="18.0" customHeight="1">
      <c r="A243" s="132"/>
      <c r="B243" s="72"/>
      <c r="C243" s="72"/>
      <c r="D243" s="74"/>
      <c r="E243" s="72"/>
      <c r="F243" s="72"/>
      <c r="G243" s="114">
        <f t="shared" si="3"/>
        <v>0</v>
      </c>
      <c r="H243" s="76" t="str">
        <f t="shared" si="1"/>
        <v>—</v>
      </c>
      <c r="I243" s="76" t="str">
        <f t="shared" si="2"/>
        <v/>
      </c>
    </row>
    <row r="244" ht="18.0" customHeight="1">
      <c r="A244" s="134"/>
      <c r="B244" s="77"/>
      <c r="C244" s="77"/>
      <c r="D244" s="79"/>
      <c r="E244" s="77"/>
      <c r="F244" s="77"/>
      <c r="G244" s="118">
        <f t="shared" si="3"/>
        <v>0</v>
      </c>
      <c r="H244" s="81" t="str">
        <f t="shared" si="1"/>
        <v>—</v>
      </c>
      <c r="I244" s="81" t="str">
        <f t="shared" si="2"/>
        <v/>
      </c>
    </row>
    <row r="245" ht="18.0" customHeight="1">
      <c r="A245" s="132"/>
      <c r="B245" s="72"/>
      <c r="C245" s="72"/>
      <c r="D245" s="74"/>
      <c r="E245" s="72"/>
      <c r="F245" s="72"/>
      <c r="G245" s="114">
        <f t="shared" si="3"/>
        <v>0</v>
      </c>
      <c r="H245" s="76" t="str">
        <f t="shared" si="1"/>
        <v>—</v>
      </c>
      <c r="I245" s="76" t="str">
        <f t="shared" si="2"/>
        <v/>
      </c>
    </row>
    <row r="246" ht="18.0" customHeight="1">
      <c r="A246" s="134"/>
      <c r="B246" s="77"/>
      <c r="C246" s="77"/>
      <c r="D246" s="79"/>
      <c r="E246" s="77"/>
      <c r="F246" s="77"/>
      <c r="G246" s="118">
        <f t="shared" si="3"/>
        <v>0</v>
      </c>
      <c r="H246" s="81" t="str">
        <f t="shared" si="1"/>
        <v>—</v>
      </c>
      <c r="I246" s="81" t="str">
        <f t="shared" si="2"/>
        <v/>
      </c>
    </row>
    <row r="247" ht="18.0" customHeight="1">
      <c r="A247" s="132"/>
      <c r="B247" s="72"/>
      <c r="C247" s="72"/>
      <c r="D247" s="74"/>
      <c r="E247" s="72"/>
      <c r="F247" s="72"/>
      <c r="G247" s="114">
        <f t="shared" si="3"/>
        <v>0</v>
      </c>
      <c r="H247" s="76" t="str">
        <f t="shared" si="1"/>
        <v>—</v>
      </c>
      <c r="I247" s="76" t="str">
        <f t="shared" si="2"/>
        <v/>
      </c>
    </row>
    <row r="248" ht="18.0" customHeight="1">
      <c r="A248" s="134"/>
      <c r="B248" s="77"/>
      <c r="C248" s="77"/>
      <c r="D248" s="79"/>
      <c r="E248" s="77"/>
      <c r="F248" s="77"/>
      <c r="G248" s="118">
        <f t="shared" si="3"/>
        <v>0</v>
      </c>
      <c r="H248" s="81" t="str">
        <f t="shared" si="1"/>
        <v>—</v>
      </c>
      <c r="I248" s="81" t="str">
        <f t="shared" si="2"/>
        <v/>
      </c>
    </row>
    <row r="249" ht="18.0" customHeight="1">
      <c r="A249" s="132"/>
      <c r="B249" s="72"/>
      <c r="C249" s="72"/>
      <c r="D249" s="74"/>
      <c r="E249" s="72"/>
      <c r="F249" s="72"/>
      <c r="G249" s="114">
        <f t="shared" si="3"/>
        <v>0</v>
      </c>
      <c r="H249" s="76" t="str">
        <f t="shared" si="1"/>
        <v>—</v>
      </c>
      <c r="I249" s="76" t="str">
        <f t="shared" si="2"/>
        <v/>
      </c>
    </row>
    <row r="250" ht="18.0" customHeight="1">
      <c r="A250" s="134"/>
      <c r="B250" s="77"/>
      <c r="C250" s="77"/>
      <c r="D250" s="79"/>
      <c r="E250" s="77"/>
      <c r="F250" s="77"/>
      <c r="G250" s="118">
        <f t="shared" si="3"/>
        <v>0</v>
      </c>
      <c r="H250" s="81" t="str">
        <f t="shared" si="1"/>
        <v>—</v>
      </c>
      <c r="I250" s="81" t="str">
        <f t="shared" si="2"/>
        <v/>
      </c>
    </row>
    <row r="251" ht="18.0" customHeight="1">
      <c r="A251" s="132"/>
      <c r="B251" s="72"/>
      <c r="C251" s="72"/>
      <c r="D251" s="74"/>
      <c r="E251" s="72"/>
      <c r="F251" s="72"/>
      <c r="G251" s="114">
        <f t="shared" si="3"/>
        <v>0</v>
      </c>
      <c r="H251" s="76" t="str">
        <f t="shared" si="1"/>
        <v>—</v>
      </c>
      <c r="I251" s="76" t="str">
        <f t="shared" si="2"/>
        <v/>
      </c>
    </row>
    <row r="252" ht="18.0" customHeight="1">
      <c r="A252" s="134"/>
      <c r="B252" s="77"/>
      <c r="C252" s="77"/>
      <c r="D252" s="79"/>
      <c r="E252" s="77"/>
      <c r="F252" s="77"/>
      <c r="G252" s="118">
        <f t="shared" si="3"/>
        <v>0</v>
      </c>
      <c r="H252" s="81" t="str">
        <f t="shared" si="1"/>
        <v>—</v>
      </c>
      <c r="I252" s="81" t="str">
        <f t="shared" si="2"/>
        <v/>
      </c>
    </row>
    <row r="253" ht="18.0" customHeight="1">
      <c r="A253" s="132"/>
      <c r="B253" s="72"/>
      <c r="C253" s="72"/>
      <c r="D253" s="74"/>
      <c r="E253" s="72"/>
      <c r="F253" s="72"/>
      <c r="G253" s="114">
        <f t="shared" si="3"/>
        <v>0</v>
      </c>
      <c r="H253" s="76" t="str">
        <f t="shared" si="1"/>
        <v>—</v>
      </c>
      <c r="I253" s="76" t="str">
        <f t="shared" si="2"/>
        <v/>
      </c>
    </row>
    <row r="254" ht="18.0" customHeight="1">
      <c r="A254" s="134"/>
      <c r="B254" s="77"/>
      <c r="C254" s="77"/>
      <c r="D254" s="79"/>
      <c r="E254" s="77"/>
      <c r="F254" s="77"/>
      <c r="G254" s="118">
        <f t="shared" si="3"/>
        <v>0</v>
      </c>
      <c r="H254" s="81" t="str">
        <f t="shared" si="1"/>
        <v>—</v>
      </c>
      <c r="I254" s="81" t="str">
        <f t="shared" si="2"/>
        <v/>
      </c>
    </row>
    <row r="255" ht="18.0" customHeight="1">
      <c r="A255" s="132"/>
      <c r="B255" s="72"/>
      <c r="C255" s="72"/>
      <c r="D255" s="74"/>
      <c r="E255" s="72"/>
      <c r="F255" s="72"/>
      <c r="G255" s="114">
        <f t="shared" si="3"/>
        <v>0</v>
      </c>
      <c r="H255" s="76" t="str">
        <f t="shared" si="1"/>
        <v>—</v>
      </c>
      <c r="I255" s="76" t="str">
        <f t="shared" si="2"/>
        <v/>
      </c>
    </row>
    <row r="256" ht="18.0" customHeight="1">
      <c r="A256" s="134"/>
      <c r="B256" s="77"/>
      <c r="C256" s="77"/>
      <c r="D256" s="79"/>
      <c r="E256" s="77"/>
      <c r="F256" s="77"/>
      <c r="G256" s="118">
        <f t="shared" si="3"/>
        <v>0</v>
      </c>
      <c r="H256" s="81" t="str">
        <f t="shared" si="1"/>
        <v>—</v>
      </c>
      <c r="I256" s="81" t="str">
        <f t="shared" si="2"/>
        <v/>
      </c>
    </row>
    <row r="257" ht="18.0" customHeight="1">
      <c r="A257" s="132"/>
      <c r="B257" s="72"/>
      <c r="C257" s="72"/>
      <c r="D257" s="74"/>
      <c r="E257" s="72"/>
      <c r="F257" s="72"/>
      <c r="G257" s="114">
        <f t="shared" si="3"/>
        <v>0</v>
      </c>
      <c r="H257" s="76" t="str">
        <f t="shared" si="1"/>
        <v>—</v>
      </c>
      <c r="I257" s="76" t="str">
        <f t="shared" si="2"/>
        <v/>
      </c>
    </row>
    <row r="258" ht="18.0" customHeight="1">
      <c r="A258" s="134"/>
      <c r="B258" s="77"/>
      <c r="C258" s="77"/>
      <c r="D258" s="79"/>
      <c r="E258" s="77"/>
      <c r="F258" s="77"/>
      <c r="G258" s="118">
        <f t="shared" si="3"/>
        <v>0</v>
      </c>
      <c r="H258" s="81" t="str">
        <f t="shared" si="1"/>
        <v>—</v>
      </c>
      <c r="I258" s="81" t="str">
        <f t="shared" si="2"/>
        <v/>
      </c>
    </row>
    <row r="259" ht="18.0" customHeight="1">
      <c r="A259" s="132"/>
      <c r="B259" s="72"/>
      <c r="C259" s="72"/>
      <c r="D259" s="74"/>
      <c r="E259" s="72"/>
      <c r="F259" s="72"/>
      <c r="G259" s="114">
        <f t="shared" si="3"/>
        <v>0</v>
      </c>
      <c r="H259" s="76" t="str">
        <f t="shared" si="1"/>
        <v>—</v>
      </c>
      <c r="I259" s="76" t="str">
        <f t="shared" si="2"/>
        <v/>
      </c>
    </row>
    <row r="260" ht="18.0" customHeight="1">
      <c r="A260" s="134"/>
      <c r="B260" s="77"/>
      <c r="C260" s="77"/>
      <c r="D260" s="79"/>
      <c r="E260" s="77"/>
      <c r="F260" s="77"/>
      <c r="G260" s="118">
        <f t="shared" si="3"/>
        <v>0</v>
      </c>
      <c r="H260" s="81" t="str">
        <f t="shared" si="1"/>
        <v>—</v>
      </c>
      <c r="I260" s="81" t="str">
        <f t="shared" si="2"/>
        <v/>
      </c>
    </row>
    <row r="261" ht="18.0" customHeight="1">
      <c r="A261" s="132"/>
      <c r="B261" s="72"/>
      <c r="C261" s="72"/>
      <c r="D261" s="74"/>
      <c r="E261" s="72"/>
      <c r="F261" s="72"/>
      <c r="G261" s="114">
        <f t="shared" si="3"/>
        <v>0</v>
      </c>
      <c r="H261" s="76" t="str">
        <f t="shared" si="1"/>
        <v>—</v>
      </c>
      <c r="I261" s="76" t="str">
        <f t="shared" si="2"/>
        <v/>
      </c>
    </row>
    <row r="262" ht="18.0" customHeight="1">
      <c r="A262" s="134"/>
      <c r="B262" s="77"/>
      <c r="C262" s="77"/>
      <c r="D262" s="79"/>
      <c r="E262" s="77"/>
      <c r="F262" s="77"/>
      <c r="G262" s="118">
        <f t="shared" si="3"/>
        <v>0</v>
      </c>
      <c r="H262" s="81" t="str">
        <f t="shared" si="1"/>
        <v>—</v>
      </c>
      <c r="I262" s="81" t="str">
        <f t="shared" si="2"/>
        <v/>
      </c>
    </row>
    <row r="263" ht="18.0" customHeight="1">
      <c r="A263" s="132"/>
      <c r="B263" s="72"/>
      <c r="C263" s="72"/>
      <c r="D263" s="74"/>
      <c r="E263" s="72"/>
      <c r="F263" s="72"/>
      <c r="G263" s="114">
        <f t="shared" si="3"/>
        <v>0</v>
      </c>
      <c r="H263" s="76" t="str">
        <f t="shared" si="1"/>
        <v>—</v>
      </c>
      <c r="I263" s="76" t="str">
        <f t="shared" si="2"/>
        <v/>
      </c>
    </row>
    <row r="264" ht="18.0" customHeight="1">
      <c r="A264" s="134"/>
      <c r="B264" s="77"/>
      <c r="C264" s="77"/>
      <c r="D264" s="79"/>
      <c r="E264" s="77"/>
      <c r="F264" s="77"/>
      <c r="G264" s="118">
        <f t="shared" si="3"/>
        <v>0</v>
      </c>
      <c r="H264" s="81" t="str">
        <f t="shared" si="1"/>
        <v>—</v>
      </c>
      <c r="I264" s="81" t="str">
        <f t="shared" si="2"/>
        <v/>
      </c>
    </row>
    <row r="265" ht="18.0" customHeight="1">
      <c r="A265" s="132"/>
      <c r="B265" s="72"/>
      <c r="C265" s="72"/>
      <c r="D265" s="74"/>
      <c r="E265" s="72"/>
      <c r="F265" s="72"/>
      <c r="G265" s="114">
        <f t="shared" si="3"/>
        <v>0</v>
      </c>
      <c r="H265" s="76" t="str">
        <f t="shared" si="1"/>
        <v>—</v>
      </c>
      <c r="I265" s="76" t="str">
        <f t="shared" si="2"/>
        <v/>
      </c>
    </row>
    <row r="266" ht="18.0" customHeight="1">
      <c r="A266" s="134"/>
      <c r="B266" s="77"/>
      <c r="C266" s="77"/>
      <c r="D266" s="79"/>
      <c r="E266" s="77"/>
      <c r="F266" s="77"/>
      <c r="G266" s="118">
        <f t="shared" si="3"/>
        <v>0</v>
      </c>
      <c r="H266" s="81" t="str">
        <f t="shared" si="1"/>
        <v>—</v>
      </c>
      <c r="I266" s="81" t="str">
        <f t="shared" si="2"/>
        <v/>
      </c>
    </row>
    <row r="267" ht="18.0" customHeight="1">
      <c r="A267" s="132"/>
      <c r="B267" s="72"/>
      <c r="C267" s="72"/>
      <c r="D267" s="74"/>
      <c r="E267" s="72"/>
      <c r="F267" s="72"/>
      <c r="G267" s="114">
        <f t="shared" si="3"/>
        <v>0</v>
      </c>
      <c r="H267" s="76" t="str">
        <f t="shared" si="1"/>
        <v>—</v>
      </c>
      <c r="I267" s="76" t="str">
        <f t="shared" si="2"/>
        <v/>
      </c>
    </row>
    <row r="268" ht="18.0" customHeight="1">
      <c r="A268" s="134"/>
      <c r="B268" s="77"/>
      <c r="C268" s="77"/>
      <c r="D268" s="79"/>
      <c r="E268" s="77"/>
      <c r="F268" s="77"/>
      <c r="G268" s="118">
        <f t="shared" si="3"/>
        <v>0</v>
      </c>
      <c r="H268" s="81" t="str">
        <f t="shared" si="1"/>
        <v>—</v>
      </c>
      <c r="I268" s="81" t="str">
        <f t="shared" si="2"/>
        <v/>
      </c>
    </row>
    <row r="269" ht="18.0" customHeight="1">
      <c r="A269" s="132"/>
      <c r="B269" s="72"/>
      <c r="C269" s="72"/>
      <c r="D269" s="74"/>
      <c r="E269" s="72"/>
      <c r="F269" s="72"/>
      <c r="G269" s="114">
        <f t="shared" si="3"/>
        <v>0</v>
      </c>
      <c r="H269" s="76" t="str">
        <f t="shared" si="1"/>
        <v>—</v>
      </c>
      <c r="I269" s="76" t="str">
        <f t="shared" si="2"/>
        <v/>
      </c>
    </row>
    <row r="270" ht="18.0" customHeight="1">
      <c r="A270" s="134"/>
      <c r="B270" s="77"/>
      <c r="C270" s="77"/>
      <c r="D270" s="79"/>
      <c r="E270" s="77"/>
      <c r="F270" s="77"/>
      <c r="G270" s="118">
        <f t="shared" si="3"/>
        <v>0</v>
      </c>
      <c r="H270" s="81" t="str">
        <f t="shared" si="1"/>
        <v>—</v>
      </c>
      <c r="I270" s="81" t="str">
        <f t="shared" si="2"/>
        <v/>
      </c>
    </row>
    <row r="271" ht="18.0" customHeight="1">
      <c r="A271" s="132"/>
      <c r="B271" s="72"/>
      <c r="C271" s="72"/>
      <c r="D271" s="74"/>
      <c r="E271" s="72"/>
      <c r="F271" s="72"/>
      <c r="G271" s="114">
        <f t="shared" si="3"/>
        <v>0</v>
      </c>
      <c r="H271" s="76" t="str">
        <f t="shared" si="1"/>
        <v>—</v>
      </c>
      <c r="I271" s="76" t="str">
        <f t="shared" si="2"/>
        <v/>
      </c>
    </row>
    <row r="272" ht="18.0" customHeight="1">
      <c r="A272" s="134"/>
      <c r="B272" s="77"/>
      <c r="C272" s="77"/>
      <c r="D272" s="79"/>
      <c r="E272" s="77"/>
      <c r="F272" s="77"/>
      <c r="G272" s="118">
        <f t="shared" si="3"/>
        <v>0</v>
      </c>
      <c r="H272" s="81" t="str">
        <f t="shared" si="1"/>
        <v>—</v>
      </c>
      <c r="I272" s="81" t="str">
        <f t="shared" si="2"/>
        <v/>
      </c>
    </row>
    <row r="273" ht="18.0" customHeight="1">
      <c r="A273" s="132"/>
      <c r="B273" s="72"/>
      <c r="C273" s="72"/>
      <c r="D273" s="74"/>
      <c r="E273" s="72"/>
      <c r="F273" s="72"/>
      <c r="G273" s="114">
        <f t="shared" si="3"/>
        <v>0</v>
      </c>
      <c r="H273" s="76" t="str">
        <f t="shared" si="1"/>
        <v>—</v>
      </c>
      <c r="I273" s="76" t="str">
        <f t="shared" si="2"/>
        <v/>
      </c>
    </row>
    <row r="274" ht="18.0" customHeight="1">
      <c r="A274" s="134"/>
      <c r="B274" s="77"/>
      <c r="C274" s="77"/>
      <c r="D274" s="79"/>
      <c r="E274" s="77"/>
      <c r="F274" s="77"/>
      <c r="G274" s="118">
        <f t="shared" si="3"/>
        <v>0</v>
      </c>
      <c r="H274" s="81" t="str">
        <f t="shared" si="1"/>
        <v>—</v>
      </c>
      <c r="I274" s="81" t="str">
        <f t="shared" si="2"/>
        <v/>
      </c>
    </row>
    <row r="275" ht="18.0" customHeight="1">
      <c r="A275" s="132"/>
      <c r="B275" s="72"/>
      <c r="C275" s="72"/>
      <c r="D275" s="74"/>
      <c r="E275" s="72"/>
      <c r="F275" s="72"/>
      <c r="G275" s="114">
        <f t="shared" si="3"/>
        <v>0</v>
      </c>
      <c r="H275" s="76" t="str">
        <f t="shared" si="1"/>
        <v>—</v>
      </c>
      <c r="I275" s="76" t="str">
        <f t="shared" si="2"/>
        <v/>
      </c>
    </row>
    <row r="276" ht="18.0" customHeight="1">
      <c r="A276" s="134"/>
      <c r="B276" s="77"/>
      <c r="C276" s="77"/>
      <c r="D276" s="79"/>
      <c r="E276" s="77"/>
      <c r="F276" s="77"/>
      <c r="G276" s="118">
        <f t="shared" si="3"/>
        <v>0</v>
      </c>
      <c r="H276" s="81" t="str">
        <f t="shared" si="1"/>
        <v>—</v>
      </c>
      <c r="I276" s="81" t="str">
        <f t="shared" si="2"/>
        <v/>
      </c>
    </row>
    <row r="277" ht="18.0" customHeight="1">
      <c r="A277" s="132"/>
      <c r="B277" s="72"/>
      <c r="C277" s="72"/>
      <c r="D277" s="74"/>
      <c r="E277" s="72"/>
      <c r="F277" s="72"/>
      <c r="G277" s="114">
        <f t="shared" si="3"/>
        <v>0</v>
      </c>
      <c r="H277" s="76" t="str">
        <f t="shared" si="1"/>
        <v>—</v>
      </c>
      <c r="I277" s="76" t="str">
        <f t="shared" si="2"/>
        <v/>
      </c>
    </row>
    <row r="278" ht="18.0" customHeight="1">
      <c r="A278" s="134"/>
      <c r="B278" s="77"/>
      <c r="C278" s="77"/>
      <c r="D278" s="79"/>
      <c r="E278" s="77"/>
      <c r="F278" s="77"/>
      <c r="G278" s="118">
        <f t="shared" si="3"/>
        <v>0</v>
      </c>
      <c r="H278" s="81" t="str">
        <f t="shared" si="1"/>
        <v>—</v>
      </c>
      <c r="I278" s="81" t="str">
        <f t="shared" si="2"/>
        <v/>
      </c>
    </row>
    <row r="279" ht="18.0" customHeight="1">
      <c r="A279" s="132"/>
      <c r="B279" s="72"/>
      <c r="C279" s="72"/>
      <c r="D279" s="74"/>
      <c r="E279" s="72"/>
      <c r="F279" s="72"/>
      <c r="G279" s="114">
        <f t="shared" si="3"/>
        <v>0</v>
      </c>
      <c r="H279" s="76" t="str">
        <f t="shared" si="1"/>
        <v>—</v>
      </c>
      <c r="I279" s="76" t="str">
        <f t="shared" si="2"/>
        <v/>
      </c>
    </row>
    <row r="280" ht="18.0" customHeight="1">
      <c r="A280" s="134"/>
      <c r="B280" s="77"/>
      <c r="C280" s="77"/>
      <c r="D280" s="79"/>
      <c r="E280" s="77"/>
      <c r="F280" s="77"/>
      <c r="G280" s="118">
        <f t="shared" si="3"/>
        <v>0</v>
      </c>
      <c r="H280" s="81" t="str">
        <f t="shared" si="1"/>
        <v>—</v>
      </c>
      <c r="I280" s="81" t="str">
        <f t="shared" si="2"/>
        <v/>
      </c>
    </row>
    <row r="281" ht="18.0" customHeight="1">
      <c r="A281" s="132"/>
      <c r="B281" s="72"/>
      <c r="C281" s="72"/>
      <c r="D281" s="74"/>
      <c r="E281" s="72"/>
      <c r="F281" s="72"/>
      <c r="G281" s="114">
        <f t="shared" si="3"/>
        <v>0</v>
      </c>
      <c r="H281" s="76" t="str">
        <f t="shared" si="1"/>
        <v>—</v>
      </c>
      <c r="I281" s="76" t="str">
        <f t="shared" si="2"/>
        <v/>
      </c>
    </row>
    <row r="282" ht="18.0" customHeight="1">
      <c r="A282" s="134"/>
      <c r="B282" s="77"/>
      <c r="C282" s="77"/>
      <c r="D282" s="79"/>
      <c r="E282" s="77"/>
      <c r="F282" s="77"/>
      <c r="G282" s="118">
        <f t="shared" si="3"/>
        <v>0</v>
      </c>
      <c r="H282" s="81" t="str">
        <f t="shared" si="1"/>
        <v>—</v>
      </c>
      <c r="I282" s="81" t="str">
        <f t="shared" si="2"/>
        <v/>
      </c>
    </row>
    <row r="283" ht="18.0" customHeight="1">
      <c r="A283" s="132"/>
      <c r="B283" s="72"/>
      <c r="C283" s="72"/>
      <c r="D283" s="74"/>
      <c r="E283" s="72"/>
      <c r="F283" s="72"/>
      <c r="G283" s="114">
        <f t="shared" si="3"/>
        <v>0</v>
      </c>
      <c r="H283" s="76" t="str">
        <f t="shared" si="1"/>
        <v>—</v>
      </c>
      <c r="I283" s="76" t="str">
        <f t="shared" si="2"/>
        <v/>
      </c>
    </row>
    <row r="284" ht="18.0" customHeight="1">
      <c r="A284" s="134"/>
      <c r="B284" s="77"/>
      <c r="C284" s="77"/>
      <c r="D284" s="79"/>
      <c r="E284" s="77"/>
      <c r="F284" s="77"/>
      <c r="G284" s="118">
        <f t="shared" si="3"/>
        <v>0</v>
      </c>
      <c r="H284" s="81" t="str">
        <f t="shared" si="1"/>
        <v>—</v>
      </c>
      <c r="I284" s="81" t="str">
        <f t="shared" si="2"/>
        <v/>
      </c>
    </row>
    <row r="285" ht="18.0" customHeight="1">
      <c r="A285" s="132"/>
      <c r="B285" s="72"/>
      <c r="C285" s="72"/>
      <c r="D285" s="74"/>
      <c r="E285" s="72"/>
      <c r="F285" s="72"/>
      <c r="G285" s="114">
        <f t="shared" si="3"/>
        <v>0</v>
      </c>
      <c r="H285" s="76" t="str">
        <f t="shared" si="1"/>
        <v>—</v>
      </c>
      <c r="I285" s="76" t="str">
        <f t="shared" si="2"/>
        <v/>
      </c>
    </row>
    <row r="286" ht="18.0" customHeight="1">
      <c r="A286" s="134"/>
      <c r="B286" s="77"/>
      <c r="C286" s="77"/>
      <c r="D286" s="79"/>
      <c r="E286" s="77"/>
      <c r="F286" s="77"/>
      <c r="G286" s="118">
        <f t="shared" si="3"/>
        <v>0</v>
      </c>
      <c r="H286" s="81" t="str">
        <f t="shared" si="1"/>
        <v>—</v>
      </c>
      <c r="I286" s="81" t="str">
        <f t="shared" si="2"/>
        <v/>
      </c>
    </row>
    <row r="287" ht="18.0" customHeight="1">
      <c r="A287" s="132"/>
      <c r="B287" s="72"/>
      <c r="C287" s="72"/>
      <c r="D287" s="74"/>
      <c r="E287" s="72"/>
      <c r="F287" s="72"/>
      <c r="G287" s="114">
        <f t="shared" si="3"/>
        <v>0</v>
      </c>
      <c r="H287" s="76" t="str">
        <f t="shared" si="1"/>
        <v>—</v>
      </c>
      <c r="I287" s="76" t="str">
        <f t="shared" si="2"/>
        <v/>
      </c>
    </row>
    <row r="288" ht="18.0" customHeight="1">
      <c r="A288" s="134"/>
      <c r="B288" s="77"/>
      <c r="C288" s="77"/>
      <c r="D288" s="79"/>
      <c r="E288" s="77"/>
      <c r="F288" s="77"/>
      <c r="G288" s="118">
        <f t="shared" si="3"/>
        <v>0</v>
      </c>
      <c r="H288" s="81" t="str">
        <f t="shared" si="1"/>
        <v>—</v>
      </c>
      <c r="I288" s="81" t="str">
        <f t="shared" si="2"/>
        <v/>
      </c>
    </row>
    <row r="289" ht="18.0" customHeight="1">
      <c r="A289" s="132"/>
      <c r="B289" s="72"/>
      <c r="C289" s="72"/>
      <c r="D289" s="74"/>
      <c r="E289" s="72"/>
      <c r="F289" s="72"/>
      <c r="G289" s="114">
        <f t="shared" si="3"/>
        <v>0</v>
      </c>
      <c r="H289" s="76" t="str">
        <f t="shared" si="1"/>
        <v>—</v>
      </c>
      <c r="I289" s="76" t="str">
        <f t="shared" si="2"/>
        <v/>
      </c>
    </row>
    <row r="290" ht="18.0" customHeight="1">
      <c r="A290" s="134"/>
      <c r="B290" s="77"/>
      <c r="C290" s="77"/>
      <c r="D290" s="79"/>
      <c r="E290" s="77"/>
      <c r="F290" s="77"/>
      <c r="G290" s="118">
        <f t="shared" si="3"/>
        <v>0</v>
      </c>
      <c r="H290" s="81" t="str">
        <f t="shared" si="1"/>
        <v>—</v>
      </c>
      <c r="I290" s="81" t="str">
        <f t="shared" si="2"/>
        <v/>
      </c>
    </row>
    <row r="291" ht="18.0" customHeight="1">
      <c r="A291" s="132"/>
      <c r="B291" s="72"/>
      <c r="C291" s="72"/>
      <c r="D291" s="74"/>
      <c r="E291" s="72"/>
      <c r="F291" s="72"/>
      <c r="G291" s="114">
        <f t="shared" si="3"/>
        <v>0</v>
      </c>
      <c r="H291" s="76" t="str">
        <f t="shared" si="1"/>
        <v>—</v>
      </c>
      <c r="I291" s="76" t="str">
        <f t="shared" si="2"/>
        <v/>
      </c>
    </row>
    <row r="292" ht="18.0" customHeight="1">
      <c r="A292" s="134"/>
      <c r="B292" s="77"/>
      <c r="C292" s="77"/>
      <c r="D292" s="79"/>
      <c r="E292" s="77"/>
      <c r="F292" s="77"/>
      <c r="G292" s="118">
        <f t="shared" si="3"/>
        <v>0</v>
      </c>
      <c r="H292" s="81" t="str">
        <f t="shared" si="1"/>
        <v>—</v>
      </c>
      <c r="I292" s="81" t="str">
        <f t="shared" si="2"/>
        <v/>
      </c>
    </row>
    <row r="293" ht="18.0" customHeight="1">
      <c r="A293" s="132"/>
      <c r="B293" s="72"/>
      <c r="C293" s="72"/>
      <c r="D293" s="74"/>
      <c r="E293" s="72"/>
      <c r="F293" s="72"/>
      <c r="G293" s="114">
        <f t="shared" si="3"/>
        <v>0</v>
      </c>
      <c r="H293" s="76" t="str">
        <f t="shared" si="1"/>
        <v>—</v>
      </c>
      <c r="I293" s="76" t="str">
        <f t="shared" si="2"/>
        <v/>
      </c>
    </row>
    <row r="294" ht="18.0" customHeight="1">
      <c r="A294" s="134"/>
      <c r="B294" s="77"/>
      <c r="C294" s="77"/>
      <c r="D294" s="79"/>
      <c r="E294" s="77"/>
      <c r="F294" s="77"/>
      <c r="G294" s="118">
        <f t="shared" si="3"/>
        <v>0</v>
      </c>
      <c r="H294" s="81" t="str">
        <f t="shared" si="1"/>
        <v>—</v>
      </c>
      <c r="I294" s="81" t="str">
        <f t="shared" si="2"/>
        <v/>
      </c>
    </row>
    <row r="295" ht="18.0" customHeight="1">
      <c r="A295" s="132"/>
      <c r="B295" s="72"/>
      <c r="C295" s="72"/>
      <c r="D295" s="74"/>
      <c r="E295" s="72"/>
      <c r="F295" s="72"/>
      <c r="G295" s="114">
        <f t="shared" si="3"/>
        <v>0</v>
      </c>
      <c r="H295" s="76" t="str">
        <f t="shared" si="1"/>
        <v>—</v>
      </c>
      <c r="I295" s="76" t="str">
        <f t="shared" si="2"/>
        <v/>
      </c>
    </row>
    <row r="296" ht="18.0" customHeight="1">
      <c r="A296" s="134"/>
      <c r="B296" s="77"/>
      <c r="C296" s="77"/>
      <c r="D296" s="79"/>
      <c r="E296" s="77"/>
      <c r="F296" s="77"/>
      <c r="G296" s="118">
        <f t="shared" si="3"/>
        <v>0</v>
      </c>
      <c r="H296" s="81" t="str">
        <f t="shared" si="1"/>
        <v>—</v>
      </c>
      <c r="I296" s="81" t="str">
        <f t="shared" si="2"/>
        <v/>
      </c>
    </row>
    <row r="297" ht="18.0" customHeight="1">
      <c r="A297" s="132"/>
      <c r="B297" s="72"/>
      <c r="C297" s="72"/>
      <c r="D297" s="74"/>
      <c r="E297" s="72"/>
      <c r="F297" s="72"/>
      <c r="G297" s="114">
        <f t="shared" si="3"/>
        <v>0</v>
      </c>
      <c r="H297" s="76" t="str">
        <f t="shared" si="1"/>
        <v>—</v>
      </c>
      <c r="I297" s="76" t="str">
        <f t="shared" si="2"/>
        <v/>
      </c>
    </row>
    <row r="298" ht="18.0" customHeight="1">
      <c r="A298" s="134"/>
      <c r="B298" s="77"/>
      <c r="C298" s="77"/>
      <c r="D298" s="79"/>
      <c r="E298" s="77"/>
      <c r="F298" s="77"/>
      <c r="G298" s="118">
        <f t="shared" si="3"/>
        <v>0</v>
      </c>
      <c r="H298" s="81" t="str">
        <f t="shared" si="1"/>
        <v>—</v>
      </c>
      <c r="I298" s="81" t="str">
        <f t="shared" si="2"/>
        <v/>
      </c>
    </row>
    <row r="299" ht="18.0" customHeight="1">
      <c r="A299" s="132"/>
      <c r="B299" s="72"/>
      <c r="C299" s="72"/>
      <c r="D299" s="74"/>
      <c r="E299" s="72"/>
      <c r="F299" s="72"/>
      <c r="G299" s="114">
        <f t="shared" si="3"/>
        <v>0</v>
      </c>
      <c r="H299" s="76" t="str">
        <f t="shared" si="1"/>
        <v>—</v>
      </c>
      <c r="I299" s="76" t="str">
        <f t="shared" si="2"/>
        <v/>
      </c>
    </row>
    <row r="300" ht="18.0" customHeight="1">
      <c r="A300" s="134"/>
      <c r="B300" s="77"/>
      <c r="C300" s="77"/>
      <c r="D300" s="79"/>
      <c r="E300" s="77"/>
      <c r="F300" s="77"/>
      <c r="G300" s="118">
        <f t="shared" si="3"/>
        <v>0</v>
      </c>
      <c r="H300" s="81" t="str">
        <f t="shared" si="1"/>
        <v>—</v>
      </c>
      <c r="I300" s="81" t="str">
        <f t="shared" si="2"/>
        <v/>
      </c>
    </row>
    <row r="301" ht="18.0" customHeight="1">
      <c r="A301" s="132"/>
      <c r="B301" s="72"/>
      <c r="C301" s="72"/>
      <c r="D301" s="74"/>
      <c r="E301" s="72"/>
      <c r="F301" s="72"/>
      <c r="G301" s="114">
        <f t="shared" si="3"/>
        <v>0</v>
      </c>
      <c r="H301" s="76" t="str">
        <f t="shared" si="1"/>
        <v>—</v>
      </c>
      <c r="I301" s="76" t="str">
        <f t="shared" si="2"/>
        <v/>
      </c>
    </row>
    <row r="302" ht="18.0" customHeight="1">
      <c r="A302" s="134"/>
      <c r="B302" s="77"/>
      <c r="C302" s="77"/>
      <c r="D302" s="79"/>
      <c r="E302" s="77"/>
      <c r="F302" s="77"/>
      <c r="G302" s="118">
        <f t="shared" si="3"/>
        <v>0</v>
      </c>
      <c r="H302" s="81" t="str">
        <f t="shared" si="1"/>
        <v>—</v>
      </c>
      <c r="I302" s="81" t="str">
        <f t="shared" si="2"/>
        <v/>
      </c>
    </row>
    <row r="303" ht="18.0" customHeight="1">
      <c r="A303" s="132"/>
      <c r="B303" s="72"/>
      <c r="C303" s="72"/>
      <c r="D303" s="74"/>
      <c r="E303" s="72"/>
      <c r="F303" s="72"/>
      <c r="G303" s="114">
        <f t="shared" si="3"/>
        <v>0</v>
      </c>
      <c r="H303" s="76" t="str">
        <f t="shared" si="1"/>
        <v>—</v>
      </c>
      <c r="I303" s="76" t="str">
        <f t="shared" si="2"/>
        <v/>
      </c>
    </row>
    <row r="304" ht="18.0" customHeight="1">
      <c r="A304" s="134"/>
      <c r="B304" s="77"/>
      <c r="C304" s="77"/>
      <c r="D304" s="79"/>
      <c r="E304" s="77"/>
      <c r="F304" s="77"/>
      <c r="G304" s="118">
        <f t="shared" si="3"/>
        <v>0</v>
      </c>
      <c r="H304" s="81" t="str">
        <f t="shared" si="1"/>
        <v>—</v>
      </c>
      <c r="I304" s="81" t="str">
        <f t="shared" si="2"/>
        <v/>
      </c>
    </row>
    <row r="305" ht="18.0" customHeight="1">
      <c r="A305" s="132"/>
      <c r="B305" s="72"/>
      <c r="C305" s="72"/>
      <c r="D305" s="74"/>
      <c r="E305" s="72"/>
      <c r="F305" s="72"/>
      <c r="G305" s="114">
        <f t="shared" si="3"/>
        <v>0</v>
      </c>
      <c r="H305" s="76" t="str">
        <f t="shared" si="1"/>
        <v>—</v>
      </c>
      <c r="I305" s="76" t="str">
        <f t="shared" si="2"/>
        <v/>
      </c>
    </row>
    <row r="306" ht="18.0" customHeight="1">
      <c r="A306" s="134"/>
      <c r="B306" s="77"/>
      <c r="C306" s="77"/>
      <c r="D306" s="79"/>
      <c r="E306" s="77"/>
      <c r="F306" s="77"/>
      <c r="G306" s="118">
        <f t="shared" si="3"/>
        <v>0</v>
      </c>
      <c r="H306" s="81" t="str">
        <f t="shared" si="1"/>
        <v>—</v>
      </c>
      <c r="I306" s="81" t="str">
        <f t="shared" si="2"/>
        <v/>
      </c>
    </row>
    <row r="307" ht="18.0" customHeight="1">
      <c r="A307" s="132"/>
      <c r="B307" s="72"/>
      <c r="C307" s="72"/>
      <c r="D307" s="74"/>
      <c r="E307" s="72"/>
      <c r="F307" s="72"/>
      <c r="G307" s="114">
        <f t="shared" si="3"/>
        <v>0</v>
      </c>
      <c r="H307" s="76" t="str">
        <f t="shared" si="1"/>
        <v>—</v>
      </c>
      <c r="I307" s="76" t="str">
        <f t="shared" si="2"/>
        <v/>
      </c>
    </row>
    <row r="308" ht="18.0" customHeight="1">
      <c r="A308" s="134"/>
      <c r="B308" s="77"/>
      <c r="C308" s="77"/>
      <c r="D308" s="79"/>
      <c r="E308" s="77"/>
      <c r="F308" s="77"/>
      <c r="G308" s="118">
        <f t="shared" si="3"/>
        <v>0</v>
      </c>
      <c r="H308" s="81" t="str">
        <f t="shared" si="1"/>
        <v>—</v>
      </c>
      <c r="I308" s="81" t="str">
        <f t="shared" si="2"/>
        <v/>
      </c>
    </row>
    <row r="309" ht="18.0" customHeight="1">
      <c r="A309" s="132"/>
      <c r="B309" s="72"/>
      <c r="C309" s="72"/>
      <c r="D309" s="74"/>
      <c r="E309" s="72"/>
      <c r="F309" s="72"/>
      <c r="G309" s="114">
        <f t="shared" si="3"/>
        <v>0</v>
      </c>
      <c r="H309" s="76" t="str">
        <f t="shared" si="1"/>
        <v>—</v>
      </c>
      <c r="I309" s="76" t="str">
        <f t="shared" si="2"/>
        <v/>
      </c>
    </row>
    <row r="310" ht="18.0" customHeight="1">
      <c r="A310" s="134"/>
      <c r="B310" s="77"/>
      <c r="C310" s="77"/>
      <c r="D310" s="79"/>
      <c r="E310" s="77"/>
      <c r="F310" s="77"/>
      <c r="G310" s="118">
        <f t="shared" si="3"/>
        <v>0</v>
      </c>
      <c r="H310" s="81" t="str">
        <f t="shared" si="1"/>
        <v>—</v>
      </c>
      <c r="I310" s="81" t="str">
        <f t="shared" si="2"/>
        <v/>
      </c>
    </row>
    <row r="311" ht="18.0" customHeight="1">
      <c r="A311" s="132"/>
      <c r="B311" s="72"/>
      <c r="C311" s="72"/>
      <c r="D311" s="74"/>
      <c r="E311" s="72"/>
      <c r="F311" s="72"/>
      <c r="G311" s="114">
        <f t="shared" si="3"/>
        <v>0</v>
      </c>
      <c r="H311" s="76" t="str">
        <f t="shared" si="1"/>
        <v>—</v>
      </c>
      <c r="I311" s="76" t="str">
        <f t="shared" si="2"/>
        <v/>
      </c>
    </row>
    <row r="312" ht="18.0" customHeight="1">
      <c r="A312" s="134"/>
      <c r="B312" s="77"/>
      <c r="C312" s="77"/>
      <c r="D312" s="79"/>
      <c r="E312" s="77"/>
      <c r="F312" s="77"/>
      <c r="G312" s="118">
        <f t="shared" si="3"/>
        <v>0</v>
      </c>
      <c r="H312" s="81" t="str">
        <f t="shared" si="1"/>
        <v>—</v>
      </c>
      <c r="I312" s="81" t="str">
        <f t="shared" si="2"/>
        <v/>
      </c>
    </row>
    <row r="313" ht="18.0" customHeight="1">
      <c r="A313" s="132"/>
      <c r="B313" s="72"/>
      <c r="C313" s="72"/>
      <c r="D313" s="74"/>
      <c r="E313" s="72"/>
      <c r="F313" s="72"/>
      <c r="G313" s="114">
        <f t="shared" si="3"/>
        <v>0</v>
      </c>
      <c r="H313" s="76" t="str">
        <f t="shared" si="1"/>
        <v>—</v>
      </c>
      <c r="I313" s="76" t="str">
        <f t="shared" si="2"/>
        <v/>
      </c>
    </row>
    <row r="314" ht="18.0" customHeight="1">
      <c r="A314" s="134"/>
      <c r="B314" s="77"/>
      <c r="C314" s="77"/>
      <c r="D314" s="79"/>
      <c r="E314" s="77"/>
      <c r="F314" s="77"/>
      <c r="G314" s="118">
        <f t="shared" si="3"/>
        <v>0</v>
      </c>
      <c r="H314" s="81" t="str">
        <f t="shared" si="1"/>
        <v>—</v>
      </c>
      <c r="I314" s="81" t="str">
        <f t="shared" si="2"/>
        <v/>
      </c>
    </row>
    <row r="315" ht="18.0" customHeight="1">
      <c r="A315" s="132"/>
      <c r="B315" s="72"/>
      <c r="C315" s="72"/>
      <c r="D315" s="74"/>
      <c r="E315" s="72"/>
      <c r="F315" s="72"/>
      <c r="G315" s="114">
        <f t="shared" si="3"/>
        <v>0</v>
      </c>
      <c r="H315" s="76" t="str">
        <f t="shared" si="1"/>
        <v>—</v>
      </c>
      <c r="I315" s="76" t="str">
        <f t="shared" si="2"/>
        <v/>
      </c>
    </row>
    <row r="316" ht="18.0" customHeight="1">
      <c r="A316" s="134"/>
      <c r="B316" s="77"/>
      <c r="C316" s="77"/>
      <c r="D316" s="79"/>
      <c r="E316" s="77"/>
      <c r="F316" s="77"/>
      <c r="G316" s="118">
        <f t="shared" si="3"/>
        <v>0</v>
      </c>
      <c r="H316" s="81" t="str">
        <f t="shared" si="1"/>
        <v>—</v>
      </c>
      <c r="I316" s="81" t="str">
        <f t="shared" si="2"/>
        <v/>
      </c>
    </row>
    <row r="317" ht="18.0" customHeight="1">
      <c r="A317" s="132"/>
      <c r="B317" s="72"/>
      <c r="C317" s="72"/>
      <c r="D317" s="74"/>
      <c r="E317" s="72"/>
      <c r="F317" s="72"/>
      <c r="G317" s="114">
        <f t="shared" si="3"/>
        <v>0</v>
      </c>
      <c r="H317" s="76" t="str">
        <f t="shared" si="1"/>
        <v>—</v>
      </c>
      <c r="I317" s="76" t="str">
        <f t="shared" si="2"/>
        <v/>
      </c>
    </row>
    <row r="318" ht="18.0" customHeight="1">
      <c r="A318" s="134"/>
      <c r="B318" s="77"/>
      <c r="C318" s="77"/>
      <c r="D318" s="79"/>
      <c r="E318" s="77"/>
      <c r="F318" s="77"/>
      <c r="G318" s="118">
        <f t="shared" si="3"/>
        <v>0</v>
      </c>
      <c r="H318" s="81" t="str">
        <f t="shared" si="1"/>
        <v>—</v>
      </c>
      <c r="I318" s="81" t="str">
        <f t="shared" si="2"/>
        <v/>
      </c>
    </row>
    <row r="319" ht="18.0" customHeight="1">
      <c r="A319" s="132"/>
      <c r="B319" s="72"/>
      <c r="C319" s="72"/>
      <c r="D319" s="74"/>
      <c r="E319" s="72"/>
      <c r="F319" s="72"/>
      <c r="G319" s="114">
        <f t="shared" si="3"/>
        <v>0</v>
      </c>
      <c r="H319" s="76" t="str">
        <f t="shared" si="1"/>
        <v>—</v>
      </c>
      <c r="I319" s="76" t="str">
        <f t="shared" si="2"/>
        <v/>
      </c>
    </row>
    <row r="320" ht="18.0" customHeight="1">
      <c r="A320" s="134"/>
      <c r="B320" s="77"/>
      <c r="C320" s="77"/>
      <c r="D320" s="79"/>
      <c r="E320" s="77"/>
      <c r="F320" s="77"/>
      <c r="G320" s="118">
        <f t="shared" si="3"/>
        <v>0</v>
      </c>
      <c r="H320" s="81" t="str">
        <f t="shared" si="1"/>
        <v>—</v>
      </c>
      <c r="I320" s="81" t="str">
        <f t="shared" si="2"/>
        <v/>
      </c>
    </row>
    <row r="321" ht="18.0" customHeight="1">
      <c r="A321" s="132"/>
      <c r="B321" s="72"/>
      <c r="C321" s="72"/>
      <c r="D321" s="74"/>
      <c r="E321" s="72"/>
      <c r="F321" s="72"/>
      <c r="G321" s="114">
        <f t="shared" si="3"/>
        <v>0</v>
      </c>
      <c r="H321" s="76" t="str">
        <f t="shared" si="1"/>
        <v>—</v>
      </c>
      <c r="I321" s="76" t="str">
        <f t="shared" si="2"/>
        <v/>
      </c>
    </row>
    <row r="322" ht="18.0" customHeight="1">
      <c r="A322" s="134"/>
      <c r="B322" s="77"/>
      <c r="C322" s="77"/>
      <c r="D322" s="79"/>
      <c r="E322" s="77"/>
      <c r="F322" s="77"/>
      <c r="G322" s="118">
        <f t="shared" si="3"/>
        <v>0</v>
      </c>
      <c r="H322" s="81" t="str">
        <f t="shared" si="1"/>
        <v>—</v>
      </c>
      <c r="I322" s="81" t="str">
        <f t="shared" si="2"/>
        <v/>
      </c>
    </row>
    <row r="323" ht="18.0" customHeight="1">
      <c r="A323" s="132"/>
      <c r="B323" s="72"/>
      <c r="C323" s="72"/>
      <c r="D323" s="74"/>
      <c r="E323" s="72"/>
      <c r="F323" s="72"/>
      <c r="G323" s="114">
        <f t="shared" si="3"/>
        <v>0</v>
      </c>
      <c r="H323" s="76" t="str">
        <f t="shared" si="1"/>
        <v>—</v>
      </c>
      <c r="I323" s="76" t="str">
        <f t="shared" si="2"/>
        <v/>
      </c>
    </row>
    <row r="324" ht="18.0" customHeight="1">
      <c r="A324" s="134"/>
      <c r="B324" s="77"/>
      <c r="C324" s="77"/>
      <c r="D324" s="79"/>
      <c r="E324" s="77"/>
      <c r="F324" s="77"/>
      <c r="G324" s="118">
        <f t="shared" si="3"/>
        <v>0</v>
      </c>
      <c r="H324" s="81" t="str">
        <f t="shared" si="1"/>
        <v>—</v>
      </c>
      <c r="I324" s="81" t="str">
        <f t="shared" si="2"/>
        <v/>
      </c>
    </row>
    <row r="325" ht="18.0" customHeight="1">
      <c r="A325" s="132"/>
      <c r="B325" s="72"/>
      <c r="C325" s="72"/>
      <c r="D325" s="74"/>
      <c r="E325" s="72"/>
      <c r="F325" s="72"/>
      <c r="G325" s="114">
        <f t="shared" si="3"/>
        <v>0</v>
      </c>
      <c r="H325" s="76" t="str">
        <f t="shared" si="1"/>
        <v>—</v>
      </c>
      <c r="I325" s="76" t="str">
        <f t="shared" si="2"/>
        <v/>
      </c>
    </row>
    <row r="326" ht="18.0" customHeight="1">
      <c r="A326" s="134"/>
      <c r="B326" s="77"/>
      <c r="C326" s="77"/>
      <c r="D326" s="79"/>
      <c r="E326" s="77"/>
      <c r="F326" s="77"/>
      <c r="G326" s="118">
        <f t="shared" si="3"/>
        <v>0</v>
      </c>
      <c r="H326" s="81" t="str">
        <f t="shared" si="1"/>
        <v>—</v>
      </c>
      <c r="I326" s="81" t="str">
        <f t="shared" si="2"/>
        <v/>
      </c>
    </row>
    <row r="327" ht="18.0" customHeight="1">
      <c r="A327" s="132"/>
      <c r="B327" s="72"/>
      <c r="C327" s="72"/>
      <c r="D327" s="74"/>
      <c r="E327" s="72"/>
      <c r="F327" s="72"/>
      <c r="G327" s="114">
        <f t="shared" si="3"/>
        <v>0</v>
      </c>
      <c r="H327" s="76" t="str">
        <f t="shared" si="1"/>
        <v>—</v>
      </c>
      <c r="I327" s="76" t="str">
        <f t="shared" si="2"/>
        <v/>
      </c>
    </row>
    <row r="328" ht="18.0" customHeight="1">
      <c r="A328" s="134"/>
      <c r="B328" s="77"/>
      <c r="C328" s="77"/>
      <c r="D328" s="79"/>
      <c r="E328" s="77"/>
      <c r="F328" s="77"/>
      <c r="G328" s="118">
        <f t="shared" si="3"/>
        <v>0</v>
      </c>
      <c r="H328" s="81" t="str">
        <f t="shared" si="1"/>
        <v>—</v>
      </c>
      <c r="I328" s="81" t="str">
        <f t="shared" si="2"/>
        <v/>
      </c>
    </row>
    <row r="329" ht="18.0" customHeight="1">
      <c r="A329" s="132"/>
      <c r="B329" s="72"/>
      <c r="C329" s="72"/>
      <c r="D329" s="74"/>
      <c r="E329" s="72"/>
      <c r="F329" s="72"/>
      <c r="G329" s="114">
        <f t="shared" si="3"/>
        <v>0</v>
      </c>
      <c r="H329" s="76" t="str">
        <f t="shared" si="1"/>
        <v>—</v>
      </c>
      <c r="I329" s="76" t="str">
        <f t="shared" si="2"/>
        <v/>
      </c>
    </row>
    <row r="330" ht="18.0" customHeight="1">
      <c r="A330" s="134"/>
      <c r="B330" s="77"/>
      <c r="C330" s="77"/>
      <c r="D330" s="79"/>
      <c r="E330" s="77"/>
      <c r="F330" s="77"/>
      <c r="G330" s="118">
        <f t="shared" si="3"/>
        <v>0</v>
      </c>
      <c r="H330" s="81" t="str">
        <f t="shared" si="1"/>
        <v>—</v>
      </c>
      <c r="I330" s="81" t="str">
        <f t="shared" si="2"/>
        <v/>
      </c>
    </row>
    <row r="331" ht="18.0" customHeight="1">
      <c r="A331" s="132"/>
      <c r="B331" s="72"/>
      <c r="C331" s="72"/>
      <c r="D331" s="74"/>
      <c r="E331" s="72"/>
      <c r="F331" s="72"/>
      <c r="G331" s="114">
        <f t="shared" si="3"/>
        <v>0</v>
      </c>
      <c r="H331" s="76" t="str">
        <f t="shared" si="1"/>
        <v>—</v>
      </c>
      <c r="I331" s="76" t="str">
        <f t="shared" si="2"/>
        <v/>
      </c>
    </row>
    <row r="332" ht="18.0" customHeight="1">
      <c r="A332" s="134"/>
      <c r="B332" s="77"/>
      <c r="C332" s="77"/>
      <c r="D332" s="79"/>
      <c r="E332" s="77"/>
      <c r="F332" s="77"/>
      <c r="G332" s="118">
        <f t="shared" si="3"/>
        <v>0</v>
      </c>
      <c r="H332" s="81" t="str">
        <f t="shared" si="1"/>
        <v>—</v>
      </c>
      <c r="I332" s="81" t="str">
        <f t="shared" si="2"/>
        <v/>
      </c>
    </row>
    <row r="333" ht="18.0" customHeight="1">
      <c r="A333" s="132"/>
      <c r="B333" s="72"/>
      <c r="C333" s="72"/>
      <c r="D333" s="74"/>
      <c r="E333" s="72"/>
      <c r="F333" s="72"/>
      <c r="G333" s="114">
        <f t="shared" si="3"/>
        <v>0</v>
      </c>
      <c r="H333" s="76" t="str">
        <f t="shared" si="1"/>
        <v>—</v>
      </c>
      <c r="I333" s="76" t="str">
        <f t="shared" si="2"/>
        <v/>
      </c>
    </row>
    <row r="334" ht="18.0" customHeight="1">
      <c r="A334" s="134"/>
      <c r="B334" s="77"/>
      <c r="C334" s="77"/>
      <c r="D334" s="79"/>
      <c r="E334" s="77"/>
      <c r="F334" s="77"/>
      <c r="G334" s="118">
        <f t="shared" si="3"/>
        <v>0</v>
      </c>
      <c r="H334" s="81" t="str">
        <f t="shared" si="1"/>
        <v>—</v>
      </c>
      <c r="I334" s="81" t="str">
        <f t="shared" si="2"/>
        <v/>
      </c>
    </row>
    <row r="335" ht="18.0" customHeight="1">
      <c r="A335" s="132"/>
      <c r="B335" s="72"/>
      <c r="C335" s="72"/>
      <c r="D335" s="74"/>
      <c r="E335" s="72"/>
      <c r="F335" s="72"/>
      <c r="G335" s="114">
        <f t="shared" si="3"/>
        <v>0</v>
      </c>
      <c r="H335" s="76" t="str">
        <f t="shared" si="1"/>
        <v>—</v>
      </c>
      <c r="I335" s="76" t="str">
        <f t="shared" si="2"/>
        <v/>
      </c>
    </row>
    <row r="336" ht="18.0" customHeight="1">
      <c r="A336" s="134"/>
      <c r="B336" s="77"/>
      <c r="C336" s="77"/>
      <c r="D336" s="79"/>
      <c r="E336" s="77"/>
      <c r="F336" s="77"/>
      <c r="G336" s="118">
        <f t="shared" si="3"/>
        <v>0</v>
      </c>
      <c r="H336" s="81" t="str">
        <f t="shared" si="1"/>
        <v>—</v>
      </c>
      <c r="I336" s="81" t="str">
        <f t="shared" si="2"/>
        <v/>
      </c>
    </row>
    <row r="337" ht="18.0" customHeight="1">
      <c r="A337" s="132"/>
      <c r="B337" s="72"/>
      <c r="C337" s="72"/>
      <c r="D337" s="74"/>
      <c r="E337" s="72"/>
      <c r="F337" s="72"/>
      <c r="G337" s="114">
        <f t="shared" si="3"/>
        <v>0</v>
      </c>
      <c r="H337" s="76" t="str">
        <f t="shared" si="1"/>
        <v>—</v>
      </c>
      <c r="I337" s="76" t="str">
        <f t="shared" si="2"/>
        <v/>
      </c>
    </row>
    <row r="338" ht="18.0" customHeight="1">
      <c r="A338" s="134"/>
      <c r="B338" s="77"/>
      <c r="C338" s="77"/>
      <c r="D338" s="79"/>
      <c r="E338" s="77"/>
      <c r="F338" s="77"/>
      <c r="G338" s="118">
        <f t="shared" si="3"/>
        <v>0</v>
      </c>
      <c r="H338" s="81" t="str">
        <f t="shared" si="1"/>
        <v>—</v>
      </c>
      <c r="I338" s="81" t="str">
        <f t="shared" si="2"/>
        <v/>
      </c>
    </row>
    <row r="339" ht="18.0" customHeight="1">
      <c r="A339" s="132"/>
      <c r="B339" s="72"/>
      <c r="C339" s="72"/>
      <c r="D339" s="74"/>
      <c r="E339" s="72"/>
      <c r="F339" s="72"/>
      <c r="G339" s="114">
        <f t="shared" si="3"/>
        <v>0</v>
      </c>
      <c r="H339" s="76" t="str">
        <f t="shared" si="1"/>
        <v>—</v>
      </c>
      <c r="I339" s="76" t="str">
        <f t="shared" si="2"/>
        <v/>
      </c>
    </row>
    <row r="340" ht="18.0" customHeight="1">
      <c r="A340" s="134"/>
      <c r="B340" s="77"/>
      <c r="C340" s="77"/>
      <c r="D340" s="79"/>
      <c r="E340" s="77"/>
      <c r="F340" s="77"/>
      <c r="G340" s="118">
        <f t="shared" si="3"/>
        <v>0</v>
      </c>
      <c r="H340" s="81" t="str">
        <f t="shared" si="1"/>
        <v>—</v>
      </c>
      <c r="I340" s="81" t="str">
        <f t="shared" si="2"/>
        <v/>
      </c>
    </row>
    <row r="341" ht="18.0" customHeight="1">
      <c r="A341" s="132"/>
      <c r="B341" s="72"/>
      <c r="C341" s="72"/>
      <c r="D341" s="74"/>
      <c r="E341" s="72"/>
      <c r="F341" s="72"/>
      <c r="G341" s="114">
        <f t="shared" si="3"/>
        <v>0</v>
      </c>
      <c r="H341" s="76" t="str">
        <f t="shared" si="1"/>
        <v>—</v>
      </c>
      <c r="I341" s="76" t="str">
        <f t="shared" si="2"/>
        <v/>
      </c>
    </row>
    <row r="342" ht="18.0" customHeight="1">
      <c r="A342" s="134"/>
      <c r="B342" s="77"/>
      <c r="C342" s="77"/>
      <c r="D342" s="79"/>
      <c r="E342" s="77"/>
      <c r="F342" s="77"/>
      <c r="G342" s="118">
        <f t="shared" si="3"/>
        <v>0</v>
      </c>
      <c r="H342" s="81" t="str">
        <f t="shared" si="1"/>
        <v>—</v>
      </c>
      <c r="I342" s="81" t="str">
        <f t="shared" si="2"/>
        <v/>
      </c>
    </row>
    <row r="343" ht="18.0" customHeight="1">
      <c r="A343" s="132"/>
      <c r="B343" s="72"/>
      <c r="C343" s="72"/>
      <c r="D343" s="74"/>
      <c r="E343" s="72"/>
      <c r="F343" s="72"/>
      <c r="G343" s="114">
        <f t="shared" si="3"/>
        <v>0</v>
      </c>
      <c r="H343" s="76" t="str">
        <f t="shared" si="1"/>
        <v>—</v>
      </c>
      <c r="I343" s="76" t="str">
        <f t="shared" si="2"/>
        <v/>
      </c>
    </row>
    <row r="344" ht="18.0" customHeight="1">
      <c r="A344" s="134"/>
      <c r="B344" s="77"/>
      <c r="C344" s="77"/>
      <c r="D344" s="79"/>
      <c r="E344" s="77"/>
      <c r="F344" s="77"/>
      <c r="G344" s="118">
        <f t="shared" si="3"/>
        <v>0</v>
      </c>
      <c r="H344" s="81" t="str">
        <f t="shared" si="1"/>
        <v>—</v>
      </c>
      <c r="I344" s="81" t="str">
        <f t="shared" si="2"/>
        <v/>
      </c>
    </row>
    <row r="345" ht="18.0" customHeight="1">
      <c r="A345" s="132"/>
      <c r="B345" s="72"/>
      <c r="C345" s="72"/>
      <c r="D345" s="74"/>
      <c r="E345" s="72"/>
      <c r="F345" s="72"/>
      <c r="G345" s="114">
        <f t="shared" si="3"/>
        <v>0</v>
      </c>
      <c r="H345" s="76" t="str">
        <f t="shared" si="1"/>
        <v>—</v>
      </c>
      <c r="I345" s="76" t="str">
        <f t="shared" si="2"/>
        <v/>
      </c>
    </row>
    <row r="346" ht="18.0" customHeight="1">
      <c r="A346" s="134"/>
      <c r="B346" s="77"/>
      <c r="C346" s="77"/>
      <c r="D346" s="79"/>
      <c r="E346" s="77"/>
      <c r="F346" s="77"/>
      <c r="G346" s="118">
        <f t="shared" si="3"/>
        <v>0</v>
      </c>
      <c r="H346" s="81" t="str">
        <f t="shared" si="1"/>
        <v>—</v>
      </c>
      <c r="I346" s="81" t="str">
        <f t="shared" si="2"/>
        <v/>
      </c>
    </row>
    <row r="347" ht="18.0" customHeight="1">
      <c r="A347" s="132"/>
      <c r="B347" s="72"/>
      <c r="C347" s="72"/>
      <c r="D347" s="74"/>
      <c r="E347" s="72"/>
      <c r="F347" s="72"/>
      <c r="G347" s="114">
        <f t="shared" si="3"/>
        <v>0</v>
      </c>
      <c r="H347" s="76" t="str">
        <f t="shared" si="1"/>
        <v>—</v>
      </c>
      <c r="I347" s="76" t="str">
        <f t="shared" si="2"/>
        <v/>
      </c>
    </row>
    <row r="348" ht="18.0" customHeight="1">
      <c r="A348" s="134"/>
      <c r="B348" s="77"/>
      <c r="C348" s="77"/>
      <c r="D348" s="79"/>
      <c r="E348" s="77"/>
      <c r="F348" s="77"/>
      <c r="G348" s="118">
        <f t="shared" si="3"/>
        <v>0</v>
      </c>
      <c r="H348" s="81" t="str">
        <f t="shared" si="1"/>
        <v>—</v>
      </c>
      <c r="I348" s="81" t="str">
        <f t="shared" si="2"/>
        <v/>
      </c>
    </row>
    <row r="349" ht="18.0" customHeight="1">
      <c r="A349" s="132"/>
      <c r="B349" s="72"/>
      <c r="C349" s="72"/>
      <c r="D349" s="74"/>
      <c r="E349" s="72"/>
      <c r="F349" s="72"/>
      <c r="G349" s="114">
        <f t="shared" si="3"/>
        <v>0</v>
      </c>
      <c r="H349" s="76" t="str">
        <f t="shared" si="1"/>
        <v>—</v>
      </c>
      <c r="I349" s="76" t="str">
        <f t="shared" si="2"/>
        <v/>
      </c>
    </row>
    <row r="350" ht="18.0" customHeight="1">
      <c r="A350" s="134"/>
      <c r="B350" s="77"/>
      <c r="C350" s="77"/>
      <c r="D350" s="79"/>
      <c r="E350" s="77"/>
      <c r="F350" s="77"/>
      <c r="G350" s="118">
        <f t="shared" si="3"/>
        <v>0</v>
      </c>
      <c r="H350" s="81" t="str">
        <f t="shared" si="1"/>
        <v>—</v>
      </c>
      <c r="I350" s="81" t="str">
        <f t="shared" si="2"/>
        <v/>
      </c>
    </row>
    <row r="351" ht="18.0" customHeight="1">
      <c r="A351" s="132"/>
      <c r="B351" s="72"/>
      <c r="C351" s="72"/>
      <c r="D351" s="74"/>
      <c r="E351" s="72"/>
      <c r="F351" s="72"/>
      <c r="G351" s="114">
        <f t="shared" si="3"/>
        <v>0</v>
      </c>
      <c r="H351" s="76" t="str">
        <f t="shared" si="1"/>
        <v>—</v>
      </c>
      <c r="I351" s="76" t="str">
        <f t="shared" si="2"/>
        <v/>
      </c>
    </row>
    <row r="352" ht="18.0" customHeight="1">
      <c r="A352" s="134"/>
      <c r="B352" s="77"/>
      <c r="C352" s="77"/>
      <c r="D352" s="79"/>
      <c r="E352" s="77"/>
      <c r="F352" s="77"/>
      <c r="G352" s="118">
        <f t="shared" si="3"/>
        <v>0</v>
      </c>
      <c r="H352" s="81" t="str">
        <f t="shared" si="1"/>
        <v>—</v>
      </c>
      <c r="I352" s="81" t="str">
        <f t="shared" si="2"/>
        <v/>
      </c>
    </row>
    <row r="353" ht="18.0" customHeight="1">
      <c r="A353" s="132"/>
      <c r="B353" s="72"/>
      <c r="C353" s="72"/>
      <c r="D353" s="74"/>
      <c r="E353" s="72"/>
      <c r="F353" s="72"/>
      <c r="G353" s="114">
        <f t="shared" si="3"/>
        <v>0</v>
      </c>
      <c r="H353" s="76" t="str">
        <f t="shared" si="1"/>
        <v>—</v>
      </c>
      <c r="I353" s="76" t="str">
        <f t="shared" si="2"/>
        <v/>
      </c>
    </row>
    <row r="354" ht="18.0" customHeight="1">
      <c r="A354" s="134"/>
      <c r="B354" s="77"/>
      <c r="C354" s="77"/>
      <c r="D354" s="79"/>
      <c r="E354" s="77"/>
      <c r="F354" s="77"/>
      <c r="G354" s="118">
        <f t="shared" si="3"/>
        <v>0</v>
      </c>
      <c r="H354" s="81" t="str">
        <f t="shared" si="1"/>
        <v>—</v>
      </c>
      <c r="I354" s="81" t="str">
        <f t="shared" si="2"/>
        <v/>
      </c>
    </row>
    <row r="355" ht="18.0" customHeight="1">
      <c r="A355" s="132"/>
      <c r="B355" s="72"/>
      <c r="C355" s="72"/>
      <c r="D355" s="74"/>
      <c r="E355" s="72"/>
      <c r="F355" s="72"/>
      <c r="G355" s="114">
        <f t="shared" si="3"/>
        <v>0</v>
      </c>
      <c r="H355" s="76" t="str">
        <f t="shared" si="1"/>
        <v>—</v>
      </c>
      <c r="I355" s="76" t="str">
        <f t="shared" si="2"/>
        <v/>
      </c>
    </row>
    <row r="356" ht="18.0" customHeight="1">
      <c r="A356" s="134"/>
      <c r="B356" s="77"/>
      <c r="C356" s="77"/>
      <c r="D356" s="79"/>
      <c r="E356" s="77"/>
      <c r="F356" s="77"/>
      <c r="G356" s="118">
        <f t="shared" si="3"/>
        <v>0</v>
      </c>
      <c r="H356" s="81" t="str">
        <f t="shared" si="1"/>
        <v>—</v>
      </c>
      <c r="I356" s="81" t="str">
        <f t="shared" si="2"/>
        <v/>
      </c>
    </row>
    <row r="357" ht="18.0" customHeight="1">
      <c r="A357" s="132"/>
      <c r="B357" s="72"/>
      <c r="C357" s="72"/>
      <c r="D357" s="74"/>
      <c r="E357" s="72"/>
      <c r="F357" s="72"/>
      <c r="G357" s="114">
        <f t="shared" si="3"/>
        <v>0</v>
      </c>
      <c r="H357" s="76" t="str">
        <f t="shared" si="1"/>
        <v>—</v>
      </c>
      <c r="I357" s="76" t="str">
        <f t="shared" si="2"/>
        <v/>
      </c>
    </row>
    <row r="358" ht="18.0" customHeight="1">
      <c r="A358" s="134"/>
      <c r="B358" s="77"/>
      <c r="C358" s="77"/>
      <c r="D358" s="79"/>
      <c r="E358" s="77"/>
      <c r="F358" s="77"/>
      <c r="G358" s="118">
        <f t="shared" si="3"/>
        <v>0</v>
      </c>
      <c r="H358" s="81" t="str">
        <f t="shared" si="1"/>
        <v>—</v>
      </c>
      <c r="I358" s="81" t="str">
        <f t="shared" si="2"/>
        <v/>
      </c>
    </row>
    <row r="359" ht="18.0" customHeight="1">
      <c r="A359" s="132"/>
      <c r="B359" s="72"/>
      <c r="C359" s="72"/>
      <c r="D359" s="74"/>
      <c r="E359" s="72"/>
      <c r="F359" s="72"/>
      <c r="G359" s="114">
        <f t="shared" si="3"/>
        <v>0</v>
      </c>
      <c r="H359" s="76" t="str">
        <f t="shared" si="1"/>
        <v>—</v>
      </c>
      <c r="I359" s="76" t="str">
        <f t="shared" si="2"/>
        <v/>
      </c>
    </row>
    <row r="360" ht="18.0" customHeight="1">
      <c r="A360" s="134"/>
      <c r="B360" s="77"/>
      <c r="C360" s="77"/>
      <c r="D360" s="79"/>
      <c r="E360" s="77"/>
      <c r="F360" s="77"/>
      <c r="G360" s="118">
        <f t="shared" si="3"/>
        <v>0</v>
      </c>
      <c r="H360" s="81" t="str">
        <f t="shared" si="1"/>
        <v>—</v>
      </c>
      <c r="I360" s="81" t="str">
        <f t="shared" si="2"/>
        <v/>
      </c>
    </row>
    <row r="361" ht="18.0" customHeight="1">
      <c r="A361" s="132"/>
      <c r="B361" s="72"/>
      <c r="C361" s="72"/>
      <c r="D361" s="74"/>
      <c r="E361" s="72"/>
      <c r="F361" s="72"/>
      <c r="G361" s="114">
        <f t="shared" si="3"/>
        <v>0</v>
      </c>
      <c r="H361" s="76" t="str">
        <f t="shared" si="1"/>
        <v>—</v>
      </c>
      <c r="I361" s="76" t="str">
        <f t="shared" si="2"/>
        <v/>
      </c>
    </row>
    <row r="362" ht="18.0" customHeight="1">
      <c r="A362" s="134"/>
      <c r="B362" s="77"/>
      <c r="C362" s="77"/>
      <c r="D362" s="79"/>
      <c r="E362" s="77"/>
      <c r="F362" s="77"/>
      <c r="G362" s="118">
        <f t="shared" si="3"/>
        <v>0</v>
      </c>
      <c r="H362" s="81" t="str">
        <f t="shared" si="1"/>
        <v>—</v>
      </c>
      <c r="I362" s="81" t="str">
        <f t="shared" si="2"/>
        <v/>
      </c>
    </row>
    <row r="363" ht="18.0" customHeight="1">
      <c r="A363" s="132"/>
      <c r="B363" s="72"/>
      <c r="C363" s="72"/>
      <c r="D363" s="74"/>
      <c r="E363" s="72"/>
      <c r="F363" s="72"/>
      <c r="G363" s="114">
        <f t="shared" si="3"/>
        <v>0</v>
      </c>
      <c r="H363" s="76" t="str">
        <f t="shared" si="1"/>
        <v>—</v>
      </c>
      <c r="I363" s="76" t="str">
        <f t="shared" si="2"/>
        <v/>
      </c>
    </row>
    <row r="364" ht="18.0" customHeight="1">
      <c r="A364" s="134"/>
      <c r="B364" s="77"/>
      <c r="C364" s="77"/>
      <c r="D364" s="79"/>
      <c r="E364" s="77"/>
      <c r="F364" s="77"/>
      <c r="G364" s="118">
        <f t="shared" si="3"/>
        <v>0</v>
      </c>
      <c r="H364" s="81" t="str">
        <f t="shared" si="1"/>
        <v>—</v>
      </c>
      <c r="I364" s="81" t="str">
        <f t="shared" si="2"/>
        <v/>
      </c>
    </row>
    <row r="365" ht="18.0" customHeight="1">
      <c r="A365" s="132"/>
      <c r="B365" s="72"/>
      <c r="C365" s="72"/>
      <c r="D365" s="74"/>
      <c r="E365" s="72"/>
      <c r="F365" s="72"/>
      <c r="G365" s="114">
        <f t="shared" si="3"/>
        <v>0</v>
      </c>
      <c r="H365" s="76" t="str">
        <f t="shared" si="1"/>
        <v>—</v>
      </c>
      <c r="I365" s="76" t="str">
        <f t="shared" si="2"/>
        <v/>
      </c>
    </row>
    <row r="366" ht="18.0" customHeight="1">
      <c r="A366" s="134"/>
      <c r="B366" s="77"/>
      <c r="C366" s="77"/>
      <c r="D366" s="79"/>
      <c r="E366" s="77"/>
      <c r="F366" s="77"/>
      <c r="G366" s="118">
        <f t="shared" si="3"/>
        <v>0</v>
      </c>
      <c r="H366" s="81" t="str">
        <f t="shared" si="1"/>
        <v>—</v>
      </c>
      <c r="I366" s="81" t="str">
        <f t="shared" si="2"/>
        <v/>
      </c>
    </row>
    <row r="367" ht="18.0" customHeight="1">
      <c r="A367" s="132"/>
      <c r="B367" s="72"/>
      <c r="C367" s="72"/>
      <c r="D367" s="74"/>
      <c r="E367" s="72"/>
      <c r="F367" s="72"/>
      <c r="G367" s="114">
        <f t="shared" si="3"/>
        <v>0</v>
      </c>
      <c r="H367" s="76" t="str">
        <f t="shared" si="1"/>
        <v>—</v>
      </c>
      <c r="I367" s="76" t="str">
        <f t="shared" si="2"/>
        <v/>
      </c>
    </row>
    <row r="368" ht="18.0" customHeight="1">
      <c r="A368" s="134"/>
      <c r="B368" s="77"/>
      <c r="C368" s="77"/>
      <c r="D368" s="79"/>
      <c r="E368" s="77"/>
      <c r="F368" s="77"/>
      <c r="G368" s="118">
        <f t="shared" si="3"/>
        <v>0</v>
      </c>
      <c r="H368" s="81" t="str">
        <f t="shared" si="1"/>
        <v>—</v>
      </c>
      <c r="I368" s="81" t="str">
        <f t="shared" si="2"/>
        <v/>
      </c>
    </row>
    <row r="369" ht="18.0" customHeight="1">
      <c r="A369" s="132"/>
      <c r="B369" s="72"/>
      <c r="C369" s="72"/>
      <c r="D369" s="74"/>
      <c r="E369" s="72"/>
      <c r="F369" s="72"/>
      <c r="G369" s="114">
        <f t="shared" si="3"/>
        <v>0</v>
      </c>
      <c r="H369" s="76" t="str">
        <f t="shared" si="1"/>
        <v>—</v>
      </c>
      <c r="I369" s="76" t="str">
        <f t="shared" si="2"/>
        <v/>
      </c>
    </row>
    <row r="370" ht="18.0" customHeight="1">
      <c r="A370" s="134"/>
      <c r="B370" s="77"/>
      <c r="C370" s="77"/>
      <c r="D370" s="79"/>
      <c r="E370" s="77"/>
      <c r="F370" s="77"/>
      <c r="G370" s="118">
        <f t="shared" si="3"/>
        <v>0</v>
      </c>
      <c r="H370" s="81" t="str">
        <f t="shared" si="1"/>
        <v>—</v>
      </c>
      <c r="I370" s="81" t="str">
        <f t="shared" si="2"/>
        <v/>
      </c>
    </row>
    <row r="371" ht="18.0" customHeight="1">
      <c r="A371" s="132"/>
      <c r="B371" s="72"/>
      <c r="C371" s="72"/>
      <c r="D371" s="74"/>
      <c r="E371" s="72"/>
      <c r="F371" s="72"/>
      <c r="G371" s="114">
        <f t="shared" si="3"/>
        <v>0</v>
      </c>
      <c r="H371" s="76" t="str">
        <f t="shared" si="1"/>
        <v>—</v>
      </c>
      <c r="I371" s="76" t="str">
        <f t="shared" si="2"/>
        <v/>
      </c>
    </row>
    <row r="372" ht="18.0" customHeight="1">
      <c r="A372" s="134"/>
      <c r="B372" s="77"/>
      <c r="C372" s="77"/>
      <c r="D372" s="79"/>
      <c r="E372" s="77"/>
      <c r="F372" s="77"/>
      <c r="G372" s="118">
        <f t="shared" si="3"/>
        <v>0</v>
      </c>
      <c r="H372" s="81" t="str">
        <f t="shared" si="1"/>
        <v>—</v>
      </c>
      <c r="I372" s="81" t="str">
        <f t="shared" si="2"/>
        <v/>
      </c>
    </row>
    <row r="373" ht="18.0" customHeight="1">
      <c r="A373" s="132"/>
      <c r="B373" s="72"/>
      <c r="C373" s="72"/>
      <c r="D373" s="74"/>
      <c r="E373" s="72"/>
      <c r="F373" s="72"/>
      <c r="G373" s="114">
        <f t="shared" si="3"/>
        <v>0</v>
      </c>
      <c r="H373" s="76" t="str">
        <f t="shared" si="1"/>
        <v>—</v>
      </c>
      <c r="I373" s="76" t="str">
        <f t="shared" si="2"/>
        <v/>
      </c>
    </row>
    <row r="374" ht="18.0" customHeight="1">
      <c r="A374" s="134"/>
      <c r="B374" s="77"/>
      <c r="C374" s="77"/>
      <c r="D374" s="79"/>
      <c r="E374" s="77"/>
      <c r="F374" s="77"/>
      <c r="G374" s="118">
        <f t="shared" si="3"/>
        <v>0</v>
      </c>
      <c r="H374" s="81" t="str">
        <f t="shared" si="1"/>
        <v>—</v>
      </c>
      <c r="I374" s="81" t="str">
        <f t="shared" si="2"/>
        <v/>
      </c>
    </row>
    <row r="375" ht="18.0" customHeight="1">
      <c r="A375" s="132"/>
      <c r="B375" s="72"/>
      <c r="C375" s="72"/>
      <c r="D375" s="74"/>
      <c r="E375" s="72"/>
      <c r="F375" s="72"/>
      <c r="G375" s="114">
        <f t="shared" si="3"/>
        <v>0</v>
      </c>
      <c r="H375" s="76" t="str">
        <f t="shared" si="1"/>
        <v>—</v>
      </c>
      <c r="I375" s="76" t="str">
        <f t="shared" si="2"/>
        <v/>
      </c>
    </row>
    <row r="376" ht="18.0" customHeight="1">
      <c r="A376" s="134"/>
      <c r="B376" s="77"/>
      <c r="C376" s="77"/>
      <c r="D376" s="79"/>
      <c r="E376" s="77"/>
      <c r="F376" s="77"/>
      <c r="G376" s="118">
        <f t="shared" si="3"/>
        <v>0</v>
      </c>
      <c r="H376" s="81" t="str">
        <f t="shared" si="1"/>
        <v>—</v>
      </c>
      <c r="I376" s="81" t="str">
        <f t="shared" si="2"/>
        <v/>
      </c>
    </row>
    <row r="377" ht="18.0" customHeight="1">
      <c r="A377" s="132"/>
      <c r="B377" s="72"/>
      <c r="C377" s="72"/>
      <c r="D377" s="74"/>
      <c r="E377" s="72"/>
      <c r="F377" s="72"/>
      <c r="G377" s="114">
        <f t="shared" si="3"/>
        <v>0</v>
      </c>
      <c r="H377" s="76" t="str">
        <f t="shared" si="1"/>
        <v>—</v>
      </c>
      <c r="I377" s="76" t="str">
        <f t="shared" si="2"/>
        <v/>
      </c>
    </row>
    <row r="378" ht="18.0" customHeight="1">
      <c r="A378" s="134"/>
      <c r="B378" s="77"/>
      <c r="C378" s="77"/>
      <c r="D378" s="79"/>
      <c r="E378" s="77"/>
      <c r="F378" s="77"/>
      <c r="G378" s="118">
        <f t="shared" si="3"/>
        <v>0</v>
      </c>
      <c r="H378" s="81" t="str">
        <f t="shared" si="1"/>
        <v>—</v>
      </c>
      <c r="I378" s="81" t="str">
        <f t="shared" si="2"/>
        <v/>
      </c>
    </row>
    <row r="379" ht="18.0" customHeight="1">
      <c r="A379" s="132"/>
      <c r="B379" s="72"/>
      <c r="C379" s="72"/>
      <c r="D379" s="74"/>
      <c r="E379" s="72"/>
      <c r="F379" s="72"/>
      <c r="G379" s="114">
        <f t="shared" si="3"/>
        <v>0</v>
      </c>
      <c r="H379" s="76" t="str">
        <f t="shared" si="1"/>
        <v>—</v>
      </c>
      <c r="I379" s="76" t="str">
        <f t="shared" si="2"/>
        <v/>
      </c>
    </row>
    <row r="380" ht="18.0" customHeight="1">
      <c r="A380" s="134"/>
      <c r="B380" s="77"/>
      <c r="C380" s="77"/>
      <c r="D380" s="79"/>
      <c r="E380" s="77"/>
      <c r="F380" s="77"/>
      <c r="G380" s="118">
        <f t="shared" si="3"/>
        <v>0</v>
      </c>
      <c r="H380" s="81" t="str">
        <f t="shared" si="1"/>
        <v>—</v>
      </c>
      <c r="I380" s="81" t="str">
        <f t="shared" si="2"/>
        <v/>
      </c>
    </row>
    <row r="381" ht="18.0" customHeight="1">
      <c r="A381" s="132"/>
      <c r="B381" s="72"/>
      <c r="C381" s="72"/>
      <c r="D381" s="74"/>
      <c r="E381" s="72"/>
      <c r="F381" s="72"/>
      <c r="G381" s="114">
        <f t="shared" si="3"/>
        <v>0</v>
      </c>
      <c r="H381" s="76" t="str">
        <f t="shared" si="1"/>
        <v>—</v>
      </c>
      <c r="I381" s="76" t="str">
        <f t="shared" si="2"/>
        <v/>
      </c>
    </row>
    <row r="382" ht="18.0" customHeight="1">
      <c r="A382" s="134"/>
      <c r="B382" s="77"/>
      <c r="C382" s="77"/>
      <c r="D382" s="79"/>
      <c r="E382" s="77"/>
      <c r="F382" s="77"/>
      <c r="G382" s="118">
        <f t="shared" si="3"/>
        <v>0</v>
      </c>
      <c r="H382" s="81" t="str">
        <f t="shared" si="1"/>
        <v>—</v>
      </c>
      <c r="I382" s="81" t="str">
        <f t="shared" si="2"/>
        <v/>
      </c>
    </row>
    <row r="383" ht="18.0" customHeight="1">
      <c r="A383" s="132"/>
      <c r="B383" s="72"/>
      <c r="C383" s="72"/>
      <c r="D383" s="74"/>
      <c r="E383" s="72"/>
      <c r="F383" s="72"/>
      <c r="G383" s="114">
        <f t="shared" si="3"/>
        <v>0</v>
      </c>
      <c r="H383" s="76" t="str">
        <f t="shared" si="1"/>
        <v>—</v>
      </c>
      <c r="I383" s="76" t="str">
        <f t="shared" si="2"/>
        <v/>
      </c>
    </row>
    <row r="384" ht="18.0" customHeight="1">
      <c r="A384" s="134"/>
      <c r="B384" s="77"/>
      <c r="C384" s="77"/>
      <c r="D384" s="79"/>
      <c r="E384" s="77"/>
      <c r="F384" s="77"/>
      <c r="G384" s="118">
        <f t="shared" si="3"/>
        <v>0</v>
      </c>
      <c r="H384" s="81" t="str">
        <f t="shared" si="1"/>
        <v>—</v>
      </c>
      <c r="I384" s="81" t="str">
        <f t="shared" si="2"/>
        <v/>
      </c>
    </row>
    <row r="385" ht="18.0" customHeight="1">
      <c r="A385" s="132"/>
      <c r="B385" s="72"/>
      <c r="C385" s="72"/>
      <c r="D385" s="74"/>
      <c r="E385" s="72"/>
      <c r="F385" s="72"/>
      <c r="G385" s="114">
        <f t="shared" si="3"/>
        <v>0</v>
      </c>
      <c r="H385" s="76" t="str">
        <f t="shared" si="1"/>
        <v>—</v>
      </c>
      <c r="I385" s="76" t="str">
        <f t="shared" si="2"/>
        <v/>
      </c>
    </row>
    <row r="386" ht="18.0" customHeight="1">
      <c r="A386" s="134"/>
      <c r="B386" s="77"/>
      <c r="C386" s="77"/>
      <c r="D386" s="79"/>
      <c r="E386" s="77"/>
      <c r="F386" s="77"/>
      <c r="G386" s="118">
        <f t="shared" si="3"/>
        <v>0</v>
      </c>
      <c r="H386" s="81" t="str">
        <f t="shared" si="1"/>
        <v>—</v>
      </c>
      <c r="I386" s="81" t="str">
        <f t="shared" si="2"/>
        <v/>
      </c>
    </row>
    <row r="387" ht="18.0" customHeight="1">
      <c r="A387" s="132"/>
      <c r="B387" s="72"/>
      <c r="C387" s="72"/>
      <c r="D387" s="74"/>
      <c r="E387" s="72"/>
      <c r="F387" s="72"/>
      <c r="G387" s="114">
        <f t="shared" si="3"/>
        <v>0</v>
      </c>
      <c r="H387" s="76" t="str">
        <f t="shared" si="1"/>
        <v>—</v>
      </c>
      <c r="I387" s="76" t="str">
        <f t="shared" si="2"/>
        <v/>
      </c>
    </row>
    <row r="388" ht="18.0" customHeight="1">
      <c r="A388" s="134"/>
      <c r="B388" s="77"/>
      <c r="C388" s="77"/>
      <c r="D388" s="79"/>
      <c r="E388" s="77"/>
      <c r="F388" s="77"/>
      <c r="G388" s="118">
        <f t="shared" si="3"/>
        <v>0</v>
      </c>
      <c r="H388" s="81" t="str">
        <f t="shared" si="1"/>
        <v>—</v>
      </c>
      <c r="I388" s="81" t="str">
        <f t="shared" si="2"/>
        <v/>
      </c>
    </row>
    <row r="389" ht="18.0" customHeight="1">
      <c r="A389" s="132"/>
      <c r="B389" s="72"/>
      <c r="C389" s="72"/>
      <c r="D389" s="74"/>
      <c r="E389" s="72"/>
      <c r="F389" s="72"/>
      <c r="G389" s="114">
        <f t="shared" si="3"/>
        <v>0</v>
      </c>
      <c r="H389" s="76" t="str">
        <f t="shared" si="1"/>
        <v>—</v>
      </c>
      <c r="I389" s="76" t="str">
        <f t="shared" si="2"/>
        <v/>
      </c>
    </row>
    <row r="390" ht="18.0" customHeight="1">
      <c r="A390" s="134"/>
      <c r="B390" s="77"/>
      <c r="C390" s="77"/>
      <c r="D390" s="79"/>
      <c r="E390" s="77"/>
      <c r="F390" s="77"/>
      <c r="G390" s="118">
        <f t="shared" si="3"/>
        <v>0</v>
      </c>
      <c r="H390" s="81" t="str">
        <f t="shared" si="1"/>
        <v>—</v>
      </c>
      <c r="I390" s="81" t="str">
        <f t="shared" si="2"/>
        <v/>
      </c>
    </row>
    <row r="391" ht="18.0" customHeight="1">
      <c r="A391" s="132"/>
      <c r="B391" s="72"/>
      <c r="C391" s="72"/>
      <c r="D391" s="74"/>
      <c r="E391" s="72"/>
      <c r="F391" s="72"/>
      <c r="G391" s="114">
        <f t="shared" si="3"/>
        <v>0</v>
      </c>
      <c r="H391" s="76" t="str">
        <f t="shared" si="1"/>
        <v>—</v>
      </c>
      <c r="I391" s="76" t="str">
        <f t="shared" si="2"/>
        <v/>
      </c>
    </row>
    <row r="392" ht="18.0" customHeight="1">
      <c r="A392" s="134"/>
      <c r="B392" s="77"/>
      <c r="C392" s="77"/>
      <c r="D392" s="79"/>
      <c r="E392" s="77"/>
      <c r="F392" s="77"/>
      <c r="G392" s="118">
        <f t="shared" si="3"/>
        <v>0</v>
      </c>
      <c r="H392" s="81" t="str">
        <f t="shared" si="1"/>
        <v>—</v>
      </c>
      <c r="I392" s="81" t="str">
        <f t="shared" si="2"/>
        <v/>
      </c>
    </row>
    <row r="393" ht="18.0" customHeight="1">
      <c r="A393" s="132"/>
      <c r="B393" s="72"/>
      <c r="C393" s="72"/>
      <c r="D393" s="74"/>
      <c r="E393" s="72"/>
      <c r="F393" s="72"/>
      <c r="G393" s="114">
        <f t="shared" si="3"/>
        <v>0</v>
      </c>
      <c r="H393" s="76" t="str">
        <f t="shared" si="1"/>
        <v>—</v>
      </c>
      <c r="I393" s="76" t="str">
        <f t="shared" si="2"/>
        <v/>
      </c>
    </row>
    <row r="394" ht="18.0" customHeight="1">
      <c r="A394" s="134"/>
      <c r="B394" s="77"/>
      <c r="C394" s="77"/>
      <c r="D394" s="79"/>
      <c r="E394" s="77"/>
      <c r="F394" s="77"/>
      <c r="G394" s="118">
        <f t="shared" si="3"/>
        <v>0</v>
      </c>
      <c r="H394" s="81" t="str">
        <f t="shared" si="1"/>
        <v>—</v>
      </c>
      <c r="I394" s="81" t="str">
        <f t="shared" si="2"/>
        <v/>
      </c>
    </row>
    <row r="395" ht="18.0" customHeight="1">
      <c r="A395" s="132"/>
      <c r="B395" s="72"/>
      <c r="C395" s="72"/>
      <c r="D395" s="74"/>
      <c r="E395" s="72"/>
      <c r="F395" s="72"/>
      <c r="G395" s="114">
        <f t="shared" si="3"/>
        <v>0</v>
      </c>
      <c r="H395" s="76" t="str">
        <f t="shared" si="1"/>
        <v>—</v>
      </c>
      <c r="I395" s="76" t="str">
        <f t="shared" si="2"/>
        <v/>
      </c>
    </row>
    <row r="396" ht="18.0" customHeight="1">
      <c r="A396" s="134"/>
      <c r="B396" s="77"/>
      <c r="C396" s="77"/>
      <c r="D396" s="79"/>
      <c r="E396" s="77"/>
      <c r="F396" s="77"/>
      <c r="G396" s="118">
        <f t="shared" si="3"/>
        <v>0</v>
      </c>
      <c r="H396" s="81" t="str">
        <f t="shared" si="1"/>
        <v>—</v>
      </c>
      <c r="I396" s="81" t="str">
        <f t="shared" si="2"/>
        <v/>
      </c>
    </row>
    <row r="397" ht="18.0" customHeight="1">
      <c r="A397" s="132"/>
      <c r="B397" s="72"/>
      <c r="C397" s="72"/>
      <c r="D397" s="74"/>
      <c r="E397" s="72"/>
      <c r="F397" s="72"/>
      <c r="G397" s="114">
        <f t="shared" si="3"/>
        <v>0</v>
      </c>
      <c r="H397" s="76" t="str">
        <f t="shared" si="1"/>
        <v>—</v>
      </c>
      <c r="I397" s="76" t="str">
        <f t="shared" si="2"/>
        <v/>
      </c>
    </row>
    <row r="398" ht="18.0" customHeight="1">
      <c r="A398" s="134"/>
      <c r="B398" s="77"/>
      <c r="C398" s="77"/>
      <c r="D398" s="79"/>
      <c r="E398" s="77"/>
      <c r="F398" s="77"/>
      <c r="G398" s="118">
        <f t="shared" si="3"/>
        <v>0</v>
      </c>
      <c r="H398" s="81" t="str">
        <f t="shared" si="1"/>
        <v>—</v>
      </c>
      <c r="I398" s="81" t="str">
        <f t="shared" si="2"/>
        <v/>
      </c>
    </row>
    <row r="399" ht="18.0" customHeight="1">
      <c r="A399" s="132"/>
      <c r="B399" s="72"/>
      <c r="C399" s="72"/>
      <c r="D399" s="74"/>
      <c r="E399" s="72"/>
      <c r="F399" s="72"/>
      <c r="G399" s="114">
        <f t="shared" si="3"/>
        <v>0</v>
      </c>
      <c r="H399" s="76" t="str">
        <f t="shared" si="1"/>
        <v>—</v>
      </c>
      <c r="I399" s="76" t="str">
        <f t="shared" si="2"/>
        <v/>
      </c>
    </row>
    <row r="400" ht="18.0" customHeight="1">
      <c r="A400" s="134"/>
      <c r="B400" s="77"/>
      <c r="C400" s="77"/>
      <c r="D400" s="79"/>
      <c r="E400" s="77"/>
      <c r="F400" s="77"/>
      <c r="G400" s="118">
        <f t="shared" si="3"/>
        <v>0</v>
      </c>
      <c r="H400" s="81" t="str">
        <f t="shared" si="1"/>
        <v>—</v>
      </c>
      <c r="I400" s="81" t="str">
        <f t="shared" si="2"/>
        <v/>
      </c>
    </row>
    <row r="401" ht="18.0" customHeight="1">
      <c r="A401" s="132"/>
      <c r="B401" s="72"/>
      <c r="C401" s="72"/>
      <c r="D401" s="74"/>
      <c r="E401" s="72"/>
      <c r="F401" s="72"/>
      <c r="G401" s="114">
        <f t="shared" si="3"/>
        <v>0</v>
      </c>
      <c r="H401" s="76" t="str">
        <f t="shared" si="1"/>
        <v>—</v>
      </c>
      <c r="I401" s="76" t="str">
        <f t="shared" si="2"/>
        <v/>
      </c>
    </row>
    <row r="402" ht="18.0" customHeight="1">
      <c r="A402" s="134"/>
      <c r="B402" s="77"/>
      <c r="C402" s="77"/>
      <c r="D402" s="79"/>
      <c r="E402" s="77"/>
      <c r="F402" s="77"/>
      <c r="G402" s="118">
        <f t="shared" si="3"/>
        <v>0</v>
      </c>
      <c r="H402" s="81" t="str">
        <f t="shared" si="1"/>
        <v>—</v>
      </c>
      <c r="I402" s="81" t="str">
        <f t="shared" si="2"/>
        <v/>
      </c>
    </row>
    <row r="403" ht="18.0" customHeight="1">
      <c r="A403" s="132"/>
      <c r="B403" s="72"/>
      <c r="C403" s="72"/>
      <c r="D403" s="74"/>
      <c r="E403" s="72"/>
      <c r="F403" s="72"/>
      <c r="G403" s="114">
        <f t="shared" si="3"/>
        <v>0</v>
      </c>
      <c r="H403" s="76" t="str">
        <f t="shared" si="1"/>
        <v>—</v>
      </c>
      <c r="I403" s="76" t="str">
        <f t="shared" si="2"/>
        <v/>
      </c>
    </row>
    <row r="404" ht="18.0" customHeight="1">
      <c r="A404" s="134"/>
      <c r="B404" s="77"/>
      <c r="C404" s="77"/>
      <c r="D404" s="79"/>
      <c r="E404" s="77"/>
      <c r="F404" s="77"/>
      <c r="G404" s="118">
        <f t="shared" si="3"/>
        <v>0</v>
      </c>
      <c r="H404" s="81" t="str">
        <f t="shared" si="1"/>
        <v>—</v>
      </c>
      <c r="I404" s="81" t="str">
        <f t="shared" si="2"/>
        <v/>
      </c>
    </row>
    <row r="405" ht="18.0" customHeight="1">
      <c r="A405" s="132"/>
      <c r="B405" s="72"/>
      <c r="C405" s="72"/>
      <c r="D405" s="74"/>
      <c r="E405" s="72"/>
      <c r="F405" s="72"/>
      <c r="G405" s="114">
        <f t="shared" si="3"/>
        <v>0</v>
      </c>
      <c r="H405" s="76" t="str">
        <f t="shared" si="1"/>
        <v>—</v>
      </c>
      <c r="I405" s="76" t="str">
        <f t="shared" si="2"/>
        <v/>
      </c>
    </row>
    <row r="406" ht="18.0" customHeight="1">
      <c r="A406" s="134"/>
      <c r="B406" s="77"/>
      <c r="C406" s="77"/>
      <c r="D406" s="79"/>
      <c r="E406" s="77"/>
      <c r="F406" s="77"/>
      <c r="G406" s="118">
        <f t="shared" si="3"/>
        <v>0</v>
      </c>
      <c r="H406" s="81" t="str">
        <f t="shared" si="1"/>
        <v>—</v>
      </c>
      <c r="I406" s="81" t="str">
        <f t="shared" si="2"/>
        <v/>
      </c>
    </row>
    <row r="407" ht="18.0" customHeight="1">
      <c r="A407" s="132"/>
      <c r="B407" s="72"/>
      <c r="C407" s="72"/>
      <c r="D407" s="74"/>
      <c r="E407" s="72"/>
      <c r="F407" s="72"/>
      <c r="G407" s="114">
        <f t="shared" si="3"/>
        <v>0</v>
      </c>
      <c r="H407" s="76" t="str">
        <f t="shared" si="1"/>
        <v>—</v>
      </c>
      <c r="I407" s="76" t="str">
        <f t="shared" si="2"/>
        <v/>
      </c>
    </row>
    <row r="408" ht="18.0" customHeight="1">
      <c r="A408" s="134"/>
      <c r="B408" s="77"/>
      <c r="C408" s="77"/>
      <c r="D408" s="79"/>
      <c r="E408" s="77"/>
      <c r="F408" s="77"/>
      <c r="G408" s="118">
        <f t="shared" si="3"/>
        <v>0</v>
      </c>
      <c r="H408" s="81" t="str">
        <f t="shared" si="1"/>
        <v>—</v>
      </c>
      <c r="I408" s="81" t="str">
        <f t="shared" si="2"/>
        <v/>
      </c>
    </row>
    <row r="409" ht="18.0" customHeight="1">
      <c r="A409" s="132"/>
      <c r="B409" s="72"/>
      <c r="C409" s="72"/>
      <c r="D409" s="74"/>
      <c r="E409" s="72"/>
      <c r="F409" s="72"/>
      <c r="G409" s="114">
        <f t="shared" si="3"/>
        <v>0</v>
      </c>
      <c r="H409" s="76" t="str">
        <f t="shared" si="1"/>
        <v>—</v>
      </c>
      <c r="I409" s="76" t="str">
        <f t="shared" si="2"/>
        <v/>
      </c>
    </row>
    <row r="410" ht="18.0" customHeight="1">
      <c r="A410" s="134"/>
      <c r="B410" s="77"/>
      <c r="C410" s="77"/>
      <c r="D410" s="79"/>
      <c r="E410" s="77"/>
      <c r="F410" s="77"/>
      <c r="G410" s="118">
        <f t="shared" si="3"/>
        <v>0</v>
      </c>
      <c r="H410" s="81" t="str">
        <f t="shared" si="1"/>
        <v>—</v>
      </c>
      <c r="I410" s="81" t="str">
        <f t="shared" si="2"/>
        <v/>
      </c>
    </row>
    <row r="411" ht="18.0" customHeight="1">
      <c r="A411" s="132"/>
      <c r="B411" s="72"/>
      <c r="C411" s="72"/>
      <c r="D411" s="74"/>
      <c r="E411" s="72"/>
      <c r="F411" s="72"/>
      <c r="G411" s="114">
        <f t="shared" si="3"/>
        <v>0</v>
      </c>
      <c r="H411" s="76" t="str">
        <f t="shared" si="1"/>
        <v>—</v>
      </c>
      <c r="I411" s="76" t="str">
        <f t="shared" si="2"/>
        <v/>
      </c>
    </row>
    <row r="412" ht="18.0" customHeight="1">
      <c r="A412" s="134"/>
      <c r="B412" s="77"/>
      <c r="C412" s="77"/>
      <c r="D412" s="79"/>
      <c r="E412" s="77"/>
      <c r="F412" s="77"/>
      <c r="G412" s="118">
        <f t="shared" si="3"/>
        <v>0</v>
      </c>
      <c r="H412" s="81" t="str">
        <f t="shared" si="1"/>
        <v>—</v>
      </c>
      <c r="I412" s="81" t="str">
        <f t="shared" si="2"/>
        <v/>
      </c>
    </row>
    <row r="413" ht="18.0" customHeight="1">
      <c r="A413" s="132"/>
      <c r="B413" s="72"/>
      <c r="C413" s="72"/>
      <c r="D413" s="74"/>
      <c r="E413" s="72"/>
      <c r="F413" s="72"/>
      <c r="G413" s="114">
        <f t="shared" si="3"/>
        <v>0</v>
      </c>
      <c r="H413" s="76" t="str">
        <f t="shared" si="1"/>
        <v>—</v>
      </c>
      <c r="I413" s="76" t="str">
        <f t="shared" si="2"/>
        <v/>
      </c>
    </row>
    <row r="414" ht="18.0" customHeight="1">
      <c r="A414" s="134"/>
      <c r="B414" s="77"/>
      <c r="C414" s="77"/>
      <c r="D414" s="79"/>
      <c r="E414" s="77"/>
      <c r="F414" s="77"/>
      <c r="G414" s="118">
        <f t="shared" si="3"/>
        <v>0</v>
      </c>
      <c r="H414" s="81" t="str">
        <f t="shared" si="1"/>
        <v>—</v>
      </c>
      <c r="I414" s="81" t="str">
        <f t="shared" si="2"/>
        <v/>
      </c>
    </row>
    <row r="415" ht="18.0" customHeight="1">
      <c r="A415" s="132"/>
      <c r="B415" s="72"/>
      <c r="C415" s="72"/>
      <c r="D415" s="74"/>
      <c r="E415" s="72"/>
      <c r="F415" s="72"/>
      <c r="G415" s="114">
        <f t="shared" si="3"/>
        <v>0</v>
      </c>
      <c r="H415" s="76" t="str">
        <f t="shared" si="1"/>
        <v>—</v>
      </c>
      <c r="I415" s="76" t="str">
        <f t="shared" si="2"/>
        <v/>
      </c>
    </row>
    <row r="416" ht="18.0" customHeight="1">
      <c r="A416" s="134"/>
      <c r="B416" s="77"/>
      <c r="C416" s="77"/>
      <c r="D416" s="79"/>
      <c r="E416" s="77"/>
      <c r="F416" s="77"/>
      <c r="G416" s="118">
        <f t="shared" si="3"/>
        <v>0</v>
      </c>
      <c r="H416" s="81" t="str">
        <f t="shared" si="1"/>
        <v>—</v>
      </c>
      <c r="I416" s="81" t="str">
        <f t="shared" si="2"/>
        <v/>
      </c>
    </row>
    <row r="417" ht="18.0" customHeight="1">
      <c r="A417" s="132"/>
      <c r="B417" s="72"/>
      <c r="C417" s="72"/>
      <c r="D417" s="74"/>
      <c r="E417" s="72"/>
      <c r="F417" s="72"/>
      <c r="G417" s="114">
        <f t="shared" si="3"/>
        <v>0</v>
      </c>
      <c r="H417" s="76" t="str">
        <f t="shared" si="1"/>
        <v>—</v>
      </c>
      <c r="I417" s="76" t="str">
        <f t="shared" si="2"/>
        <v/>
      </c>
    </row>
    <row r="418" ht="18.0" customHeight="1">
      <c r="A418" s="134"/>
      <c r="B418" s="77"/>
      <c r="C418" s="77"/>
      <c r="D418" s="79"/>
      <c r="E418" s="77"/>
      <c r="F418" s="77"/>
      <c r="G418" s="118">
        <f t="shared" si="3"/>
        <v>0</v>
      </c>
      <c r="H418" s="81" t="str">
        <f t="shared" si="1"/>
        <v>—</v>
      </c>
      <c r="I418" s="81" t="str">
        <f t="shared" si="2"/>
        <v/>
      </c>
    </row>
    <row r="419" ht="18.0" customHeight="1">
      <c r="A419" s="132"/>
      <c r="B419" s="72"/>
      <c r="C419" s="72"/>
      <c r="D419" s="74"/>
      <c r="E419" s="72"/>
      <c r="F419" s="72"/>
      <c r="G419" s="114">
        <f t="shared" si="3"/>
        <v>0</v>
      </c>
      <c r="H419" s="76" t="str">
        <f t="shared" si="1"/>
        <v>—</v>
      </c>
      <c r="I419" s="76" t="str">
        <f t="shared" si="2"/>
        <v/>
      </c>
    </row>
    <row r="420" ht="18.0" customHeight="1">
      <c r="A420" s="134"/>
      <c r="B420" s="77"/>
      <c r="C420" s="77"/>
      <c r="D420" s="79"/>
      <c r="E420" s="77"/>
      <c r="F420" s="77"/>
      <c r="G420" s="118">
        <f t="shared" si="3"/>
        <v>0</v>
      </c>
      <c r="H420" s="81" t="str">
        <f t="shared" si="1"/>
        <v>—</v>
      </c>
      <c r="I420" s="81" t="str">
        <f t="shared" si="2"/>
        <v/>
      </c>
    </row>
    <row r="421" ht="18.0" customHeight="1">
      <c r="A421" s="132"/>
      <c r="B421" s="72"/>
      <c r="C421" s="72"/>
      <c r="D421" s="74"/>
      <c r="E421" s="72"/>
      <c r="F421" s="72"/>
      <c r="G421" s="114">
        <f t="shared" si="3"/>
        <v>0</v>
      </c>
      <c r="H421" s="76" t="str">
        <f t="shared" si="1"/>
        <v>—</v>
      </c>
      <c r="I421" s="76" t="str">
        <f t="shared" si="2"/>
        <v/>
      </c>
    </row>
    <row r="422" ht="18.0" customHeight="1">
      <c r="A422" s="134"/>
      <c r="B422" s="77"/>
      <c r="C422" s="77"/>
      <c r="D422" s="79"/>
      <c r="E422" s="77"/>
      <c r="F422" s="77"/>
      <c r="G422" s="118">
        <f t="shared" si="3"/>
        <v>0</v>
      </c>
      <c r="H422" s="81" t="str">
        <f t="shared" si="1"/>
        <v>—</v>
      </c>
      <c r="I422" s="81" t="str">
        <f t="shared" si="2"/>
        <v/>
      </c>
    </row>
    <row r="423" ht="18.0" customHeight="1">
      <c r="A423" s="132"/>
      <c r="B423" s="72"/>
      <c r="C423" s="72"/>
      <c r="D423" s="74"/>
      <c r="E423" s="72"/>
      <c r="F423" s="72"/>
      <c r="G423" s="114">
        <f t="shared" si="3"/>
        <v>0</v>
      </c>
      <c r="H423" s="76" t="str">
        <f t="shared" si="1"/>
        <v>—</v>
      </c>
      <c r="I423" s="76" t="str">
        <f t="shared" si="2"/>
        <v/>
      </c>
    </row>
    <row r="424" ht="18.0" customHeight="1">
      <c r="A424" s="134"/>
      <c r="B424" s="77"/>
      <c r="C424" s="77"/>
      <c r="D424" s="79"/>
      <c r="E424" s="77"/>
      <c r="F424" s="77"/>
      <c r="G424" s="118">
        <f t="shared" si="3"/>
        <v>0</v>
      </c>
      <c r="H424" s="81" t="str">
        <f t="shared" si="1"/>
        <v>—</v>
      </c>
      <c r="I424" s="81" t="str">
        <f t="shared" si="2"/>
        <v/>
      </c>
    </row>
    <row r="425" ht="18.0" customHeight="1">
      <c r="A425" s="132"/>
      <c r="B425" s="72"/>
      <c r="C425" s="72"/>
      <c r="D425" s="74"/>
      <c r="E425" s="72"/>
      <c r="F425" s="72"/>
      <c r="G425" s="114">
        <f t="shared" si="3"/>
        <v>0</v>
      </c>
      <c r="H425" s="76" t="str">
        <f t="shared" si="1"/>
        <v>—</v>
      </c>
      <c r="I425" s="76" t="str">
        <f t="shared" si="2"/>
        <v/>
      </c>
    </row>
    <row r="426" ht="18.0" customHeight="1">
      <c r="A426" s="134"/>
      <c r="B426" s="77"/>
      <c r="C426" s="77"/>
      <c r="D426" s="79"/>
      <c r="E426" s="77"/>
      <c r="F426" s="77"/>
      <c r="G426" s="118">
        <f t="shared" si="3"/>
        <v>0</v>
      </c>
      <c r="H426" s="81" t="str">
        <f t="shared" si="1"/>
        <v>—</v>
      </c>
      <c r="I426" s="81" t="str">
        <f t="shared" si="2"/>
        <v/>
      </c>
    </row>
    <row r="427" ht="18.0" customHeight="1">
      <c r="A427" s="132"/>
      <c r="B427" s="72"/>
      <c r="C427" s="72"/>
      <c r="D427" s="74"/>
      <c r="E427" s="72"/>
      <c r="F427" s="72"/>
      <c r="G427" s="114">
        <f t="shared" si="3"/>
        <v>0</v>
      </c>
      <c r="H427" s="76" t="str">
        <f t="shared" si="1"/>
        <v>—</v>
      </c>
      <c r="I427" s="76" t="str">
        <f t="shared" si="2"/>
        <v/>
      </c>
    </row>
    <row r="428" ht="18.0" customHeight="1">
      <c r="A428" s="134"/>
      <c r="B428" s="77"/>
      <c r="C428" s="77"/>
      <c r="D428" s="79"/>
      <c r="E428" s="77"/>
      <c r="F428" s="77"/>
      <c r="G428" s="118">
        <f t="shared" si="3"/>
        <v>0</v>
      </c>
      <c r="H428" s="81" t="str">
        <f t="shared" si="1"/>
        <v>—</v>
      </c>
      <c r="I428" s="81" t="str">
        <f t="shared" si="2"/>
        <v/>
      </c>
    </row>
    <row r="429" ht="18.0" customHeight="1">
      <c r="A429" s="132"/>
      <c r="B429" s="72"/>
      <c r="C429" s="72"/>
      <c r="D429" s="74"/>
      <c r="E429" s="72"/>
      <c r="F429" s="72"/>
      <c r="G429" s="114">
        <f t="shared" si="3"/>
        <v>0</v>
      </c>
      <c r="H429" s="76" t="str">
        <f t="shared" si="1"/>
        <v>—</v>
      </c>
      <c r="I429" s="76" t="str">
        <f t="shared" si="2"/>
        <v/>
      </c>
    </row>
    <row r="430" ht="18.0" customHeight="1">
      <c r="A430" s="134"/>
      <c r="B430" s="77"/>
      <c r="C430" s="77"/>
      <c r="D430" s="79"/>
      <c r="E430" s="77"/>
      <c r="F430" s="77"/>
      <c r="G430" s="118">
        <f t="shared" si="3"/>
        <v>0</v>
      </c>
      <c r="H430" s="81" t="str">
        <f t="shared" si="1"/>
        <v>—</v>
      </c>
      <c r="I430" s="81" t="str">
        <f t="shared" si="2"/>
        <v/>
      </c>
    </row>
    <row r="431" ht="18.0" customHeight="1">
      <c r="A431" s="132"/>
      <c r="B431" s="72"/>
      <c r="C431" s="72"/>
      <c r="D431" s="74"/>
      <c r="E431" s="72"/>
      <c r="F431" s="72"/>
      <c r="G431" s="114">
        <f t="shared" si="3"/>
        <v>0</v>
      </c>
      <c r="H431" s="76" t="str">
        <f t="shared" si="1"/>
        <v>—</v>
      </c>
      <c r="I431" s="76" t="str">
        <f t="shared" si="2"/>
        <v/>
      </c>
    </row>
    <row r="432" ht="18.0" customHeight="1">
      <c r="A432" s="134"/>
      <c r="B432" s="77"/>
      <c r="C432" s="77"/>
      <c r="D432" s="79"/>
      <c r="E432" s="77"/>
      <c r="F432" s="77"/>
      <c r="G432" s="118">
        <f t="shared" si="3"/>
        <v>0</v>
      </c>
      <c r="H432" s="81" t="str">
        <f t="shared" si="1"/>
        <v>—</v>
      </c>
      <c r="I432" s="81" t="str">
        <f t="shared" si="2"/>
        <v/>
      </c>
    </row>
    <row r="433" ht="18.0" customHeight="1">
      <c r="A433" s="132"/>
      <c r="B433" s="72"/>
      <c r="C433" s="72"/>
      <c r="D433" s="74"/>
      <c r="E433" s="72"/>
      <c r="F433" s="72"/>
      <c r="G433" s="114">
        <f t="shared" si="3"/>
        <v>0</v>
      </c>
      <c r="H433" s="76" t="str">
        <f t="shared" si="1"/>
        <v>—</v>
      </c>
      <c r="I433" s="76" t="str">
        <f t="shared" si="2"/>
        <v/>
      </c>
    </row>
    <row r="434" ht="18.0" customHeight="1">
      <c r="A434" s="134"/>
      <c r="B434" s="77"/>
      <c r="C434" s="77"/>
      <c r="D434" s="79"/>
      <c r="E434" s="77"/>
      <c r="F434" s="77"/>
      <c r="G434" s="118">
        <f t="shared" si="3"/>
        <v>0</v>
      </c>
      <c r="H434" s="81" t="str">
        <f t="shared" si="1"/>
        <v>—</v>
      </c>
      <c r="I434" s="81" t="str">
        <f t="shared" si="2"/>
        <v/>
      </c>
    </row>
    <row r="435" ht="18.0" customHeight="1">
      <c r="A435" s="132"/>
      <c r="B435" s="72"/>
      <c r="C435" s="72"/>
      <c r="D435" s="74"/>
      <c r="E435" s="72"/>
      <c r="F435" s="72"/>
      <c r="G435" s="114">
        <f t="shared" si="3"/>
        <v>0</v>
      </c>
      <c r="H435" s="76" t="str">
        <f t="shared" si="1"/>
        <v>—</v>
      </c>
      <c r="I435" s="76" t="str">
        <f t="shared" si="2"/>
        <v/>
      </c>
    </row>
    <row r="436" ht="18.0" customHeight="1">
      <c r="A436" s="134"/>
      <c r="B436" s="77"/>
      <c r="C436" s="77"/>
      <c r="D436" s="79"/>
      <c r="E436" s="77"/>
      <c r="F436" s="77"/>
      <c r="G436" s="118">
        <f t="shared" si="3"/>
        <v>0</v>
      </c>
      <c r="H436" s="81" t="str">
        <f t="shared" si="1"/>
        <v>—</v>
      </c>
      <c r="I436" s="81" t="str">
        <f t="shared" si="2"/>
        <v/>
      </c>
    </row>
    <row r="437" ht="18.0" customHeight="1">
      <c r="A437" s="132"/>
      <c r="B437" s="72"/>
      <c r="C437" s="72"/>
      <c r="D437" s="74"/>
      <c r="E437" s="72"/>
      <c r="F437" s="72"/>
      <c r="G437" s="114">
        <f t="shared" si="3"/>
        <v>0</v>
      </c>
      <c r="H437" s="76" t="str">
        <f t="shared" si="1"/>
        <v>—</v>
      </c>
      <c r="I437" s="76" t="str">
        <f t="shared" si="2"/>
        <v/>
      </c>
    </row>
    <row r="438" ht="18.0" customHeight="1">
      <c r="A438" s="134"/>
      <c r="B438" s="77"/>
      <c r="C438" s="77"/>
      <c r="D438" s="79"/>
      <c r="E438" s="77"/>
      <c r="F438" s="77"/>
      <c r="G438" s="118">
        <f t="shared" si="3"/>
        <v>0</v>
      </c>
      <c r="H438" s="81" t="str">
        <f t="shared" si="1"/>
        <v>—</v>
      </c>
      <c r="I438" s="81" t="str">
        <f t="shared" si="2"/>
        <v/>
      </c>
    </row>
    <row r="439" ht="18.0" customHeight="1">
      <c r="A439" s="132"/>
      <c r="B439" s="72"/>
      <c r="C439" s="72"/>
      <c r="D439" s="74"/>
      <c r="E439" s="72"/>
      <c r="F439" s="72"/>
      <c r="G439" s="114">
        <f t="shared" si="3"/>
        <v>0</v>
      </c>
      <c r="H439" s="76" t="str">
        <f t="shared" si="1"/>
        <v>—</v>
      </c>
      <c r="I439" s="76" t="str">
        <f t="shared" si="2"/>
        <v/>
      </c>
    </row>
    <row r="440" ht="18.0" customHeight="1">
      <c r="A440" s="134"/>
      <c r="B440" s="77"/>
      <c r="C440" s="77"/>
      <c r="D440" s="79"/>
      <c r="E440" s="77"/>
      <c r="F440" s="77"/>
      <c r="G440" s="118">
        <f t="shared" si="3"/>
        <v>0</v>
      </c>
      <c r="H440" s="81" t="str">
        <f t="shared" si="1"/>
        <v>—</v>
      </c>
      <c r="I440" s="81" t="str">
        <f t="shared" si="2"/>
        <v/>
      </c>
    </row>
    <row r="441" ht="18.0" customHeight="1">
      <c r="A441" s="132"/>
      <c r="B441" s="72"/>
      <c r="C441" s="72"/>
      <c r="D441" s="74"/>
      <c r="E441" s="72"/>
      <c r="F441" s="72"/>
      <c r="G441" s="114">
        <f t="shared" si="3"/>
        <v>0</v>
      </c>
      <c r="H441" s="76" t="str">
        <f t="shared" si="1"/>
        <v>—</v>
      </c>
      <c r="I441" s="76" t="str">
        <f t="shared" si="2"/>
        <v/>
      </c>
    </row>
    <row r="442" ht="18.0" customHeight="1">
      <c r="A442" s="134"/>
      <c r="B442" s="77"/>
      <c r="C442" s="77"/>
      <c r="D442" s="79"/>
      <c r="E442" s="77"/>
      <c r="F442" s="77"/>
      <c r="G442" s="118">
        <f t="shared" si="3"/>
        <v>0</v>
      </c>
      <c r="H442" s="81" t="str">
        <f t="shared" si="1"/>
        <v>—</v>
      </c>
      <c r="I442" s="81" t="str">
        <f t="shared" si="2"/>
        <v/>
      </c>
    </row>
    <row r="443" ht="18.0" customHeight="1">
      <c r="A443" s="132"/>
      <c r="B443" s="72"/>
      <c r="C443" s="72"/>
      <c r="D443" s="74"/>
      <c r="E443" s="72"/>
      <c r="F443" s="72"/>
      <c r="G443" s="114">
        <f t="shared" si="3"/>
        <v>0</v>
      </c>
      <c r="H443" s="76" t="str">
        <f t="shared" si="1"/>
        <v>—</v>
      </c>
      <c r="I443" s="76" t="str">
        <f t="shared" si="2"/>
        <v/>
      </c>
    </row>
    <row r="444" ht="18.0" customHeight="1">
      <c r="A444" s="134"/>
      <c r="B444" s="77"/>
      <c r="C444" s="77"/>
      <c r="D444" s="79"/>
      <c r="E444" s="77"/>
      <c r="F444" s="77"/>
      <c r="G444" s="118">
        <f t="shared" si="3"/>
        <v>0</v>
      </c>
      <c r="H444" s="81" t="str">
        <f t="shared" si="1"/>
        <v>—</v>
      </c>
      <c r="I444" s="81" t="str">
        <f t="shared" si="2"/>
        <v/>
      </c>
    </row>
    <row r="445" ht="18.0" customHeight="1">
      <c r="A445" s="132"/>
      <c r="B445" s="72"/>
      <c r="C445" s="72"/>
      <c r="D445" s="74"/>
      <c r="E445" s="72"/>
      <c r="F445" s="72"/>
      <c r="G445" s="114">
        <f t="shared" si="3"/>
        <v>0</v>
      </c>
      <c r="H445" s="76" t="str">
        <f t="shared" si="1"/>
        <v>—</v>
      </c>
      <c r="I445" s="76" t="str">
        <f t="shared" si="2"/>
        <v/>
      </c>
    </row>
    <row r="446" ht="18.0" customHeight="1">
      <c r="A446" s="134"/>
      <c r="B446" s="77"/>
      <c r="C446" s="77"/>
      <c r="D446" s="79"/>
      <c r="E446" s="77"/>
      <c r="F446" s="77"/>
      <c r="G446" s="118">
        <f t="shared" si="3"/>
        <v>0</v>
      </c>
      <c r="H446" s="81" t="str">
        <f t="shared" si="1"/>
        <v>—</v>
      </c>
      <c r="I446" s="81" t="str">
        <f t="shared" si="2"/>
        <v/>
      </c>
    </row>
    <row r="447" ht="18.0" customHeight="1">
      <c r="A447" s="132"/>
      <c r="B447" s="72"/>
      <c r="C447" s="72"/>
      <c r="D447" s="74"/>
      <c r="E447" s="72"/>
      <c r="F447" s="72"/>
      <c r="G447" s="114">
        <f t="shared" si="3"/>
        <v>0</v>
      </c>
      <c r="H447" s="76" t="str">
        <f t="shared" si="1"/>
        <v>—</v>
      </c>
      <c r="I447" s="76" t="str">
        <f t="shared" si="2"/>
        <v/>
      </c>
    </row>
    <row r="448" ht="18.0" customHeight="1">
      <c r="A448" s="134"/>
      <c r="B448" s="77"/>
      <c r="C448" s="77"/>
      <c r="D448" s="79"/>
      <c r="E448" s="77"/>
      <c r="F448" s="77"/>
      <c r="G448" s="118">
        <f t="shared" si="3"/>
        <v>0</v>
      </c>
      <c r="H448" s="81" t="str">
        <f t="shared" si="1"/>
        <v>—</v>
      </c>
      <c r="I448" s="81" t="str">
        <f t="shared" si="2"/>
        <v/>
      </c>
    </row>
    <row r="449" ht="18.0" customHeight="1">
      <c r="A449" s="132"/>
      <c r="B449" s="72"/>
      <c r="C449" s="72"/>
      <c r="D449" s="74"/>
      <c r="E449" s="72"/>
      <c r="F449" s="72"/>
      <c r="G449" s="114">
        <f t="shared" si="3"/>
        <v>0</v>
      </c>
      <c r="H449" s="76" t="str">
        <f t="shared" si="1"/>
        <v>—</v>
      </c>
      <c r="I449" s="76" t="str">
        <f t="shared" si="2"/>
        <v/>
      </c>
    </row>
    <row r="450" ht="18.0" customHeight="1">
      <c r="A450" s="134"/>
      <c r="B450" s="77"/>
      <c r="C450" s="77"/>
      <c r="D450" s="79"/>
      <c r="E450" s="77"/>
      <c r="F450" s="77"/>
      <c r="G450" s="118">
        <f t="shared" si="3"/>
        <v>0</v>
      </c>
      <c r="H450" s="81" t="str">
        <f t="shared" si="1"/>
        <v>—</v>
      </c>
      <c r="I450" s="81" t="str">
        <f t="shared" si="2"/>
        <v/>
      </c>
    </row>
    <row r="451" ht="18.0" customHeight="1">
      <c r="A451" s="132"/>
      <c r="B451" s="72"/>
      <c r="C451" s="72"/>
      <c r="D451" s="74"/>
      <c r="E451" s="72"/>
      <c r="F451" s="72"/>
      <c r="G451" s="114">
        <f t="shared" si="3"/>
        <v>0</v>
      </c>
      <c r="H451" s="76" t="str">
        <f t="shared" si="1"/>
        <v>—</v>
      </c>
      <c r="I451" s="76" t="str">
        <f t="shared" si="2"/>
        <v/>
      </c>
    </row>
    <row r="452" ht="18.0" customHeight="1">
      <c r="A452" s="134"/>
      <c r="B452" s="77"/>
      <c r="C452" s="77"/>
      <c r="D452" s="79"/>
      <c r="E452" s="77"/>
      <c r="F452" s="77"/>
      <c r="G452" s="118">
        <f t="shared" si="3"/>
        <v>0</v>
      </c>
      <c r="H452" s="81" t="str">
        <f t="shared" si="1"/>
        <v>—</v>
      </c>
      <c r="I452" s="81" t="str">
        <f t="shared" si="2"/>
        <v/>
      </c>
    </row>
    <row r="453" ht="18.0" customHeight="1">
      <c r="A453" s="132"/>
      <c r="B453" s="72"/>
      <c r="C453" s="72"/>
      <c r="D453" s="74"/>
      <c r="E453" s="72"/>
      <c r="F453" s="72"/>
      <c r="G453" s="114">
        <f t="shared" si="3"/>
        <v>0</v>
      </c>
      <c r="H453" s="76" t="str">
        <f t="shared" si="1"/>
        <v>—</v>
      </c>
      <c r="I453" s="76" t="str">
        <f t="shared" si="2"/>
        <v/>
      </c>
    </row>
    <row r="454" ht="18.0" customHeight="1">
      <c r="A454" s="134"/>
      <c r="B454" s="77"/>
      <c r="C454" s="77"/>
      <c r="D454" s="79"/>
      <c r="E454" s="77"/>
      <c r="F454" s="77"/>
      <c r="G454" s="118">
        <f t="shared" si="3"/>
        <v>0</v>
      </c>
      <c r="H454" s="81" t="str">
        <f t="shared" si="1"/>
        <v>—</v>
      </c>
      <c r="I454" s="81" t="str">
        <f t="shared" si="2"/>
        <v/>
      </c>
    </row>
    <row r="455" ht="18.0" customHeight="1">
      <c r="A455" s="132"/>
      <c r="B455" s="72"/>
      <c r="C455" s="72"/>
      <c r="D455" s="74"/>
      <c r="E455" s="72"/>
      <c r="F455" s="72"/>
      <c r="G455" s="114">
        <f t="shared" si="3"/>
        <v>0</v>
      </c>
      <c r="H455" s="76" t="str">
        <f t="shared" si="1"/>
        <v>—</v>
      </c>
      <c r="I455" s="76" t="str">
        <f t="shared" si="2"/>
        <v/>
      </c>
    </row>
    <row r="456" ht="18.0" customHeight="1">
      <c r="A456" s="134"/>
      <c r="B456" s="77"/>
      <c r="C456" s="77"/>
      <c r="D456" s="79"/>
      <c r="E456" s="77"/>
      <c r="F456" s="77"/>
      <c r="G456" s="118">
        <f t="shared" si="3"/>
        <v>0</v>
      </c>
      <c r="H456" s="81" t="str">
        <f t="shared" si="1"/>
        <v>—</v>
      </c>
      <c r="I456" s="81" t="str">
        <f t="shared" si="2"/>
        <v/>
      </c>
    </row>
    <row r="457" ht="18.0" customHeight="1">
      <c r="A457" s="132"/>
      <c r="B457" s="72"/>
      <c r="C457" s="72"/>
      <c r="D457" s="74"/>
      <c r="E457" s="72"/>
      <c r="F457" s="72"/>
      <c r="G457" s="114">
        <f t="shared" si="3"/>
        <v>0</v>
      </c>
      <c r="H457" s="76" t="str">
        <f t="shared" si="1"/>
        <v>—</v>
      </c>
      <c r="I457" s="76" t="str">
        <f t="shared" si="2"/>
        <v/>
      </c>
    </row>
    <row r="458" ht="18.0" customHeight="1">
      <c r="A458" s="134"/>
      <c r="B458" s="77"/>
      <c r="C458" s="77"/>
      <c r="D458" s="79"/>
      <c r="E458" s="77"/>
      <c r="F458" s="77"/>
      <c r="G458" s="118">
        <f t="shared" si="3"/>
        <v>0</v>
      </c>
      <c r="H458" s="81" t="str">
        <f t="shared" si="1"/>
        <v>—</v>
      </c>
      <c r="I458" s="81" t="str">
        <f t="shared" si="2"/>
        <v/>
      </c>
    </row>
    <row r="459" ht="18.0" customHeight="1">
      <c r="A459" s="132"/>
      <c r="B459" s="72"/>
      <c r="C459" s="72"/>
      <c r="D459" s="74"/>
      <c r="E459" s="72"/>
      <c r="F459" s="72"/>
      <c r="G459" s="114">
        <f t="shared" si="3"/>
        <v>0</v>
      </c>
      <c r="H459" s="76" t="str">
        <f t="shared" si="1"/>
        <v>—</v>
      </c>
      <c r="I459" s="76" t="str">
        <f t="shared" si="2"/>
        <v/>
      </c>
    </row>
    <row r="460" ht="18.0" customHeight="1">
      <c r="A460" s="134"/>
      <c r="B460" s="77"/>
      <c r="C460" s="77"/>
      <c r="D460" s="79"/>
      <c r="E460" s="77"/>
      <c r="F460" s="77"/>
      <c r="G460" s="118">
        <f t="shared" si="3"/>
        <v>0</v>
      </c>
      <c r="H460" s="81" t="str">
        <f t="shared" si="1"/>
        <v>—</v>
      </c>
      <c r="I460" s="81" t="str">
        <f t="shared" si="2"/>
        <v/>
      </c>
    </row>
    <row r="461" ht="18.0" customHeight="1">
      <c r="A461" s="132"/>
      <c r="B461" s="72"/>
      <c r="C461" s="72"/>
      <c r="D461" s="74"/>
      <c r="E461" s="72"/>
      <c r="F461" s="72"/>
      <c r="G461" s="114">
        <f t="shared" si="3"/>
        <v>0</v>
      </c>
      <c r="H461" s="76" t="str">
        <f t="shared" si="1"/>
        <v>—</v>
      </c>
      <c r="I461" s="76" t="str">
        <f t="shared" si="2"/>
        <v/>
      </c>
    </row>
    <row r="462" ht="18.0" customHeight="1">
      <c r="A462" s="134"/>
      <c r="B462" s="77"/>
      <c r="C462" s="77"/>
      <c r="D462" s="79"/>
      <c r="E462" s="77"/>
      <c r="F462" s="77"/>
      <c r="G462" s="118">
        <f t="shared" si="3"/>
        <v>0</v>
      </c>
      <c r="H462" s="81" t="str">
        <f t="shared" si="1"/>
        <v>—</v>
      </c>
      <c r="I462" s="81" t="str">
        <f t="shared" si="2"/>
        <v/>
      </c>
    </row>
    <row r="463" ht="18.0" customHeight="1">
      <c r="A463" s="132"/>
      <c r="B463" s="72"/>
      <c r="C463" s="72"/>
      <c r="D463" s="74"/>
      <c r="E463" s="72"/>
      <c r="F463" s="72"/>
      <c r="G463" s="114">
        <f t="shared" si="3"/>
        <v>0</v>
      </c>
      <c r="H463" s="76" t="str">
        <f t="shared" si="1"/>
        <v>—</v>
      </c>
      <c r="I463" s="76" t="str">
        <f t="shared" si="2"/>
        <v/>
      </c>
    </row>
    <row r="464" ht="18.0" customHeight="1">
      <c r="A464" s="134"/>
      <c r="B464" s="77"/>
      <c r="C464" s="77"/>
      <c r="D464" s="79"/>
      <c r="E464" s="77"/>
      <c r="F464" s="77"/>
      <c r="G464" s="118">
        <f t="shared" si="3"/>
        <v>0</v>
      </c>
      <c r="H464" s="81" t="str">
        <f t="shared" si="1"/>
        <v>—</v>
      </c>
      <c r="I464" s="81" t="str">
        <f t="shared" si="2"/>
        <v/>
      </c>
    </row>
    <row r="465" ht="18.0" customHeight="1">
      <c r="A465" s="132"/>
      <c r="B465" s="72"/>
      <c r="C465" s="72"/>
      <c r="D465" s="74"/>
      <c r="E465" s="72"/>
      <c r="F465" s="72"/>
      <c r="G465" s="114">
        <f t="shared" si="3"/>
        <v>0</v>
      </c>
      <c r="H465" s="76" t="str">
        <f t="shared" si="1"/>
        <v>—</v>
      </c>
      <c r="I465" s="76" t="str">
        <f t="shared" si="2"/>
        <v/>
      </c>
    </row>
    <row r="466" ht="18.0" customHeight="1">
      <c r="A466" s="134"/>
      <c r="B466" s="77"/>
      <c r="C466" s="77"/>
      <c r="D466" s="79"/>
      <c r="E466" s="77"/>
      <c r="F466" s="77"/>
      <c r="G466" s="118">
        <f t="shared" si="3"/>
        <v>0</v>
      </c>
      <c r="H466" s="81" t="str">
        <f t="shared" si="1"/>
        <v>—</v>
      </c>
      <c r="I466" s="81" t="str">
        <f t="shared" si="2"/>
        <v/>
      </c>
    </row>
    <row r="467" ht="18.0" customHeight="1">
      <c r="A467" s="132"/>
      <c r="B467" s="72"/>
      <c r="C467" s="72"/>
      <c r="D467" s="74"/>
      <c r="E467" s="72"/>
      <c r="F467" s="72"/>
      <c r="G467" s="114">
        <f t="shared" si="3"/>
        <v>0</v>
      </c>
      <c r="H467" s="76" t="str">
        <f t="shared" si="1"/>
        <v>—</v>
      </c>
      <c r="I467" s="76" t="str">
        <f t="shared" si="2"/>
        <v/>
      </c>
    </row>
    <row r="468" ht="18.0" customHeight="1">
      <c r="A468" s="134"/>
      <c r="B468" s="77"/>
      <c r="C468" s="77"/>
      <c r="D468" s="79"/>
      <c r="E468" s="77"/>
      <c r="F468" s="77"/>
      <c r="G468" s="118">
        <f t="shared" si="3"/>
        <v>0</v>
      </c>
      <c r="H468" s="81" t="str">
        <f t="shared" si="1"/>
        <v>—</v>
      </c>
      <c r="I468" s="81" t="str">
        <f t="shared" si="2"/>
        <v/>
      </c>
    </row>
    <row r="469" ht="18.0" customHeight="1">
      <c r="A469" s="132"/>
      <c r="B469" s="72"/>
      <c r="C469" s="72"/>
      <c r="D469" s="74"/>
      <c r="E469" s="72"/>
      <c r="F469" s="72"/>
      <c r="G469" s="114">
        <f t="shared" si="3"/>
        <v>0</v>
      </c>
      <c r="H469" s="76" t="str">
        <f t="shared" si="1"/>
        <v>—</v>
      </c>
      <c r="I469" s="76" t="str">
        <f t="shared" si="2"/>
        <v/>
      </c>
    </row>
    <row r="470" ht="18.0" customHeight="1">
      <c r="A470" s="134"/>
      <c r="B470" s="77"/>
      <c r="C470" s="77"/>
      <c r="D470" s="79"/>
      <c r="E470" s="77"/>
      <c r="F470" s="77"/>
      <c r="G470" s="118">
        <f t="shared" si="3"/>
        <v>0</v>
      </c>
      <c r="H470" s="81" t="str">
        <f t="shared" si="1"/>
        <v>—</v>
      </c>
      <c r="I470" s="81" t="str">
        <f t="shared" si="2"/>
        <v/>
      </c>
    </row>
    <row r="471" ht="18.0" customHeight="1">
      <c r="A471" s="132"/>
      <c r="B471" s="72"/>
      <c r="C471" s="72"/>
      <c r="D471" s="74"/>
      <c r="E471" s="72"/>
      <c r="F471" s="72"/>
      <c r="G471" s="114">
        <f t="shared" si="3"/>
        <v>0</v>
      </c>
      <c r="H471" s="76" t="str">
        <f t="shared" si="1"/>
        <v>—</v>
      </c>
      <c r="I471" s="76" t="str">
        <f t="shared" si="2"/>
        <v/>
      </c>
    </row>
    <row r="472" ht="18.0" customHeight="1">
      <c r="A472" s="134"/>
      <c r="B472" s="77"/>
      <c r="C472" s="77"/>
      <c r="D472" s="79"/>
      <c r="E472" s="77"/>
      <c r="F472" s="77"/>
      <c r="G472" s="118">
        <f t="shared" si="3"/>
        <v>0</v>
      </c>
      <c r="H472" s="81" t="str">
        <f t="shared" si="1"/>
        <v>—</v>
      </c>
      <c r="I472" s="81" t="str">
        <f t="shared" si="2"/>
        <v/>
      </c>
    </row>
    <row r="473" ht="18.0" customHeight="1">
      <c r="A473" s="132"/>
      <c r="B473" s="72"/>
      <c r="C473" s="72"/>
      <c r="D473" s="74"/>
      <c r="E473" s="72"/>
      <c r="F473" s="72"/>
      <c r="G473" s="114">
        <f t="shared" si="3"/>
        <v>0</v>
      </c>
      <c r="H473" s="76" t="str">
        <f t="shared" si="1"/>
        <v>—</v>
      </c>
      <c r="I473" s="76" t="str">
        <f t="shared" si="2"/>
        <v/>
      </c>
    </row>
    <row r="474" ht="18.0" customHeight="1">
      <c r="A474" s="134"/>
      <c r="B474" s="77"/>
      <c r="C474" s="77"/>
      <c r="D474" s="79"/>
      <c r="E474" s="77"/>
      <c r="F474" s="77"/>
      <c r="G474" s="118">
        <f t="shared" si="3"/>
        <v>0</v>
      </c>
      <c r="H474" s="81" t="str">
        <f t="shared" si="1"/>
        <v>—</v>
      </c>
      <c r="I474" s="81" t="str">
        <f t="shared" si="2"/>
        <v/>
      </c>
    </row>
    <row r="475" ht="18.0" customHeight="1">
      <c r="A475" s="132"/>
      <c r="B475" s="72"/>
      <c r="C475" s="72"/>
      <c r="D475" s="74"/>
      <c r="E475" s="72"/>
      <c r="F475" s="72"/>
      <c r="G475" s="114">
        <f t="shared" si="3"/>
        <v>0</v>
      </c>
      <c r="H475" s="76" t="str">
        <f t="shared" si="1"/>
        <v>—</v>
      </c>
      <c r="I475" s="76" t="str">
        <f t="shared" si="2"/>
        <v/>
      </c>
    </row>
    <row r="476" ht="18.0" customHeight="1">
      <c r="A476" s="134"/>
      <c r="B476" s="77"/>
      <c r="C476" s="77"/>
      <c r="D476" s="79"/>
      <c r="E476" s="77"/>
      <c r="F476" s="77"/>
      <c r="G476" s="118">
        <f t="shared" si="3"/>
        <v>0</v>
      </c>
      <c r="H476" s="81" t="str">
        <f t="shared" si="1"/>
        <v>—</v>
      </c>
      <c r="I476" s="81" t="str">
        <f t="shared" si="2"/>
        <v/>
      </c>
    </row>
    <row r="477" ht="18.0" customHeight="1">
      <c r="A477" s="132"/>
      <c r="B477" s="72"/>
      <c r="C477" s="72"/>
      <c r="D477" s="74"/>
      <c r="E477" s="72"/>
      <c r="F477" s="72"/>
      <c r="G477" s="114">
        <f t="shared" si="3"/>
        <v>0</v>
      </c>
      <c r="H477" s="76" t="str">
        <f t="shared" si="1"/>
        <v>—</v>
      </c>
      <c r="I477" s="76" t="str">
        <f t="shared" si="2"/>
        <v/>
      </c>
    </row>
    <row r="478" ht="18.0" customHeight="1">
      <c r="A478" s="134"/>
      <c r="B478" s="77"/>
      <c r="C478" s="77"/>
      <c r="D478" s="79"/>
      <c r="E478" s="77"/>
      <c r="F478" s="77"/>
      <c r="G478" s="118">
        <f t="shared" si="3"/>
        <v>0</v>
      </c>
      <c r="H478" s="81" t="str">
        <f t="shared" si="1"/>
        <v>—</v>
      </c>
      <c r="I478" s="81" t="str">
        <f t="shared" si="2"/>
        <v/>
      </c>
    </row>
    <row r="479" ht="18.0" customHeight="1">
      <c r="A479" s="132"/>
      <c r="B479" s="72"/>
      <c r="C479" s="72"/>
      <c r="D479" s="74"/>
      <c r="E479" s="72"/>
      <c r="F479" s="72"/>
      <c r="G479" s="114">
        <f t="shared" si="3"/>
        <v>0</v>
      </c>
      <c r="H479" s="76" t="str">
        <f t="shared" si="1"/>
        <v>—</v>
      </c>
      <c r="I479" s="76" t="str">
        <f t="shared" si="2"/>
        <v/>
      </c>
    </row>
    <row r="480" ht="18.0" customHeight="1">
      <c r="A480" s="134"/>
      <c r="B480" s="77"/>
      <c r="C480" s="77"/>
      <c r="D480" s="79"/>
      <c r="E480" s="77"/>
      <c r="F480" s="77"/>
      <c r="G480" s="118">
        <f t="shared" si="3"/>
        <v>0</v>
      </c>
      <c r="H480" s="81" t="str">
        <f t="shared" si="1"/>
        <v>—</v>
      </c>
      <c r="I480" s="81" t="str">
        <f t="shared" si="2"/>
        <v/>
      </c>
    </row>
    <row r="481" ht="18.0" customHeight="1">
      <c r="A481" s="132"/>
      <c r="B481" s="72"/>
      <c r="C481" s="72"/>
      <c r="D481" s="74"/>
      <c r="E481" s="72"/>
      <c r="F481" s="72"/>
      <c r="G481" s="114">
        <f t="shared" si="3"/>
        <v>0</v>
      </c>
      <c r="H481" s="76" t="str">
        <f t="shared" si="1"/>
        <v>—</v>
      </c>
      <c r="I481" s="76" t="str">
        <f t="shared" si="2"/>
        <v/>
      </c>
    </row>
    <row r="482" ht="18.0" customHeight="1">
      <c r="A482" s="134"/>
      <c r="B482" s="77"/>
      <c r="C482" s="77"/>
      <c r="D482" s="79"/>
      <c r="E482" s="77"/>
      <c r="F482" s="77"/>
      <c r="G482" s="118">
        <f t="shared" si="3"/>
        <v>0</v>
      </c>
      <c r="H482" s="81" t="str">
        <f t="shared" si="1"/>
        <v>—</v>
      </c>
      <c r="I482" s="81" t="str">
        <f t="shared" si="2"/>
        <v/>
      </c>
    </row>
    <row r="483" ht="18.0" customHeight="1">
      <c r="A483" s="132"/>
      <c r="B483" s="72"/>
      <c r="C483" s="72"/>
      <c r="D483" s="74"/>
      <c r="E483" s="72"/>
      <c r="F483" s="72"/>
      <c r="G483" s="114">
        <f t="shared" si="3"/>
        <v>0</v>
      </c>
      <c r="H483" s="76" t="str">
        <f t="shared" si="1"/>
        <v>—</v>
      </c>
      <c r="I483" s="76" t="str">
        <f t="shared" si="2"/>
        <v/>
      </c>
    </row>
    <row r="484" ht="18.0" customHeight="1">
      <c r="A484" s="134"/>
      <c r="B484" s="77"/>
      <c r="C484" s="77"/>
      <c r="D484" s="79"/>
      <c r="E484" s="77"/>
      <c r="F484" s="77"/>
      <c r="G484" s="118">
        <f t="shared" si="3"/>
        <v>0</v>
      </c>
      <c r="H484" s="81" t="str">
        <f t="shared" si="1"/>
        <v>—</v>
      </c>
      <c r="I484" s="81" t="str">
        <f t="shared" si="2"/>
        <v/>
      </c>
    </row>
    <row r="485" ht="18.0" customHeight="1">
      <c r="A485" s="132"/>
      <c r="B485" s="72"/>
      <c r="C485" s="72"/>
      <c r="D485" s="74"/>
      <c r="E485" s="72"/>
      <c r="F485" s="72"/>
      <c r="G485" s="114">
        <f t="shared" si="3"/>
        <v>0</v>
      </c>
      <c r="H485" s="76" t="str">
        <f t="shared" si="1"/>
        <v>—</v>
      </c>
      <c r="I485" s="76" t="str">
        <f t="shared" si="2"/>
        <v/>
      </c>
    </row>
    <row r="486" ht="18.0" customHeight="1">
      <c r="A486" s="134"/>
      <c r="B486" s="77"/>
      <c r="C486" s="77"/>
      <c r="D486" s="79"/>
      <c r="E486" s="77"/>
      <c r="F486" s="77"/>
      <c r="G486" s="118">
        <f t="shared" si="3"/>
        <v>0</v>
      </c>
      <c r="H486" s="81" t="str">
        <f t="shared" si="1"/>
        <v>—</v>
      </c>
      <c r="I486" s="81" t="str">
        <f t="shared" si="2"/>
        <v/>
      </c>
    </row>
    <row r="487" ht="18.0" customHeight="1">
      <c r="A487" s="132"/>
      <c r="B487" s="72"/>
      <c r="C487" s="72"/>
      <c r="D487" s="74"/>
      <c r="E487" s="72"/>
      <c r="F487" s="72"/>
      <c r="G487" s="114">
        <f t="shared" si="3"/>
        <v>0</v>
      </c>
      <c r="H487" s="76" t="str">
        <f t="shared" si="1"/>
        <v>—</v>
      </c>
      <c r="I487" s="76" t="str">
        <f t="shared" si="2"/>
        <v/>
      </c>
    </row>
    <row r="488" ht="18.0" customHeight="1">
      <c r="A488" s="134"/>
      <c r="B488" s="77"/>
      <c r="C488" s="77"/>
      <c r="D488" s="79"/>
      <c r="E488" s="77"/>
      <c r="F488" s="77"/>
      <c r="G488" s="118">
        <f t="shared" si="3"/>
        <v>0</v>
      </c>
      <c r="H488" s="81" t="str">
        <f t="shared" si="1"/>
        <v>—</v>
      </c>
      <c r="I488" s="81" t="str">
        <f t="shared" si="2"/>
        <v/>
      </c>
    </row>
    <row r="489" ht="18.0" customHeight="1">
      <c r="A489" s="132"/>
      <c r="B489" s="72"/>
      <c r="C489" s="72"/>
      <c r="D489" s="74"/>
      <c r="E489" s="72"/>
      <c r="F489" s="72"/>
      <c r="G489" s="114">
        <f t="shared" si="3"/>
        <v>0</v>
      </c>
      <c r="H489" s="76" t="str">
        <f t="shared" si="1"/>
        <v>—</v>
      </c>
      <c r="I489" s="76" t="str">
        <f t="shared" si="2"/>
        <v/>
      </c>
    </row>
    <row r="490" ht="18.0" customHeight="1">
      <c r="A490" s="134"/>
      <c r="B490" s="77"/>
      <c r="C490" s="77"/>
      <c r="D490" s="79"/>
      <c r="E490" s="77"/>
      <c r="F490" s="77"/>
      <c r="G490" s="118">
        <f t="shared" si="3"/>
        <v>0</v>
      </c>
      <c r="H490" s="81" t="str">
        <f t="shared" si="1"/>
        <v>—</v>
      </c>
      <c r="I490" s="81" t="str">
        <f t="shared" si="2"/>
        <v/>
      </c>
    </row>
    <row r="491" ht="18.0" customHeight="1">
      <c r="A491" s="132"/>
      <c r="B491" s="72"/>
      <c r="C491" s="72"/>
      <c r="D491" s="74"/>
      <c r="E491" s="72"/>
      <c r="F491" s="72"/>
      <c r="G491" s="114">
        <f t="shared" si="3"/>
        <v>0</v>
      </c>
      <c r="H491" s="76" t="str">
        <f t="shared" si="1"/>
        <v>—</v>
      </c>
      <c r="I491" s="76" t="str">
        <f t="shared" si="2"/>
        <v/>
      </c>
    </row>
    <row r="492" ht="18.0" customHeight="1">
      <c r="A492" s="134"/>
      <c r="B492" s="77"/>
      <c r="C492" s="77"/>
      <c r="D492" s="79"/>
      <c r="E492" s="77"/>
      <c r="F492" s="77"/>
      <c r="G492" s="118">
        <f t="shared" si="3"/>
        <v>0</v>
      </c>
      <c r="H492" s="81" t="str">
        <f t="shared" si="1"/>
        <v>—</v>
      </c>
      <c r="I492" s="81" t="str">
        <f t="shared" si="2"/>
        <v/>
      </c>
    </row>
    <row r="493" ht="18.0" customHeight="1">
      <c r="A493" s="132"/>
      <c r="B493" s="72"/>
      <c r="C493" s="72"/>
      <c r="D493" s="74"/>
      <c r="E493" s="72"/>
      <c r="F493" s="72"/>
      <c r="G493" s="114">
        <f t="shared" si="3"/>
        <v>0</v>
      </c>
      <c r="H493" s="76" t="str">
        <f t="shared" si="1"/>
        <v>—</v>
      </c>
      <c r="I493" s="76" t="str">
        <f t="shared" si="2"/>
        <v/>
      </c>
    </row>
    <row r="494" ht="18.0" customHeight="1">
      <c r="A494" s="134"/>
      <c r="B494" s="77"/>
      <c r="C494" s="77"/>
      <c r="D494" s="79"/>
      <c r="E494" s="77"/>
      <c r="F494" s="77"/>
      <c r="G494" s="118">
        <f t="shared" si="3"/>
        <v>0</v>
      </c>
      <c r="H494" s="81" t="str">
        <f t="shared" si="1"/>
        <v>—</v>
      </c>
      <c r="I494" s="81" t="str">
        <f t="shared" si="2"/>
        <v/>
      </c>
    </row>
    <row r="495" ht="18.0" customHeight="1">
      <c r="A495" s="132"/>
      <c r="B495" s="72"/>
      <c r="C495" s="72"/>
      <c r="D495" s="74"/>
      <c r="E495" s="72"/>
      <c r="F495" s="72"/>
      <c r="G495" s="114">
        <f t="shared" si="3"/>
        <v>0</v>
      </c>
      <c r="H495" s="76" t="str">
        <f t="shared" si="1"/>
        <v>—</v>
      </c>
      <c r="I495" s="76" t="str">
        <f t="shared" si="2"/>
        <v/>
      </c>
    </row>
    <row r="496" ht="18.0" customHeight="1">
      <c r="A496" s="134"/>
      <c r="B496" s="77"/>
      <c r="C496" s="77"/>
      <c r="D496" s="79"/>
      <c r="E496" s="77"/>
      <c r="F496" s="77"/>
      <c r="G496" s="118">
        <f t="shared" si="3"/>
        <v>0</v>
      </c>
      <c r="H496" s="81" t="str">
        <f t="shared" si="1"/>
        <v>—</v>
      </c>
      <c r="I496" s="81" t="str">
        <f t="shared" si="2"/>
        <v/>
      </c>
    </row>
    <row r="497" ht="18.0" customHeight="1">
      <c r="A497" s="132"/>
      <c r="B497" s="72"/>
      <c r="C497" s="72"/>
      <c r="D497" s="74"/>
      <c r="E497" s="72"/>
      <c r="F497" s="72"/>
      <c r="G497" s="114">
        <f t="shared" si="3"/>
        <v>0</v>
      </c>
      <c r="H497" s="76" t="str">
        <f t="shared" si="1"/>
        <v>—</v>
      </c>
      <c r="I497" s="76" t="str">
        <f t="shared" si="2"/>
        <v/>
      </c>
    </row>
    <row r="498" ht="18.0" customHeight="1">
      <c r="A498" s="134"/>
      <c r="B498" s="77"/>
      <c r="C498" s="77"/>
      <c r="D498" s="79"/>
      <c r="E498" s="77"/>
      <c r="F498" s="77"/>
      <c r="G498" s="118">
        <f t="shared" si="3"/>
        <v>0</v>
      </c>
      <c r="H498" s="81" t="str">
        <f t="shared" si="1"/>
        <v>—</v>
      </c>
      <c r="I498" s="81" t="str">
        <f t="shared" si="2"/>
        <v/>
      </c>
    </row>
    <row r="499" ht="18.0" customHeight="1">
      <c r="A499" s="132"/>
      <c r="B499" s="72"/>
      <c r="C499" s="72"/>
      <c r="D499" s="74"/>
      <c r="E499" s="72"/>
      <c r="F499" s="72"/>
      <c r="G499" s="114">
        <f t="shared" si="3"/>
        <v>0</v>
      </c>
      <c r="H499" s="76" t="str">
        <f t="shared" si="1"/>
        <v>—</v>
      </c>
      <c r="I499" s="76" t="str">
        <f t="shared" si="2"/>
        <v/>
      </c>
    </row>
    <row r="500" ht="18.0" customHeight="1">
      <c r="A500" s="134"/>
      <c r="B500" s="77"/>
      <c r="C500" s="77"/>
      <c r="D500" s="79"/>
      <c r="E500" s="77"/>
      <c r="F500" s="77"/>
      <c r="G500" s="118">
        <f t="shared" si="3"/>
        <v>0</v>
      </c>
      <c r="H500" s="81" t="str">
        <f t="shared" si="1"/>
        <v>—</v>
      </c>
      <c r="I500" s="81" t="str">
        <f t="shared" si="2"/>
        <v/>
      </c>
    </row>
    <row r="501" ht="18.0" customHeight="1">
      <c r="A501" s="132"/>
      <c r="B501" s="72"/>
      <c r="C501" s="72"/>
      <c r="D501" s="74"/>
      <c r="E501" s="72"/>
      <c r="F501" s="72"/>
      <c r="G501" s="114">
        <f t="shared" si="3"/>
        <v>0</v>
      </c>
      <c r="H501" s="76" t="str">
        <f t="shared" si="1"/>
        <v>—</v>
      </c>
      <c r="I501" s="76" t="str">
        <f t="shared" si="2"/>
        <v/>
      </c>
    </row>
    <row r="502" ht="18.0" customHeight="1">
      <c r="A502" s="134"/>
      <c r="B502" s="77"/>
      <c r="C502" s="77"/>
      <c r="D502" s="79"/>
      <c r="E502" s="77"/>
      <c r="F502" s="77"/>
      <c r="G502" s="118">
        <f t="shared" si="3"/>
        <v>0</v>
      </c>
      <c r="H502" s="81" t="str">
        <f t="shared" si="1"/>
        <v>—</v>
      </c>
      <c r="I502" s="81" t="str">
        <f t="shared" si="2"/>
        <v/>
      </c>
    </row>
    <row r="503" ht="18.0" customHeight="1">
      <c r="A503" s="132"/>
      <c r="B503" s="72"/>
      <c r="C503" s="72"/>
      <c r="D503" s="74"/>
      <c r="E503" s="72"/>
      <c r="F503" s="72"/>
      <c r="G503" s="114">
        <f t="shared" si="3"/>
        <v>0</v>
      </c>
      <c r="H503" s="76" t="str">
        <f t="shared" si="1"/>
        <v>—</v>
      </c>
      <c r="I503" s="76" t="str">
        <f t="shared" si="2"/>
        <v/>
      </c>
    </row>
    <row r="504" ht="18.0" customHeight="1">
      <c r="A504" s="134"/>
      <c r="B504" s="77"/>
      <c r="C504" s="77"/>
      <c r="D504" s="79"/>
      <c r="E504" s="77"/>
      <c r="F504" s="77"/>
      <c r="G504" s="118">
        <f t="shared" si="3"/>
        <v>0</v>
      </c>
      <c r="H504" s="81" t="str">
        <f t="shared" si="1"/>
        <v>—</v>
      </c>
      <c r="I504" s="81" t="str">
        <f t="shared" si="2"/>
        <v/>
      </c>
    </row>
    <row r="505" ht="18.0" customHeight="1">
      <c r="A505" s="132"/>
      <c r="B505" s="72"/>
      <c r="C505" s="72"/>
      <c r="D505" s="74"/>
      <c r="E505" s="72"/>
      <c r="F505" s="72"/>
      <c r="G505" s="114">
        <f t="shared" si="3"/>
        <v>0</v>
      </c>
      <c r="H505" s="76" t="str">
        <f t="shared" si="1"/>
        <v>—</v>
      </c>
      <c r="I505" s="76" t="str">
        <f t="shared" si="2"/>
        <v/>
      </c>
    </row>
    <row r="506" ht="18.0" customHeight="1">
      <c r="A506" s="134"/>
      <c r="B506" s="77"/>
      <c r="C506" s="77"/>
      <c r="D506" s="79"/>
      <c r="E506" s="77"/>
      <c r="F506" s="77"/>
      <c r="G506" s="118">
        <f t="shared" si="3"/>
        <v>0</v>
      </c>
      <c r="H506" s="81" t="str">
        <f t="shared" si="1"/>
        <v>—</v>
      </c>
      <c r="I506" s="81" t="str">
        <f t="shared" si="2"/>
        <v/>
      </c>
    </row>
    <row r="507" ht="18.0" customHeight="1">
      <c r="A507" s="132"/>
      <c r="B507" s="72"/>
      <c r="C507" s="72"/>
      <c r="D507" s="74"/>
      <c r="E507" s="72"/>
      <c r="F507" s="72"/>
      <c r="G507" s="114">
        <f t="shared" si="3"/>
        <v>0</v>
      </c>
      <c r="H507" s="76" t="str">
        <f t="shared" si="1"/>
        <v>—</v>
      </c>
      <c r="I507" s="76" t="str">
        <f t="shared" si="2"/>
        <v/>
      </c>
    </row>
    <row r="508" ht="18.0" customHeight="1">
      <c r="A508" s="134"/>
      <c r="B508" s="77"/>
      <c r="C508" s="77"/>
      <c r="D508" s="79"/>
      <c r="E508" s="77"/>
      <c r="F508" s="77"/>
      <c r="G508" s="118">
        <f t="shared" si="3"/>
        <v>0</v>
      </c>
      <c r="H508" s="81" t="str">
        <f t="shared" si="1"/>
        <v>—</v>
      </c>
      <c r="I508" s="81" t="str">
        <f t="shared" si="2"/>
        <v/>
      </c>
    </row>
    <row r="509" ht="18.0" customHeight="1">
      <c r="A509" s="132"/>
      <c r="B509" s="72"/>
      <c r="C509" s="72"/>
      <c r="D509" s="74"/>
      <c r="E509" s="72"/>
      <c r="F509" s="72"/>
      <c r="G509" s="114">
        <f t="shared" si="3"/>
        <v>0</v>
      </c>
      <c r="H509" s="76" t="str">
        <f t="shared" si="1"/>
        <v>—</v>
      </c>
      <c r="I509" s="76" t="str">
        <f t="shared" si="2"/>
        <v/>
      </c>
    </row>
    <row r="510" ht="18.0" customHeight="1">
      <c r="A510" s="134"/>
      <c r="B510" s="77"/>
      <c r="C510" s="77"/>
      <c r="D510" s="79"/>
      <c r="E510" s="77"/>
      <c r="F510" s="77"/>
      <c r="G510" s="118">
        <f t="shared" si="3"/>
        <v>0</v>
      </c>
      <c r="H510" s="81" t="str">
        <f t="shared" si="1"/>
        <v>—</v>
      </c>
      <c r="I510" s="81" t="str">
        <f t="shared" si="2"/>
        <v/>
      </c>
    </row>
    <row r="511" ht="18.0" customHeight="1">
      <c r="A511" s="132"/>
      <c r="B511" s="72"/>
      <c r="C511" s="72"/>
      <c r="D511" s="74"/>
      <c r="E511" s="72"/>
      <c r="F511" s="72"/>
      <c r="G511" s="114">
        <f t="shared" si="3"/>
        <v>0</v>
      </c>
      <c r="H511" s="76" t="str">
        <f t="shared" si="1"/>
        <v>—</v>
      </c>
      <c r="I511" s="76" t="str">
        <f t="shared" si="2"/>
        <v/>
      </c>
    </row>
    <row r="512" ht="18.0" customHeight="1">
      <c r="A512" s="134"/>
      <c r="B512" s="77"/>
      <c r="C512" s="77"/>
      <c r="D512" s="79"/>
      <c r="E512" s="77"/>
      <c r="F512" s="77"/>
      <c r="G512" s="118">
        <f t="shared" si="3"/>
        <v>0</v>
      </c>
      <c r="H512" s="81" t="str">
        <f t="shared" si="1"/>
        <v>—</v>
      </c>
      <c r="I512" s="81" t="str">
        <f t="shared" si="2"/>
        <v/>
      </c>
    </row>
    <row r="513" ht="18.0" customHeight="1">
      <c r="A513" s="132"/>
      <c r="B513" s="72"/>
      <c r="C513" s="72"/>
      <c r="D513" s="74"/>
      <c r="E513" s="72"/>
      <c r="F513" s="72"/>
      <c r="G513" s="114">
        <f t="shared" si="3"/>
        <v>0</v>
      </c>
      <c r="H513" s="76" t="str">
        <f t="shared" si="1"/>
        <v>—</v>
      </c>
      <c r="I513" s="76" t="str">
        <f t="shared" si="2"/>
        <v/>
      </c>
    </row>
    <row r="514" ht="18.0" customHeight="1">
      <c r="A514" s="134"/>
      <c r="B514" s="77"/>
      <c r="C514" s="77"/>
      <c r="D514" s="79"/>
      <c r="E514" s="77"/>
      <c r="F514" s="77"/>
      <c r="G514" s="118">
        <f t="shared" si="3"/>
        <v>0</v>
      </c>
      <c r="H514" s="81" t="str">
        <f t="shared" si="1"/>
        <v>—</v>
      </c>
      <c r="I514" s="81" t="str">
        <f t="shared" si="2"/>
        <v/>
      </c>
    </row>
    <row r="515" ht="18.0" customHeight="1">
      <c r="A515" s="132"/>
      <c r="B515" s="72"/>
      <c r="C515" s="72"/>
      <c r="D515" s="74"/>
      <c r="E515" s="72"/>
      <c r="F515" s="72"/>
      <c r="G515" s="114">
        <f t="shared" si="3"/>
        <v>0</v>
      </c>
      <c r="H515" s="76" t="str">
        <f t="shared" si="1"/>
        <v>—</v>
      </c>
      <c r="I515" s="76" t="str">
        <f t="shared" si="2"/>
        <v/>
      </c>
    </row>
    <row r="516" ht="18.0" customHeight="1">
      <c r="A516" s="134"/>
      <c r="B516" s="77"/>
      <c r="C516" s="77"/>
      <c r="D516" s="79"/>
      <c r="E516" s="77"/>
      <c r="F516" s="77"/>
      <c r="G516" s="118">
        <f t="shared" si="3"/>
        <v>0</v>
      </c>
      <c r="H516" s="81" t="str">
        <f t="shared" si="1"/>
        <v>—</v>
      </c>
      <c r="I516" s="81" t="str">
        <f t="shared" si="2"/>
        <v/>
      </c>
    </row>
    <row r="517" ht="18.0" customHeight="1">
      <c r="A517" s="132"/>
      <c r="B517" s="72"/>
      <c r="C517" s="72"/>
      <c r="D517" s="74"/>
      <c r="E517" s="72"/>
      <c r="F517" s="72"/>
      <c r="G517" s="114">
        <f t="shared" si="3"/>
        <v>0</v>
      </c>
      <c r="H517" s="76" t="str">
        <f t="shared" si="1"/>
        <v>—</v>
      </c>
      <c r="I517" s="76" t="str">
        <f t="shared" si="2"/>
        <v/>
      </c>
    </row>
    <row r="518" ht="18.0" customHeight="1">
      <c r="A518" s="134"/>
      <c r="B518" s="77"/>
      <c r="C518" s="77"/>
      <c r="D518" s="79"/>
      <c r="E518" s="77"/>
      <c r="F518" s="77"/>
      <c r="G518" s="118">
        <f t="shared" si="3"/>
        <v>0</v>
      </c>
      <c r="H518" s="81" t="str">
        <f t="shared" si="1"/>
        <v>—</v>
      </c>
      <c r="I518" s="81" t="str">
        <f t="shared" si="2"/>
        <v/>
      </c>
    </row>
    <row r="519" ht="18.0" customHeight="1">
      <c r="A519" s="132"/>
      <c r="B519" s="72"/>
      <c r="C519" s="72"/>
      <c r="D519" s="74"/>
      <c r="E519" s="72"/>
      <c r="F519" s="72"/>
      <c r="G519" s="114">
        <f t="shared" si="3"/>
        <v>0</v>
      </c>
      <c r="H519" s="76" t="str">
        <f t="shared" si="1"/>
        <v>—</v>
      </c>
      <c r="I519" s="76" t="str">
        <f t="shared" si="2"/>
        <v/>
      </c>
    </row>
    <row r="520" ht="18.0" customHeight="1">
      <c r="A520" s="134"/>
      <c r="B520" s="77"/>
      <c r="C520" s="77"/>
      <c r="D520" s="79"/>
      <c r="E520" s="77"/>
      <c r="F520" s="77"/>
      <c r="G520" s="118">
        <f t="shared" si="3"/>
        <v>0</v>
      </c>
      <c r="H520" s="81" t="str">
        <f t="shared" si="1"/>
        <v>—</v>
      </c>
      <c r="I520" s="81" t="str">
        <f t="shared" si="2"/>
        <v/>
      </c>
    </row>
    <row r="521" ht="18.0" customHeight="1">
      <c r="A521" s="132"/>
      <c r="B521" s="72"/>
      <c r="C521" s="72"/>
      <c r="D521" s="74"/>
      <c r="E521" s="72"/>
      <c r="F521" s="72"/>
      <c r="G521" s="114">
        <f t="shared" si="3"/>
        <v>0</v>
      </c>
      <c r="H521" s="76" t="str">
        <f t="shared" si="1"/>
        <v>—</v>
      </c>
      <c r="I521" s="76" t="str">
        <f t="shared" si="2"/>
        <v/>
      </c>
    </row>
    <row r="522" ht="18.0" customHeight="1">
      <c r="A522" s="134"/>
      <c r="B522" s="77"/>
      <c r="C522" s="77"/>
      <c r="D522" s="79"/>
      <c r="E522" s="77"/>
      <c r="F522" s="77"/>
      <c r="G522" s="118">
        <f t="shared" si="3"/>
        <v>0</v>
      </c>
      <c r="H522" s="81" t="str">
        <f t="shared" si="1"/>
        <v>—</v>
      </c>
      <c r="I522" s="81" t="str">
        <f t="shared" si="2"/>
        <v/>
      </c>
    </row>
    <row r="523" ht="18.0" customHeight="1">
      <c r="A523" s="132"/>
      <c r="B523" s="72"/>
      <c r="C523" s="72"/>
      <c r="D523" s="74"/>
      <c r="E523" s="72"/>
      <c r="F523" s="72"/>
      <c r="G523" s="114">
        <f t="shared" si="3"/>
        <v>0</v>
      </c>
      <c r="H523" s="76" t="str">
        <f t="shared" si="1"/>
        <v>—</v>
      </c>
      <c r="I523" s="76" t="str">
        <f t="shared" si="2"/>
        <v/>
      </c>
    </row>
    <row r="524" ht="18.0" customHeight="1">
      <c r="A524" s="134"/>
      <c r="B524" s="77"/>
      <c r="C524" s="77"/>
      <c r="D524" s="79"/>
      <c r="E524" s="77"/>
      <c r="F524" s="77"/>
      <c r="G524" s="118">
        <f t="shared" si="3"/>
        <v>0</v>
      </c>
      <c r="H524" s="81" t="str">
        <f t="shared" si="1"/>
        <v>—</v>
      </c>
      <c r="I524" s="81" t="str">
        <f t="shared" si="2"/>
        <v/>
      </c>
    </row>
    <row r="525" ht="18.0" customHeight="1">
      <c r="A525" s="132"/>
      <c r="B525" s="72"/>
      <c r="C525" s="72"/>
      <c r="D525" s="74"/>
      <c r="E525" s="72"/>
      <c r="F525" s="72"/>
      <c r="G525" s="114">
        <f t="shared" si="3"/>
        <v>0</v>
      </c>
      <c r="H525" s="76" t="str">
        <f t="shared" si="1"/>
        <v>—</v>
      </c>
      <c r="I525" s="76" t="str">
        <f t="shared" si="2"/>
        <v/>
      </c>
    </row>
    <row r="526" ht="18.0" customHeight="1">
      <c r="A526" s="134"/>
      <c r="B526" s="77"/>
      <c r="C526" s="77"/>
      <c r="D526" s="79"/>
      <c r="E526" s="77"/>
      <c r="F526" s="77"/>
      <c r="G526" s="118">
        <f t="shared" si="3"/>
        <v>0</v>
      </c>
      <c r="H526" s="81" t="str">
        <f t="shared" si="1"/>
        <v>—</v>
      </c>
      <c r="I526" s="81" t="str">
        <f t="shared" si="2"/>
        <v/>
      </c>
    </row>
    <row r="527" ht="18.0" customHeight="1">
      <c r="A527" s="132"/>
      <c r="B527" s="72"/>
      <c r="C527" s="72"/>
      <c r="D527" s="74"/>
      <c r="E527" s="72"/>
      <c r="F527" s="72"/>
      <c r="G527" s="114">
        <f t="shared" si="3"/>
        <v>0</v>
      </c>
      <c r="H527" s="76" t="str">
        <f t="shared" si="1"/>
        <v>—</v>
      </c>
      <c r="I527" s="76" t="str">
        <f t="shared" si="2"/>
        <v/>
      </c>
    </row>
    <row r="528" ht="18.0" customHeight="1">
      <c r="A528" s="134"/>
      <c r="B528" s="77"/>
      <c r="C528" s="77"/>
      <c r="D528" s="79"/>
      <c r="E528" s="77"/>
      <c r="F528" s="77"/>
      <c r="G528" s="118">
        <f t="shared" si="3"/>
        <v>0</v>
      </c>
      <c r="H528" s="81" t="str">
        <f t="shared" si="1"/>
        <v>—</v>
      </c>
      <c r="I528" s="81" t="str">
        <f t="shared" si="2"/>
        <v/>
      </c>
    </row>
    <row r="529" ht="18.0" customHeight="1">
      <c r="A529" s="132"/>
      <c r="B529" s="72"/>
      <c r="C529" s="72"/>
      <c r="D529" s="74"/>
      <c r="E529" s="72"/>
      <c r="F529" s="72"/>
      <c r="G529" s="114">
        <f t="shared" si="3"/>
        <v>0</v>
      </c>
      <c r="H529" s="76" t="str">
        <f t="shared" si="1"/>
        <v>—</v>
      </c>
      <c r="I529" s="76" t="str">
        <f t="shared" si="2"/>
        <v/>
      </c>
    </row>
    <row r="530" ht="18.0" customHeight="1">
      <c r="A530" s="134"/>
      <c r="B530" s="77"/>
      <c r="C530" s="77"/>
      <c r="D530" s="79"/>
      <c r="E530" s="77"/>
      <c r="F530" s="77"/>
      <c r="G530" s="118">
        <f t="shared" si="3"/>
        <v>0</v>
      </c>
      <c r="H530" s="81" t="str">
        <f t="shared" si="1"/>
        <v>—</v>
      </c>
      <c r="I530" s="81" t="str">
        <f t="shared" si="2"/>
        <v/>
      </c>
    </row>
    <row r="531" ht="18.0" customHeight="1">
      <c r="A531" s="132"/>
      <c r="B531" s="72"/>
      <c r="C531" s="72"/>
      <c r="D531" s="74"/>
      <c r="E531" s="72"/>
      <c r="F531" s="72"/>
      <c r="G531" s="114">
        <f t="shared" si="3"/>
        <v>0</v>
      </c>
      <c r="H531" s="76" t="str">
        <f t="shared" si="1"/>
        <v>—</v>
      </c>
      <c r="I531" s="76" t="str">
        <f t="shared" si="2"/>
        <v/>
      </c>
    </row>
    <row r="532" ht="18.0" customHeight="1">
      <c r="A532" s="134"/>
      <c r="B532" s="77"/>
      <c r="C532" s="77"/>
      <c r="D532" s="79"/>
      <c r="E532" s="77"/>
      <c r="F532" s="77"/>
      <c r="G532" s="118">
        <f t="shared" si="3"/>
        <v>0</v>
      </c>
      <c r="H532" s="81" t="str">
        <f t="shared" si="1"/>
        <v>—</v>
      </c>
      <c r="I532" s="81" t="str">
        <f t="shared" si="2"/>
        <v/>
      </c>
    </row>
    <row r="533" ht="18.0" customHeight="1">
      <c r="A533" s="132"/>
      <c r="B533" s="72"/>
      <c r="C533" s="72"/>
      <c r="D533" s="74"/>
      <c r="E533" s="72"/>
      <c r="F533" s="72"/>
      <c r="G533" s="114">
        <f t="shared" si="3"/>
        <v>0</v>
      </c>
      <c r="H533" s="76" t="str">
        <f t="shared" si="1"/>
        <v>—</v>
      </c>
      <c r="I533" s="76" t="str">
        <f t="shared" si="2"/>
        <v/>
      </c>
    </row>
    <row r="534" ht="18.0" customHeight="1">
      <c r="A534" s="134"/>
      <c r="B534" s="77"/>
      <c r="C534" s="77"/>
      <c r="D534" s="79"/>
      <c r="E534" s="77"/>
      <c r="F534" s="77"/>
      <c r="G534" s="118">
        <f t="shared" si="3"/>
        <v>0</v>
      </c>
      <c r="H534" s="81" t="str">
        <f t="shared" si="1"/>
        <v>—</v>
      </c>
      <c r="I534" s="81" t="str">
        <f t="shared" si="2"/>
        <v/>
      </c>
    </row>
    <row r="535" ht="18.0" customHeight="1">
      <c r="A535" s="132"/>
      <c r="B535" s="72"/>
      <c r="C535" s="72"/>
      <c r="D535" s="74"/>
      <c r="E535" s="72"/>
      <c r="F535" s="72"/>
      <c r="G535" s="114">
        <f t="shared" si="3"/>
        <v>0</v>
      </c>
      <c r="H535" s="76" t="str">
        <f t="shared" si="1"/>
        <v>—</v>
      </c>
      <c r="I535" s="76" t="str">
        <f t="shared" si="2"/>
        <v/>
      </c>
    </row>
    <row r="536" ht="18.0" customHeight="1">
      <c r="A536" s="134"/>
      <c r="B536" s="77"/>
      <c r="C536" s="77"/>
      <c r="D536" s="79"/>
      <c r="E536" s="77"/>
      <c r="F536" s="77"/>
      <c r="G536" s="118">
        <f t="shared" si="3"/>
        <v>0</v>
      </c>
      <c r="H536" s="81" t="str">
        <f t="shared" si="1"/>
        <v>—</v>
      </c>
      <c r="I536" s="81" t="str">
        <f t="shared" si="2"/>
        <v/>
      </c>
    </row>
    <row r="537" ht="18.0" customHeight="1">
      <c r="A537" s="132"/>
      <c r="B537" s="72"/>
      <c r="C537" s="72"/>
      <c r="D537" s="74"/>
      <c r="E537" s="72"/>
      <c r="F537" s="72"/>
      <c r="G537" s="114">
        <f t="shared" si="3"/>
        <v>0</v>
      </c>
      <c r="H537" s="76" t="str">
        <f t="shared" si="1"/>
        <v>—</v>
      </c>
      <c r="I537" s="76" t="str">
        <f t="shared" si="2"/>
        <v/>
      </c>
    </row>
    <row r="538" ht="18.0" customHeight="1">
      <c r="A538" s="134"/>
      <c r="B538" s="77"/>
      <c r="C538" s="77"/>
      <c r="D538" s="79"/>
      <c r="E538" s="77"/>
      <c r="F538" s="77"/>
      <c r="G538" s="118">
        <f t="shared" si="3"/>
        <v>0</v>
      </c>
      <c r="H538" s="81" t="str">
        <f t="shared" si="1"/>
        <v>—</v>
      </c>
      <c r="I538" s="81" t="str">
        <f t="shared" si="2"/>
        <v/>
      </c>
    </row>
    <row r="539" ht="18.0" customHeight="1">
      <c r="A539" s="132"/>
      <c r="B539" s="72"/>
      <c r="C539" s="72"/>
      <c r="D539" s="74"/>
      <c r="E539" s="72"/>
      <c r="F539" s="72"/>
      <c r="G539" s="114">
        <f t="shared" si="3"/>
        <v>0</v>
      </c>
      <c r="H539" s="76" t="str">
        <f t="shared" si="1"/>
        <v>—</v>
      </c>
      <c r="I539" s="76" t="str">
        <f t="shared" si="2"/>
        <v/>
      </c>
    </row>
    <row r="540" ht="18.0" customHeight="1">
      <c r="A540" s="134"/>
      <c r="B540" s="77"/>
      <c r="C540" s="77"/>
      <c r="D540" s="79"/>
      <c r="E540" s="77"/>
      <c r="F540" s="77"/>
      <c r="G540" s="118">
        <f t="shared" si="3"/>
        <v>0</v>
      </c>
      <c r="H540" s="81" t="str">
        <f t="shared" si="1"/>
        <v>—</v>
      </c>
      <c r="I540" s="81" t="str">
        <f t="shared" si="2"/>
        <v/>
      </c>
    </row>
    <row r="541" ht="18.0" customHeight="1">
      <c r="A541" s="132"/>
      <c r="B541" s="72"/>
      <c r="C541" s="72"/>
      <c r="D541" s="74"/>
      <c r="E541" s="72"/>
      <c r="F541" s="72"/>
      <c r="G541" s="114">
        <f t="shared" si="3"/>
        <v>0</v>
      </c>
      <c r="H541" s="76" t="str">
        <f t="shared" si="1"/>
        <v>—</v>
      </c>
      <c r="I541" s="76" t="str">
        <f t="shared" si="2"/>
        <v/>
      </c>
    </row>
    <row r="542" ht="18.0" customHeight="1">
      <c r="A542" s="134"/>
      <c r="B542" s="77"/>
      <c r="C542" s="77"/>
      <c r="D542" s="79"/>
      <c r="E542" s="77"/>
      <c r="F542" s="77"/>
      <c r="G542" s="118">
        <f t="shared" si="3"/>
        <v>0</v>
      </c>
      <c r="H542" s="81" t="str">
        <f t="shared" si="1"/>
        <v>—</v>
      </c>
      <c r="I542" s="81" t="str">
        <f t="shared" si="2"/>
        <v/>
      </c>
    </row>
    <row r="543" ht="18.0" customHeight="1">
      <c r="A543" s="132"/>
      <c r="B543" s="72"/>
      <c r="C543" s="72"/>
      <c r="D543" s="74"/>
      <c r="E543" s="72"/>
      <c r="F543" s="72"/>
      <c r="G543" s="114">
        <f t="shared" si="3"/>
        <v>0</v>
      </c>
      <c r="H543" s="76" t="str">
        <f t="shared" si="1"/>
        <v>—</v>
      </c>
      <c r="I543" s="76" t="str">
        <f t="shared" si="2"/>
        <v/>
      </c>
    </row>
    <row r="544" ht="18.0" customHeight="1">
      <c r="A544" s="134"/>
      <c r="B544" s="77"/>
      <c r="C544" s="77"/>
      <c r="D544" s="79"/>
      <c r="E544" s="77"/>
      <c r="F544" s="77"/>
      <c r="G544" s="118">
        <f t="shared" si="3"/>
        <v>0</v>
      </c>
      <c r="H544" s="81" t="str">
        <f t="shared" si="1"/>
        <v>—</v>
      </c>
      <c r="I544" s="81" t="str">
        <f t="shared" si="2"/>
        <v/>
      </c>
    </row>
    <row r="545" ht="18.0" customHeight="1">
      <c r="A545" s="132"/>
      <c r="B545" s="72"/>
      <c r="C545" s="72"/>
      <c r="D545" s="74"/>
      <c r="E545" s="72"/>
      <c r="F545" s="72"/>
      <c r="G545" s="114">
        <f t="shared" si="3"/>
        <v>0</v>
      </c>
      <c r="H545" s="76" t="str">
        <f t="shared" si="1"/>
        <v>—</v>
      </c>
      <c r="I545" s="76" t="str">
        <f t="shared" si="2"/>
        <v/>
      </c>
    </row>
    <row r="546" ht="18.0" customHeight="1">
      <c r="A546" s="134"/>
      <c r="B546" s="77"/>
      <c r="C546" s="77"/>
      <c r="D546" s="79"/>
      <c r="E546" s="77"/>
      <c r="F546" s="77"/>
      <c r="G546" s="118">
        <f t="shared" si="3"/>
        <v>0</v>
      </c>
      <c r="H546" s="81" t="str">
        <f t="shared" si="1"/>
        <v>—</v>
      </c>
      <c r="I546" s="81" t="str">
        <f t="shared" si="2"/>
        <v/>
      </c>
    </row>
    <row r="547" ht="18.0" customHeight="1">
      <c r="A547" s="132"/>
      <c r="B547" s="72"/>
      <c r="C547" s="72"/>
      <c r="D547" s="74"/>
      <c r="E547" s="72"/>
      <c r="F547" s="72"/>
      <c r="G547" s="114">
        <f t="shared" si="3"/>
        <v>0</v>
      </c>
      <c r="H547" s="76" t="str">
        <f t="shared" si="1"/>
        <v>—</v>
      </c>
      <c r="I547" s="76" t="str">
        <f t="shared" si="2"/>
        <v/>
      </c>
    </row>
    <row r="548" ht="18.0" customHeight="1">
      <c r="A548" s="134"/>
      <c r="B548" s="77"/>
      <c r="C548" s="77"/>
      <c r="D548" s="79"/>
      <c r="E548" s="77"/>
      <c r="F548" s="77"/>
      <c r="G548" s="118">
        <f t="shared" si="3"/>
        <v>0</v>
      </c>
      <c r="H548" s="81" t="str">
        <f t="shared" si="1"/>
        <v>—</v>
      </c>
      <c r="I548" s="81" t="str">
        <f t="shared" si="2"/>
        <v/>
      </c>
    </row>
    <row r="549" ht="18.0" customHeight="1">
      <c r="A549" s="132"/>
      <c r="B549" s="72"/>
      <c r="C549" s="72"/>
      <c r="D549" s="74"/>
      <c r="E549" s="72"/>
      <c r="F549" s="72"/>
      <c r="G549" s="114">
        <f t="shared" si="3"/>
        <v>0</v>
      </c>
      <c r="H549" s="76" t="str">
        <f t="shared" si="1"/>
        <v>—</v>
      </c>
      <c r="I549" s="76" t="str">
        <f t="shared" si="2"/>
        <v/>
      </c>
    </row>
    <row r="550" ht="18.0" customHeight="1">
      <c r="A550" s="134"/>
      <c r="B550" s="77"/>
      <c r="C550" s="77"/>
      <c r="D550" s="79"/>
      <c r="E550" s="77"/>
      <c r="F550" s="77"/>
      <c r="G550" s="118">
        <f t="shared" si="3"/>
        <v>0</v>
      </c>
      <c r="H550" s="81" t="str">
        <f t="shared" si="1"/>
        <v>—</v>
      </c>
      <c r="I550" s="81" t="str">
        <f t="shared" si="2"/>
        <v/>
      </c>
    </row>
    <row r="551" ht="18.0" customHeight="1">
      <c r="A551" s="132"/>
      <c r="B551" s="72"/>
      <c r="C551" s="72"/>
      <c r="D551" s="74"/>
      <c r="E551" s="72"/>
      <c r="F551" s="72"/>
      <c r="G551" s="114">
        <f t="shared" si="3"/>
        <v>0</v>
      </c>
      <c r="H551" s="76" t="str">
        <f t="shared" si="1"/>
        <v>—</v>
      </c>
      <c r="I551" s="76" t="str">
        <f t="shared" si="2"/>
        <v/>
      </c>
    </row>
    <row r="552" ht="18.0" customHeight="1">
      <c r="A552" s="134"/>
      <c r="B552" s="77"/>
      <c r="C552" s="77"/>
      <c r="D552" s="79"/>
      <c r="E552" s="77"/>
      <c r="F552" s="77"/>
      <c r="G552" s="118">
        <f t="shared" si="3"/>
        <v>0</v>
      </c>
      <c r="H552" s="81" t="str">
        <f t="shared" si="1"/>
        <v>—</v>
      </c>
      <c r="I552" s="81" t="str">
        <f t="shared" si="2"/>
        <v/>
      </c>
    </row>
    <row r="553" ht="18.0" customHeight="1">
      <c r="A553" s="132"/>
      <c r="B553" s="72"/>
      <c r="C553" s="72"/>
      <c r="D553" s="74"/>
      <c r="E553" s="72"/>
      <c r="F553" s="72"/>
      <c r="G553" s="114">
        <f t="shared" si="3"/>
        <v>0</v>
      </c>
      <c r="H553" s="76" t="str">
        <f t="shared" si="1"/>
        <v>—</v>
      </c>
      <c r="I553" s="76" t="str">
        <f t="shared" si="2"/>
        <v/>
      </c>
    </row>
    <row r="554" ht="18.0" customHeight="1">
      <c r="A554" s="134"/>
      <c r="B554" s="77"/>
      <c r="C554" s="77"/>
      <c r="D554" s="79"/>
      <c r="E554" s="77"/>
      <c r="F554" s="77"/>
      <c r="G554" s="118">
        <f t="shared" si="3"/>
        <v>0</v>
      </c>
      <c r="H554" s="81" t="str">
        <f t="shared" si="1"/>
        <v>—</v>
      </c>
      <c r="I554" s="81" t="str">
        <f t="shared" si="2"/>
        <v/>
      </c>
    </row>
    <row r="555" ht="18.0" customHeight="1">
      <c r="A555" s="132"/>
      <c r="B555" s="72"/>
      <c r="C555" s="72"/>
      <c r="D555" s="74"/>
      <c r="E555" s="72"/>
      <c r="F555" s="72"/>
      <c r="G555" s="114">
        <f t="shared" si="3"/>
        <v>0</v>
      </c>
      <c r="H555" s="76" t="str">
        <f t="shared" si="1"/>
        <v>—</v>
      </c>
      <c r="I555" s="76" t="str">
        <f t="shared" si="2"/>
        <v/>
      </c>
    </row>
    <row r="556" ht="18.0" customHeight="1">
      <c r="A556" s="134"/>
      <c r="B556" s="77"/>
      <c r="C556" s="77"/>
      <c r="D556" s="79"/>
      <c r="E556" s="77"/>
      <c r="F556" s="77"/>
      <c r="G556" s="118">
        <f t="shared" si="3"/>
        <v>0</v>
      </c>
      <c r="H556" s="81" t="str">
        <f t="shared" si="1"/>
        <v>—</v>
      </c>
      <c r="I556" s="81" t="str">
        <f t="shared" si="2"/>
        <v/>
      </c>
    </row>
    <row r="557" ht="18.0" customHeight="1">
      <c r="A557" s="132"/>
      <c r="B557" s="72"/>
      <c r="C557" s="72"/>
      <c r="D557" s="74"/>
      <c r="E557" s="72"/>
      <c r="F557" s="72"/>
      <c r="G557" s="114">
        <f t="shared" si="3"/>
        <v>0</v>
      </c>
      <c r="H557" s="76" t="str">
        <f t="shared" si="1"/>
        <v>—</v>
      </c>
      <c r="I557" s="76" t="str">
        <f t="shared" si="2"/>
        <v/>
      </c>
    </row>
    <row r="558" ht="18.0" customHeight="1">
      <c r="A558" s="134"/>
      <c r="B558" s="77"/>
      <c r="C558" s="77"/>
      <c r="D558" s="79"/>
      <c r="E558" s="77"/>
      <c r="F558" s="77"/>
      <c r="G558" s="118">
        <f t="shared" si="3"/>
        <v>0</v>
      </c>
      <c r="H558" s="81" t="str">
        <f t="shared" si="1"/>
        <v>—</v>
      </c>
      <c r="I558" s="81" t="str">
        <f t="shared" si="2"/>
        <v/>
      </c>
    </row>
    <row r="559" ht="18.0" customHeight="1">
      <c r="A559" s="132"/>
      <c r="B559" s="72"/>
      <c r="C559" s="72"/>
      <c r="D559" s="74"/>
      <c r="E559" s="72"/>
      <c r="F559" s="72"/>
      <c r="G559" s="114">
        <f t="shared" si="3"/>
        <v>0</v>
      </c>
      <c r="H559" s="76" t="str">
        <f t="shared" si="1"/>
        <v>—</v>
      </c>
      <c r="I559" s="76" t="str">
        <f t="shared" si="2"/>
        <v/>
      </c>
    </row>
    <row r="560" ht="18.0" customHeight="1">
      <c r="A560" s="134"/>
      <c r="B560" s="77"/>
      <c r="C560" s="77"/>
      <c r="D560" s="79"/>
      <c r="E560" s="77"/>
      <c r="F560" s="77"/>
      <c r="G560" s="118">
        <f t="shared" si="3"/>
        <v>0</v>
      </c>
      <c r="H560" s="81" t="str">
        <f t="shared" si="1"/>
        <v>—</v>
      </c>
      <c r="I560" s="81" t="str">
        <f t="shared" si="2"/>
        <v/>
      </c>
    </row>
    <row r="561" ht="18.0" customHeight="1">
      <c r="A561" s="132"/>
      <c r="B561" s="72"/>
      <c r="C561" s="72"/>
      <c r="D561" s="74"/>
      <c r="E561" s="72"/>
      <c r="F561" s="72"/>
      <c r="G561" s="114">
        <f t="shared" si="3"/>
        <v>0</v>
      </c>
      <c r="H561" s="76" t="str">
        <f t="shared" si="1"/>
        <v>—</v>
      </c>
      <c r="I561" s="76" t="str">
        <f t="shared" si="2"/>
        <v/>
      </c>
    </row>
    <row r="562" ht="18.0" customHeight="1">
      <c r="A562" s="134"/>
      <c r="B562" s="77"/>
      <c r="C562" s="77"/>
      <c r="D562" s="79"/>
      <c r="E562" s="77"/>
      <c r="F562" s="77"/>
      <c r="G562" s="118">
        <f t="shared" si="3"/>
        <v>0</v>
      </c>
      <c r="H562" s="81" t="str">
        <f t="shared" si="1"/>
        <v>—</v>
      </c>
      <c r="I562" s="81" t="str">
        <f t="shared" si="2"/>
        <v/>
      </c>
    </row>
    <row r="563" ht="18.0" customHeight="1">
      <c r="A563" s="132"/>
      <c r="B563" s="72"/>
      <c r="C563" s="72"/>
      <c r="D563" s="74"/>
      <c r="E563" s="72"/>
      <c r="F563" s="72"/>
      <c r="G563" s="114">
        <f t="shared" si="3"/>
        <v>0</v>
      </c>
      <c r="H563" s="76" t="str">
        <f t="shared" si="1"/>
        <v>—</v>
      </c>
      <c r="I563" s="76" t="str">
        <f t="shared" si="2"/>
        <v/>
      </c>
    </row>
    <row r="564" ht="18.0" customHeight="1">
      <c r="A564" s="134"/>
      <c r="B564" s="77"/>
      <c r="C564" s="77"/>
      <c r="D564" s="79"/>
      <c r="E564" s="77"/>
      <c r="F564" s="77"/>
      <c r="G564" s="118">
        <f t="shared" si="3"/>
        <v>0</v>
      </c>
      <c r="H564" s="81" t="str">
        <f t="shared" si="1"/>
        <v>—</v>
      </c>
      <c r="I564" s="81" t="str">
        <f t="shared" si="2"/>
        <v/>
      </c>
    </row>
    <row r="565" ht="18.0" customHeight="1">
      <c r="A565" s="132"/>
      <c r="B565" s="72"/>
      <c r="C565" s="72"/>
      <c r="D565" s="74"/>
      <c r="E565" s="72"/>
      <c r="F565" s="72"/>
      <c r="G565" s="114">
        <f t="shared" si="3"/>
        <v>0</v>
      </c>
      <c r="H565" s="76" t="str">
        <f t="shared" si="1"/>
        <v>—</v>
      </c>
      <c r="I565" s="76" t="str">
        <f t="shared" si="2"/>
        <v/>
      </c>
    </row>
    <row r="566" ht="18.0" customHeight="1">
      <c r="A566" s="134"/>
      <c r="B566" s="77"/>
      <c r="C566" s="77"/>
      <c r="D566" s="79"/>
      <c r="E566" s="77"/>
      <c r="F566" s="77"/>
      <c r="G566" s="118">
        <f t="shared" si="3"/>
        <v>0</v>
      </c>
      <c r="H566" s="81" t="str">
        <f t="shared" si="1"/>
        <v>—</v>
      </c>
      <c r="I566" s="81" t="str">
        <f t="shared" si="2"/>
        <v/>
      </c>
    </row>
    <row r="567" ht="18.0" customHeight="1">
      <c r="A567" s="132"/>
      <c r="B567" s="72"/>
      <c r="C567" s="72"/>
      <c r="D567" s="74"/>
      <c r="E567" s="72"/>
      <c r="F567" s="72"/>
      <c r="G567" s="114">
        <f t="shared" si="3"/>
        <v>0</v>
      </c>
      <c r="H567" s="76" t="str">
        <f t="shared" si="1"/>
        <v>—</v>
      </c>
      <c r="I567" s="76" t="str">
        <f t="shared" si="2"/>
        <v/>
      </c>
    </row>
    <row r="568" ht="18.0" customHeight="1">
      <c r="A568" s="134"/>
      <c r="B568" s="77"/>
      <c r="C568" s="77"/>
      <c r="D568" s="79"/>
      <c r="E568" s="77"/>
      <c r="F568" s="77"/>
      <c r="G568" s="118">
        <f t="shared" si="3"/>
        <v>0</v>
      </c>
      <c r="H568" s="81" t="str">
        <f t="shared" si="1"/>
        <v>—</v>
      </c>
      <c r="I568" s="81" t="str">
        <f t="shared" si="2"/>
        <v/>
      </c>
    </row>
    <row r="569" ht="18.0" customHeight="1">
      <c r="A569" s="132"/>
      <c r="B569" s="72"/>
      <c r="C569" s="72"/>
      <c r="D569" s="74"/>
      <c r="E569" s="72"/>
      <c r="F569" s="72"/>
      <c r="G569" s="114">
        <f t="shared" si="3"/>
        <v>0</v>
      </c>
      <c r="H569" s="76" t="str">
        <f t="shared" si="1"/>
        <v>—</v>
      </c>
      <c r="I569" s="76" t="str">
        <f t="shared" si="2"/>
        <v/>
      </c>
    </row>
    <row r="570" ht="18.0" customHeight="1">
      <c r="A570" s="134"/>
      <c r="B570" s="77"/>
      <c r="C570" s="77"/>
      <c r="D570" s="79"/>
      <c r="E570" s="77"/>
      <c r="F570" s="77"/>
      <c r="G570" s="118">
        <f t="shared" si="3"/>
        <v>0</v>
      </c>
      <c r="H570" s="81" t="str">
        <f t="shared" si="1"/>
        <v>—</v>
      </c>
      <c r="I570" s="81" t="str">
        <f t="shared" si="2"/>
        <v/>
      </c>
    </row>
    <row r="571" ht="18.0" customHeight="1">
      <c r="A571" s="132"/>
      <c r="B571" s="72"/>
      <c r="C571" s="72"/>
      <c r="D571" s="74"/>
      <c r="E571" s="72"/>
      <c r="F571" s="72"/>
      <c r="G571" s="114">
        <f t="shared" si="3"/>
        <v>0</v>
      </c>
      <c r="H571" s="76" t="str">
        <f t="shared" si="1"/>
        <v>—</v>
      </c>
      <c r="I571" s="76" t="str">
        <f t="shared" si="2"/>
        <v/>
      </c>
    </row>
    <row r="572" ht="18.0" customHeight="1">
      <c r="A572" s="134"/>
      <c r="B572" s="77"/>
      <c r="C572" s="77"/>
      <c r="D572" s="79"/>
      <c r="E572" s="77"/>
      <c r="F572" s="77"/>
      <c r="G572" s="118">
        <f t="shared" si="3"/>
        <v>0</v>
      </c>
      <c r="H572" s="81" t="str">
        <f t="shared" si="1"/>
        <v>—</v>
      </c>
      <c r="I572" s="81" t="str">
        <f t="shared" si="2"/>
        <v/>
      </c>
    </row>
    <row r="573" ht="18.0" customHeight="1">
      <c r="A573" s="132"/>
      <c r="B573" s="72"/>
      <c r="C573" s="72"/>
      <c r="D573" s="74"/>
      <c r="E573" s="72"/>
      <c r="F573" s="72"/>
      <c r="G573" s="114">
        <f t="shared" si="3"/>
        <v>0</v>
      </c>
      <c r="H573" s="76" t="str">
        <f t="shared" si="1"/>
        <v>—</v>
      </c>
      <c r="I573" s="76" t="str">
        <f t="shared" si="2"/>
        <v/>
      </c>
    </row>
    <row r="574" ht="18.0" customHeight="1">
      <c r="A574" s="134"/>
      <c r="B574" s="77"/>
      <c r="C574" s="77"/>
      <c r="D574" s="79"/>
      <c r="E574" s="77"/>
      <c r="F574" s="77"/>
      <c r="G574" s="118">
        <f t="shared" si="3"/>
        <v>0</v>
      </c>
      <c r="H574" s="81" t="str">
        <f t="shared" si="1"/>
        <v>—</v>
      </c>
      <c r="I574" s="81" t="str">
        <f t="shared" si="2"/>
        <v/>
      </c>
    </row>
    <row r="575" ht="18.0" customHeight="1">
      <c r="A575" s="132"/>
      <c r="B575" s="72"/>
      <c r="C575" s="72"/>
      <c r="D575" s="74"/>
      <c r="E575" s="72"/>
      <c r="F575" s="72"/>
      <c r="G575" s="114">
        <f t="shared" si="3"/>
        <v>0</v>
      </c>
      <c r="H575" s="76" t="str">
        <f t="shared" si="1"/>
        <v>—</v>
      </c>
      <c r="I575" s="76" t="str">
        <f t="shared" si="2"/>
        <v/>
      </c>
    </row>
    <row r="576" ht="18.0" customHeight="1">
      <c r="A576" s="134"/>
      <c r="B576" s="77"/>
      <c r="C576" s="77"/>
      <c r="D576" s="79"/>
      <c r="E576" s="77"/>
      <c r="F576" s="77"/>
      <c r="G576" s="118">
        <f t="shared" si="3"/>
        <v>0</v>
      </c>
      <c r="H576" s="81" t="str">
        <f t="shared" si="1"/>
        <v>—</v>
      </c>
      <c r="I576" s="81" t="str">
        <f t="shared" si="2"/>
        <v/>
      </c>
    </row>
    <row r="577" ht="18.0" customHeight="1">
      <c r="A577" s="132"/>
      <c r="B577" s="72"/>
      <c r="C577" s="72"/>
      <c r="D577" s="74"/>
      <c r="E577" s="72"/>
      <c r="F577" s="72"/>
      <c r="G577" s="114">
        <f t="shared" si="3"/>
        <v>0</v>
      </c>
      <c r="H577" s="76" t="str">
        <f t="shared" si="1"/>
        <v>—</v>
      </c>
      <c r="I577" s="76" t="str">
        <f t="shared" si="2"/>
        <v/>
      </c>
    </row>
    <row r="578" ht="18.0" customHeight="1">
      <c r="A578" s="134"/>
      <c r="B578" s="77"/>
      <c r="C578" s="77"/>
      <c r="D578" s="79"/>
      <c r="E578" s="77"/>
      <c r="F578" s="77"/>
      <c r="G578" s="118">
        <f t="shared" si="3"/>
        <v>0</v>
      </c>
      <c r="H578" s="81" t="str">
        <f t="shared" si="1"/>
        <v>—</v>
      </c>
      <c r="I578" s="81" t="str">
        <f t="shared" si="2"/>
        <v/>
      </c>
    </row>
    <row r="579" ht="18.0" customHeight="1">
      <c r="A579" s="132"/>
      <c r="B579" s="72"/>
      <c r="C579" s="72"/>
      <c r="D579" s="74"/>
      <c r="E579" s="72"/>
      <c r="F579" s="72"/>
      <c r="G579" s="114">
        <f t="shared" si="3"/>
        <v>0</v>
      </c>
      <c r="H579" s="76" t="str">
        <f t="shared" si="1"/>
        <v>—</v>
      </c>
      <c r="I579" s="76" t="str">
        <f t="shared" si="2"/>
        <v/>
      </c>
    </row>
    <row r="580" ht="18.0" customHeight="1">
      <c r="A580" s="134"/>
      <c r="B580" s="77"/>
      <c r="C580" s="77"/>
      <c r="D580" s="79"/>
      <c r="E580" s="77"/>
      <c r="F580" s="77"/>
      <c r="G580" s="118">
        <f t="shared" si="3"/>
        <v>0</v>
      </c>
      <c r="H580" s="81" t="str">
        <f t="shared" si="1"/>
        <v>—</v>
      </c>
      <c r="I580" s="81" t="str">
        <f t="shared" si="2"/>
        <v/>
      </c>
    </row>
    <row r="581" ht="18.0" customHeight="1">
      <c r="A581" s="132"/>
      <c r="B581" s="72"/>
      <c r="C581" s="72"/>
      <c r="D581" s="74"/>
      <c r="E581" s="72"/>
      <c r="F581" s="72"/>
      <c r="G581" s="114">
        <f t="shared" si="3"/>
        <v>0</v>
      </c>
      <c r="H581" s="76" t="str">
        <f t="shared" si="1"/>
        <v>—</v>
      </c>
      <c r="I581" s="76" t="str">
        <f t="shared" si="2"/>
        <v/>
      </c>
    </row>
    <row r="582" ht="18.0" customHeight="1">
      <c r="A582" s="134"/>
      <c r="B582" s="77"/>
      <c r="C582" s="77"/>
      <c r="D582" s="79"/>
      <c r="E582" s="77"/>
      <c r="F582" s="77"/>
      <c r="G582" s="118">
        <f t="shared" si="3"/>
        <v>0</v>
      </c>
      <c r="H582" s="81" t="str">
        <f t="shared" si="1"/>
        <v>—</v>
      </c>
      <c r="I582" s="81" t="str">
        <f t="shared" si="2"/>
        <v/>
      </c>
    </row>
    <row r="583" ht="18.0" customHeight="1">
      <c r="A583" s="132"/>
      <c r="B583" s="72"/>
      <c r="C583" s="72"/>
      <c r="D583" s="74"/>
      <c r="E583" s="72"/>
      <c r="F583" s="72"/>
      <c r="G583" s="114">
        <f t="shared" si="3"/>
        <v>0</v>
      </c>
      <c r="H583" s="76" t="str">
        <f t="shared" si="1"/>
        <v>—</v>
      </c>
      <c r="I583" s="76" t="str">
        <f t="shared" si="2"/>
        <v/>
      </c>
    </row>
    <row r="584" ht="18.0" customHeight="1">
      <c r="A584" s="134"/>
      <c r="B584" s="77"/>
      <c r="C584" s="77"/>
      <c r="D584" s="79"/>
      <c r="E584" s="77"/>
      <c r="F584" s="77"/>
      <c r="G584" s="118">
        <f t="shared" si="3"/>
        <v>0</v>
      </c>
      <c r="H584" s="81" t="str">
        <f t="shared" si="1"/>
        <v>—</v>
      </c>
      <c r="I584" s="81" t="str">
        <f t="shared" si="2"/>
        <v/>
      </c>
    </row>
    <row r="585" ht="18.0" customHeight="1">
      <c r="A585" s="132"/>
      <c r="B585" s="72"/>
      <c r="C585" s="72"/>
      <c r="D585" s="74"/>
      <c r="E585" s="72"/>
      <c r="F585" s="72"/>
      <c r="G585" s="114">
        <f t="shared" si="3"/>
        <v>0</v>
      </c>
      <c r="H585" s="76" t="str">
        <f t="shared" si="1"/>
        <v>—</v>
      </c>
      <c r="I585" s="76" t="str">
        <f t="shared" si="2"/>
        <v/>
      </c>
    </row>
    <row r="586" ht="18.0" customHeight="1">
      <c r="A586" s="134"/>
      <c r="B586" s="77"/>
      <c r="C586" s="77"/>
      <c r="D586" s="79"/>
      <c r="E586" s="77"/>
      <c r="F586" s="77"/>
      <c r="G586" s="118">
        <f t="shared" si="3"/>
        <v>0</v>
      </c>
      <c r="H586" s="81" t="str">
        <f t="shared" si="1"/>
        <v>—</v>
      </c>
      <c r="I586" s="81" t="str">
        <f t="shared" si="2"/>
        <v/>
      </c>
    </row>
    <row r="587" ht="18.0" customHeight="1">
      <c r="A587" s="132"/>
      <c r="B587" s="72"/>
      <c r="C587" s="72"/>
      <c r="D587" s="74"/>
      <c r="E587" s="72"/>
      <c r="F587" s="72"/>
      <c r="G587" s="114">
        <f t="shared" si="3"/>
        <v>0</v>
      </c>
      <c r="H587" s="76" t="str">
        <f t="shared" si="1"/>
        <v>—</v>
      </c>
      <c r="I587" s="76" t="str">
        <f t="shared" si="2"/>
        <v/>
      </c>
    </row>
    <row r="588" ht="18.0" customHeight="1">
      <c r="A588" s="134"/>
      <c r="B588" s="77"/>
      <c r="C588" s="77"/>
      <c r="D588" s="79"/>
      <c r="E588" s="77"/>
      <c r="F588" s="77"/>
      <c r="G588" s="118">
        <f t="shared" si="3"/>
        <v>0</v>
      </c>
      <c r="H588" s="81" t="str">
        <f t="shared" si="1"/>
        <v>—</v>
      </c>
      <c r="I588" s="81" t="str">
        <f t="shared" si="2"/>
        <v/>
      </c>
    </row>
    <row r="589" ht="18.0" customHeight="1">
      <c r="A589" s="132"/>
      <c r="B589" s="72"/>
      <c r="C589" s="72"/>
      <c r="D589" s="74"/>
      <c r="E589" s="72"/>
      <c r="F589" s="72"/>
      <c r="G589" s="114">
        <f t="shared" si="3"/>
        <v>0</v>
      </c>
      <c r="H589" s="76" t="str">
        <f t="shared" si="1"/>
        <v>—</v>
      </c>
      <c r="I589" s="76" t="str">
        <f t="shared" si="2"/>
        <v/>
      </c>
    </row>
    <row r="590" ht="18.0" customHeight="1">
      <c r="A590" s="134"/>
      <c r="B590" s="77"/>
      <c r="C590" s="77"/>
      <c r="D590" s="79"/>
      <c r="E590" s="77"/>
      <c r="F590" s="77"/>
      <c r="G590" s="118">
        <f t="shared" si="3"/>
        <v>0</v>
      </c>
      <c r="H590" s="81" t="str">
        <f t="shared" si="1"/>
        <v>—</v>
      </c>
      <c r="I590" s="81" t="str">
        <f t="shared" si="2"/>
        <v/>
      </c>
    </row>
    <row r="591" ht="18.0" customHeight="1">
      <c r="A591" s="132"/>
      <c r="B591" s="72"/>
      <c r="C591" s="72"/>
      <c r="D591" s="74"/>
      <c r="E591" s="72"/>
      <c r="F591" s="72"/>
      <c r="G591" s="114">
        <f t="shared" si="3"/>
        <v>0</v>
      </c>
      <c r="H591" s="76" t="str">
        <f t="shared" si="1"/>
        <v>—</v>
      </c>
      <c r="I591" s="76" t="str">
        <f t="shared" si="2"/>
        <v/>
      </c>
    </row>
    <row r="592" ht="18.0" customHeight="1">
      <c r="A592" s="134"/>
      <c r="B592" s="77"/>
      <c r="C592" s="77"/>
      <c r="D592" s="79"/>
      <c r="E592" s="77"/>
      <c r="F592" s="77"/>
      <c r="G592" s="118">
        <f t="shared" si="3"/>
        <v>0</v>
      </c>
      <c r="H592" s="81" t="str">
        <f t="shared" si="1"/>
        <v>—</v>
      </c>
      <c r="I592" s="81" t="str">
        <f t="shared" si="2"/>
        <v/>
      </c>
    </row>
    <row r="593" ht="18.0" customHeight="1">
      <c r="A593" s="132"/>
      <c r="B593" s="72"/>
      <c r="C593" s="72"/>
      <c r="D593" s="74"/>
      <c r="E593" s="72"/>
      <c r="F593" s="72"/>
      <c r="G593" s="114">
        <f t="shared" si="3"/>
        <v>0</v>
      </c>
      <c r="H593" s="76" t="str">
        <f t="shared" si="1"/>
        <v>—</v>
      </c>
      <c r="I593" s="76" t="str">
        <f t="shared" si="2"/>
        <v/>
      </c>
    </row>
    <row r="594" ht="18.0" customHeight="1">
      <c r="A594" s="134"/>
      <c r="B594" s="77"/>
      <c r="C594" s="77"/>
      <c r="D594" s="79"/>
      <c r="E594" s="77"/>
      <c r="F594" s="77"/>
      <c r="G594" s="118">
        <f t="shared" si="3"/>
        <v>0</v>
      </c>
      <c r="H594" s="81" t="str">
        <f t="shared" si="1"/>
        <v>—</v>
      </c>
      <c r="I594" s="81" t="str">
        <f t="shared" si="2"/>
        <v/>
      </c>
    </row>
    <row r="595" ht="18.0" customHeight="1">
      <c r="A595" s="132"/>
      <c r="B595" s="72"/>
      <c r="C595" s="72"/>
      <c r="D595" s="74"/>
      <c r="E595" s="72"/>
      <c r="F595" s="72"/>
      <c r="G595" s="114">
        <f t="shared" si="3"/>
        <v>0</v>
      </c>
      <c r="H595" s="76" t="str">
        <f t="shared" si="1"/>
        <v>—</v>
      </c>
      <c r="I595" s="76" t="str">
        <f t="shared" si="2"/>
        <v/>
      </c>
    </row>
    <row r="596" ht="18.0" customHeight="1">
      <c r="A596" s="134"/>
      <c r="B596" s="77"/>
      <c r="C596" s="77"/>
      <c r="D596" s="79"/>
      <c r="E596" s="77"/>
      <c r="F596" s="77"/>
      <c r="G596" s="118">
        <f t="shared" si="3"/>
        <v>0</v>
      </c>
      <c r="H596" s="81" t="str">
        <f t="shared" si="1"/>
        <v>—</v>
      </c>
      <c r="I596" s="81" t="str">
        <f t="shared" si="2"/>
        <v/>
      </c>
    </row>
    <row r="597" ht="18.0" customHeight="1">
      <c r="A597" s="132"/>
      <c r="B597" s="72"/>
      <c r="C597" s="72"/>
      <c r="D597" s="74"/>
      <c r="E597" s="72"/>
      <c r="F597" s="72"/>
      <c r="G597" s="114">
        <f t="shared" si="3"/>
        <v>0</v>
      </c>
      <c r="H597" s="76" t="str">
        <f t="shared" si="1"/>
        <v>—</v>
      </c>
      <c r="I597" s="76" t="str">
        <f t="shared" si="2"/>
        <v/>
      </c>
    </row>
    <row r="598" ht="18.0" customHeight="1">
      <c r="A598" s="134"/>
      <c r="B598" s="77"/>
      <c r="C598" s="77"/>
      <c r="D598" s="79"/>
      <c r="E598" s="77"/>
      <c r="F598" s="77"/>
      <c r="G598" s="118">
        <f t="shared" si="3"/>
        <v>0</v>
      </c>
      <c r="H598" s="81" t="str">
        <f t="shared" si="1"/>
        <v>—</v>
      </c>
      <c r="I598" s="81" t="str">
        <f t="shared" si="2"/>
        <v/>
      </c>
    </row>
    <row r="599" ht="18.0" customHeight="1">
      <c r="A599" s="132"/>
      <c r="B599" s="72"/>
      <c r="C599" s="72"/>
      <c r="D599" s="74"/>
      <c r="E599" s="72"/>
      <c r="F599" s="72"/>
      <c r="G599" s="114">
        <f t="shared" si="3"/>
        <v>0</v>
      </c>
      <c r="H599" s="76" t="str">
        <f t="shared" si="1"/>
        <v>—</v>
      </c>
      <c r="I599" s="76" t="str">
        <f t="shared" si="2"/>
        <v/>
      </c>
    </row>
    <row r="600" ht="18.0" customHeight="1">
      <c r="A600" s="134"/>
      <c r="B600" s="77"/>
      <c r="C600" s="77"/>
      <c r="D600" s="79"/>
      <c r="E600" s="77"/>
      <c r="F600" s="77"/>
      <c r="G600" s="118">
        <f t="shared" si="3"/>
        <v>0</v>
      </c>
      <c r="H600" s="81" t="str">
        <f t="shared" si="1"/>
        <v>—</v>
      </c>
      <c r="I600" s="81" t="str">
        <f t="shared" si="2"/>
        <v/>
      </c>
    </row>
    <row r="601" ht="18.0" customHeight="1">
      <c r="A601" s="132"/>
      <c r="B601" s="72"/>
      <c r="C601" s="72"/>
      <c r="D601" s="74"/>
      <c r="E601" s="72"/>
      <c r="F601" s="72"/>
      <c r="G601" s="114">
        <f t="shared" si="3"/>
        <v>0</v>
      </c>
      <c r="H601" s="76" t="str">
        <f t="shared" si="1"/>
        <v>—</v>
      </c>
      <c r="I601" s="76" t="str">
        <f t="shared" si="2"/>
        <v/>
      </c>
    </row>
    <row r="602" ht="18.0" customHeight="1">
      <c r="A602" s="134"/>
      <c r="B602" s="77"/>
      <c r="C602" s="77"/>
      <c r="D602" s="79"/>
      <c r="E602" s="77"/>
      <c r="F602" s="77"/>
      <c r="G602" s="118">
        <f t="shared" si="3"/>
        <v>0</v>
      </c>
      <c r="H602" s="81" t="str">
        <f t="shared" si="1"/>
        <v>—</v>
      </c>
      <c r="I602" s="81" t="str">
        <f t="shared" si="2"/>
        <v/>
      </c>
    </row>
    <row r="603" ht="18.0" customHeight="1">
      <c r="A603" s="132"/>
      <c r="B603" s="72"/>
      <c r="C603" s="72"/>
      <c r="D603" s="74"/>
      <c r="E603" s="72"/>
      <c r="F603" s="72"/>
      <c r="G603" s="114">
        <f t="shared" si="3"/>
        <v>0</v>
      </c>
      <c r="H603" s="76" t="str">
        <f t="shared" si="1"/>
        <v>—</v>
      </c>
      <c r="I603" s="76" t="str">
        <f t="shared" si="2"/>
        <v/>
      </c>
    </row>
    <row r="604" ht="18.0" customHeight="1">
      <c r="A604" s="134"/>
      <c r="B604" s="77"/>
      <c r="C604" s="77"/>
      <c r="D604" s="79"/>
      <c r="E604" s="77"/>
      <c r="F604" s="77"/>
      <c r="G604" s="118">
        <f t="shared" si="3"/>
        <v>0</v>
      </c>
      <c r="H604" s="81" t="str">
        <f t="shared" si="1"/>
        <v>—</v>
      </c>
      <c r="I604" s="81" t="str">
        <f t="shared" si="2"/>
        <v/>
      </c>
    </row>
    <row r="605" ht="18.0" customHeight="1">
      <c r="A605" s="132"/>
      <c r="B605" s="72"/>
      <c r="C605" s="72"/>
      <c r="D605" s="74"/>
      <c r="E605" s="72"/>
      <c r="F605" s="72"/>
      <c r="G605" s="114">
        <f t="shared" si="3"/>
        <v>0</v>
      </c>
      <c r="H605" s="76" t="str">
        <f t="shared" si="1"/>
        <v>—</v>
      </c>
      <c r="I605" s="76" t="str">
        <f t="shared" si="2"/>
        <v/>
      </c>
    </row>
    <row r="606" ht="18.0" customHeight="1">
      <c r="A606" s="134"/>
      <c r="B606" s="77"/>
      <c r="C606" s="77"/>
      <c r="D606" s="79"/>
      <c r="E606" s="77"/>
      <c r="F606" s="77"/>
      <c r="G606" s="118">
        <f t="shared" si="3"/>
        <v>0</v>
      </c>
      <c r="H606" s="81" t="str">
        <f t="shared" si="1"/>
        <v>—</v>
      </c>
      <c r="I606" s="81" t="str">
        <f t="shared" si="2"/>
        <v/>
      </c>
    </row>
    <row r="607" ht="18.0" customHeight="1">
      <c r="A607" s="132"/>
      <c r="B607" s="72"/>
      <c r="C607" s="72"/>
      <c r="D607" s="74"/>
      <c r="E607" s="72"/>
      <c r="F607" s="72"/>
      <c r="G607" s="114">
        <f t="shared" si="3"/>
        <v>0</v>
      </c>
      <c r="H607" s="76" t="str">
        <f t="shared" si="1"/>
        <v>—</v>
      </c>
      <c r="I607" s="76" t="str">
        <f t="shared" si="2"/>
        <v/>
      </c>
    </row>
    <row r="608" ht="18.0" customHeight="1">
      <c r="A608" s="134"/>
      <c r="B608" s="77"/>
      <c r="C608" s="77"/>
      <c r="D608" s="79"/>
      <c r="E608" s="77"/>
      <c r="F608" s="77"/>
      <c r="G608" s="118">
        <f t="shared" si="3"/>
        <v>0</v>
      </c>
      <c r="H608" s="81" t="str">
        <f t="shared" si="1"/>
        <v>—</v>
      </c>
      <c r="I608" s="81" t="str">
        <f t="shared" si="2"/>
        <v/>
      </c>
    </row>
    <row r="609" ht="18.0" customHeight="1">
      <c r="A609" s="132"/>
      <c r="B609" s="72"/>
      <c r="C609" s="72"/>
      <c r="D609" s="74"/>
      <c r="E609" s="72"/>
      <c r="F609" s="72"/>
      <c r="G609" s="114">
        <f t="shared" si="3"/>
        <v>0</v>
      </c>
      <c r="H609" s="76" t="str">
        <f t="shared" si="1"/>
        <v>—</v>
      </c>
      <c r="I609" s="76" t="str">
        <f t="shared" si="2"/>
        <v/>
      </c>
    </row>
    <row r="610" ht="18.0" customHeight="1">
      <c r="A610" s="134"/>
      <c r="B610" s="77"/>
      <c r="C610" s="77"/>
      <c r="D610" s="79"/>
      <c r="E610" s="77"/>
      <c r="F610" s="77"/>
      <c r="G610" s="118">
        <f t="shared" si="3"/>
        <v>0</v>
      </c>
      <c r="H610" s="81" t="str">
        <f t="shared" si="1"/>
        <v>—</v>
      </c>
      <c r="I610" s="81" t="str">
        <f t="shared" si="2"/>
        <v/>
      </c>
    </row>
    <row r="611" ht="18.0" customHeight="1">
      <c r="A611" s="132"/>
      <c r="B611" s="72"/>
      <c r="C611" s="72"/>
      <c r="D611" s="74"/>
      <c r="E611" s="72"/>
      <c r="F611" s="72"/>
      <c r="G611" s="114">
        <f t="shared" si="3"/>
        <v>0</v>
      </c>
      <c r="H611" s="76" t="str">
        <f t="shared" si="1"/>
        <v>—</v>
      </c>
      <c r="I611" s="76" t="str">
        <f t="shared" si="2"/>
        <v/>
      </c>
    </row>
    <row r="612" ht="18.0" customHeight="1">
      <c r="A612" s="134"/>
      <c r="B612" s="77"/>
      <c r="C612" s="77"/>
      <c r="D612" s="79"/>
      <c r="E612" s="77"/>
      <c r="F612" s="77"/>
      <c r="G612" s="118">
        <f t="shared" si="3"/>
        <v>0</v>
      </c>
      <c r="H612" s="81" t="str">
        <f t="shared" si="1"/>
        <v>—</v>
      </c>
      <c r="I612" s="81" t="str">
        <f t="shared" si="2"/>
        <v/>
      </c>
    </row>
    <row r="613" ht="18.0" customHeight="1">
      <c r="A613" s="132"/>
      <c r="B613" s="72"/>
      <c r="C613" s="72"/>
      <c r="D613" s="74"/>
      <c r="E613" s="72"/>
      <c r="F613" s="72"/>
      <c r="G613" s="114">
        <f t="shared" si="3"/>
        <v>0</v>
      </c>
      <c r="H613" s="76" t="str">
        <f t="shared" si="1"/>
        <v>—</v>
      </c>
      <c r="I613" s="76" t="str">
        <f t="shared" si="2"/>
        <v/>
      </c>
    </row>
    <row r="614" ht="18.0" customHeight="1">
      <c r="A614" s="134"/>
      <c r="B614" s="77"/>
      <c r="C614" s="77"/>
      <c r="D614" s="79"/>
      <c r="E614" s="77"/>
      <c r="F614" s="77"/>
      <c r="G614" s="118">
        <f t="shared" si="3"/>
        <v>0</v>
      </c>
      <c r="H614" s="81" t="str">
        <f t="shared" si="1"/>
        <v>—</v>
      </c>
      <c r="I614" s="81" t="str">
        <f t="shared" si="2"/>
        <v/>
      </c>
    </row>
    <row r="615" ht="18.0" customHeight="1">
      <c r="A615" s="132"/>
      <c r="B615" s="72"/>
      <c r="C615" s="72"/>
      <c r="D615" s="74"/>
      <c r="E615" s="72"/>
      <c r="F615" s="72"/>
      <c r="G615" s="114">
        <f t="shared" si="3"/>
        <v>0</v>
      </c>
      <c r="H615" s="76" t="str">
        <f t="shared" si="1"/>
        <v>—</v>
      </c>
      <c r="I615" s="76" t="str">
        <f t="shared" si="2"/>
        <v/>
      </c>
    </row>
    <row r="616" ht="18.0" customHeight="1">
      <c r="A616" s="134"/>
      <c r="B616" s="77"/>
      <c r="C616" s="77"/>
      <c r="D616" s="79"/>
      <c r="E616" s="77"/>
      <c r="F616" s="77"/>
      <c r="G616" s="118">
        <f t="shared" si="3"/>
        <v>0</v>
      </c>
      <c r="H616" s="81" t="str">
        <f t="shared" si="1"/>
        <v>—</v>
      </c>
      <c r="I616" s="81" t="str">
        <f t="shared" si="2"/>
        <v/>
      </c>
    </row>
    <row r="617" ht="18.0" customHeight="1">
      <c r="A617" s="132"/>
      <c r="B617" s="72"/>
      <c r="C617" s="72"/>
      <c r="D617" s="74"/>
      <c r="E617" s="72"/>
      <c r="F617" s="72"/>
      <c r="G617" s="114">
        <f t="shared" si="3"/>
        <v>0</v>
      </c>
      <c r="H617" s="76" t="str">
        <f t="shared" si="1"/>
        <v>—</v>
      </c>
      <c r="I617" s="76" t="str">
        <f t="shared" si="2"/>
        <v/>
      </c>
    </row>
    <row r="618" ht="18.0" customHeight="1">
      <c r="A618" s="134"/>
      <c r="B618" s="77"/>
      <c r="C618" s="77"/>
      <c r="D618" s="79"/>
      <c r="E618" s="77"/>
      <c r="F618" s="77"/>
      <c r="G618" s="118">
        <f t="shared" si="3"/>
        <v>0</v>
      </c>
      <c r="H618" s="81" t="str">
        <f t="shared" si="1"/>
        <v>—</v>
      </c>
      <c r="I618" s="81" t="str">
        <f t="shared" si="2"/>
        <v/>
      </c>
    </row>
    <row r="619" ht="18.0" customHeight="1">
      <c r="A619" s="132"/>
      <c r="B619" s="72"/>
      <c r="C619" s="72"/>
      <c r="D619" s="74"/>
      <c r="E619" s="72"/>
      <c r="F619" s="72"/>
      <c r="G619" s="114">
        <f t="shared" si="3"/>
        <v>0</v>
      </c>
      <c r="H619" s="76" t="str">
        <f t="shared" si="1"/>
        <v>—</v>
      </c>
      <c r="I619" s="76" t="str">
        <f t="shared" si="2"/>
        <v/>
      </c>
    </row>
    <row r="620" ht="18.0" customHeight="1">
      <c r="A620" s="134"/>
      <c r="B620" s="77"/>
      <c r="C620" s="77"/>
      <c r="D620" s="79"/>
      <c r="E620" s="77"/>
      <c r="F620" s="77"/>
      <c r="G620" s="118">
        <f t="shared" si="3"/>
        <v>0</v>
      </c>
      <c r="H620" s="81" t="str">
        <f t="shared" si="1"/>
        <v>—</v>
      </c>
      <c r="I620" s="81" t="str">
        <f t="shared" si="2"/>
        <v/>
      </c>
    </row>
    <row r="621" ht="18.0" customHeight="1">
      <c r="A621" s="132"/>
      <c r="B621" s="72"/>
      <c r="C621" s="72"/>
      <c r="D621" s="74"/>
      <c r="E621" s="72"/>
      <c r="F621" s="72"/>
      <c r="G621" s="114">
        <f t="shared" si="3"/>
        <v>0</v>
      </c>
      <c r="H621" s="76" t="str">
        <f t="shared" si="1"/>
        <v>—</v>
      </c>
      <c r="I621" s="76" t="str">
        <f t="shared" si="2"/>
        <v/>
      </c>
    </row>
    <row r="622" ht="18.0" customHeight="1">
      <c r="A622" s="134"/>
      <c r="B622" s="77"/>
      <c r="C622" s="77"/>
      <c r="D622" s="79"/>
      <c r="E622" s="77"/>
      <c r="F622" s="77"/>
      <c r="G622" s="118">
        <f t="shared" si="3"/>
        <v>0</v>
      </c>
      <c r="H622" s="81" t="str">
        <f t="shared" si="1"/>
        <v>—</v>
      </c>
      <c r="I622" s="81" t="str">
        <f t="shared" si="2"/>
        <v/>
      </c>
    </row>
    <row r="623" ht="18.0" customHeight="1">
      <c r="A623" s="132"/>
      <c r="B623" s="72"/>
      <c r="C623" s="72"/>
      <c r="D623" s="74"/>
      <c r="E623" s="72"/>
      <c r="F623" s="72"/>
      <c r="G623" s="114">
        <f t="shared" si="3"/>
        <v>0</v>
      </c>
      <c r="H623" s="76" t="str">
        <f t="shared" si="1"/>
        <v>—</v>
      </c>
      <c r="I623" s="76" t="str">
        <f t="shared" si="2"/>
        <v/>
      </c>
    </row>
    <row r="624" ht="18.0" customHeight="1">
      <c r="A624" s="134"/>
      <c r="B624" s="77"/>
      <c r="C624" s="77"/>
      <c r="D624" s="79"/>
      <c r="E624" s="77"/>
      <c r="F624" s="77"/>
      <c r="G624" s="118">
        <f t="shared" si="3"/>
        <v>0</v>
      </c>
      <c r="H624" s="81" t="str">
        <f t="shared" si="1"/>
        <v>—</v>
      </c>
      <c r="I624" s="81" t="str">
        <f t="shared" si="2"/>
        <v/>
      </c>
    </row>
    <row r="625" ht="18.0" customHeight="1">
      <c r="A625" s="132"/>
      <c r="B625" s="72"/>
      <c r="C625" s="72"/>
      <c r="D625" s="74"/>
      <c r="E625" s="72"/>
      <c r="F625" s="72"/>
      <c r="G625" s="114">
        <f t="shared" si="3"/>
        <v>0</v>
      </c>
      <c r="H625" s="76" t="str">
        <f t="shared" si="1"/>
        <v>—</v>
      </c>
      <c r="I625" s="76" t="str">
        <f t="shared" si="2"/>
        <v/>
      </c>
    </row>
    <row r="626" ht="18.0" customHeight="1">
      <c r="A626" s="134"/>
      <c r="B626" s="77"/>
      <c r="C626" s="77"/>
      <c r="D626" s="79"/>
      <c r="E626" s="77"/>
      <c r="F626" s="77"/>
      <c r="G626" s="118">
        <f t="shared" si="3"/>
        <v>0</v>
      </c>
      <c r="H626" s="81" t="str">
        <f t="shared" si="1"/>
        <v>—</v>
      </c>
      <c r="I626" s="81" t="str">
        <f t="shared" si="2"/>
        <v/>
      </c>
    </row>
    <row r="627" ht="18.0" customHeight="1">
      <c r="A627" s="132"/>
      <c r="B627" s="72"/>
      <c r="C627" s="72"/>
      <c r="D627" s="74"/>
      <c r="E627" s="72"/>
      <c r="F627" s="72"/>
      <c r="G627" s="114">
        <f t="shared" si="3"/>
        <v>0</v>
      </c>
      <c r="H627" s="76" t="str">
        <f t="shared" si="1"/>
        <v>—</v>
      </c>
      <c r="I627" s="76" t="str">
        <f t="shared" si="2"/>
        <v/>
      </c>
    </row>
    <row r="628" ht="18.0" customHeight="1">
      <c r="A628" s="134"/>
      <c r="B628" s="77"/>
      <c r="C628" s="77"/>
      <c r="D628" s="79"/>
      <c r="E628" s="77"/>
      <c r="F628" s="77"/>
      <c r="G628" s="118">
        <f t="shared" si="3"/>
        <v>0</v>
      </c>
      <c r="H628" s="81" t="str">
        <f t="shared" si="1"/>
        <v>—</v>
      </c>
      <c r="I628" s="81" t="str">
        <f t="shared" si="2"/>
        <v/>
      </c>
    </row>
    <row r="629" ht="18.0" customHeight="1">
      <c r="A629" s="132"/>
      <c r="B629" s="72"/>
      <c r="C629" s="72"/>
      <c r="D629" s="74"/>
      <c r="E629" s="72"/>
      <c r="F629" s="72"/>
      <c r="G629" s="114">
        <f t="shared" si="3"/>
        <v>0</v>
      </c>
      <c r="H629" s="76" t="str">
        <f t="shared" si="1"/>
        <v>—</v>
      </c>
      <c r="I629" s="76" t="str">
        <f t="shared" si="2"/>
        <v/>
      </c>
    </row>
    <row r="630" ht="18.0" customHeight="1">
      <c r="A630" s="134"/>
      <c r="B630" s="77"/>
      <c r="C630" s="77"/>
      <c r="D630" s="79"/>
      <c r="E630" s="77"/>
      <c r="F630" s="77"/>
      <c r="G630" s="118">
        <f t="shared" si="3"/>
        <v>0</v>
      </c>
      <c r="H630" s="81" t="str">
        <f t="shared" si="1"/>
        <v>—</v>
      </c>
      <c r="I630" s="81" t="str">
        <f t="shared" si="2"/>
        <v/>
      </c>
    </row>
    <row r="631" ht="18.0" customHeight="1">
      <c r="A631" s="132"/>
      <c r="B631" s="72"/>
      <c r="C631" s="72"/>
      <c r="D631" s="74"/>
      <c r="E631" s="72"/>
      <c r="F631" s="72"/>
      <c r="G631" s="114">
        <f t="shared" si="3"/>
        <v>0</v>
      </c>
      <c r="H631" s="76" t="str">
        <f t="shared" si="1"/>
        <v>—</v>
      </c>
      <c r="I631" s="76" t="str">
        <f t="shared" si="2"/>
        <v/>
      </c>
    </row>
    <row r="632" ht="18.0" customHeight="1">
      <c r="A632" s="134"/>
      <c r="B632" s="77"/>
      <c r="C632" s="77"/>
      <c r="D632" s="79"/>
      <c r="E632" s="77"/>
      <c r="F632" s="77"/>
      <c r="G632" s="118">
        <f t="shared" si="3"/>
        <v>0</v>
      </c>
      <c r="H632" s="81" t="str">
        <f t="shared" si="1"/>
        <v>—</v>
      </c>
      <c r="I632" s="81" t="str">
        <f t="shared" si="2"/>
        <v/>
      </c>
    </row>
    <row r="633" ht="18.0" customHeight="1">
      <c r="A633" s="132"/>
      <c r="B633" s="72"/>
      <c r="C633" s="72"/>
      <c r="D633" s="74"/>
      <c r="E633" s="72"/>
      <c r="F633" s="72"/>
      <c r="G633" s="114">
        <f t="shared" si="3"/>
        <v>0</v>
      </c>
      <c r="H633" s="76" t="str">
        <f t="shared" si="1"/>
        <v>—</v>
      </c>
      <c r="I633" s="76" t="str">
        <f t="shared" si="2"/>
        <v/>
      </c>
    </row>
    <row r="634" ht="18.0" customHeight="1">
      <c r="A634" s="134"/>
      <c r="B634" s="77"/>
      <c r="C634" s="77"/>
      <c r="D634" s="79"/>
      <c r="E634" s="77"/>
      <c r="F634" s="77"/>
      <c r="G634" s="118">
        <f t="shared" si="3"/>
        <v>0</v>
      </c>
      <c r="H634" s="81" t="str">
        <f t="shared" si="1"/>
        <v>—</v>
      </c>
      <c r="I634" s="81" t="str">
        <f t="shared" si="2"/>
        <v/>
      </c>
    </row>
    <row r="635" ht="18.0" customHeight="1">
      <c r="A635" s="132"/>
      <c r="B635" s="72"/>
      <c r="C635" s="72"/>
      <c r="D635" s="74"/>
      <c r="E635" s="72"/>
      <c r="F635" s="72"/>
      <c r="G635" s="114">
        <f t="shared" si="3"/>
        <v>0</v>
      </c>
      <c r="H635" s="76" t="str">
        <f t="shared" si="1"/>
        <v>—</v>
      </c>
      <c r="I635" s="76" t="str">
        <f t="shared" si="2"/>
        <v/>
      </c>
    </row>
    <row r="636" ht="18.0" customHeight="1">
      <c r="A636" s="134"/>
      <c r="B636" s="77"/>
      <c r="C636" s="77"/>
      <c r="D636" s="79"/>
      <c r="E636" s="77"/>
      <c r="F636" s="77"/>
      <c r="G636" s="118">
        <f t="shared" si="3"/>
        <v>0</v>
      </c>
      <c r="H636" s="81" t="str">
        <f t="shared" si="1"/>
        <v>—</v>
      </c>
      <c r="I636" s="81" t="str">
        <f t="shared" si="2"/>
        <v/>
      </c>
    </row>
    <row r="637" ht="18.0" customHeight="1">
      <c r="A637" s="132"/>
      <c r="B637" s="72"/>
      <c r="C637" s="72"/>
      <c r="D637" s="74"/>
      <c r="E637" s="72"/>
      <c r="F637" s="72"/>
      <c r="G637" s="114">
        <f t="shared" si="3"/>
        <v>0</v>
      </c>
      <c r="H637" s="76" t="str">
        <f t="shared" si="1"/>
        <v>—</v>
      </c>
      <c r="I637" s="76" t="str">
        <f t="shared" si="2"/>
        <v/>
      </c>
    </row>
    <row r="638" ht="18.0" customHeight="1">
      <c r="A638" s="134"/>
      <c r="B638" s="77"/>
      <c r="C638" s="77"/>
      <c r="D638" s="79"/>
      <c r="E638" s="77"/>
      <c r="F638" s="77"/>
      <c r="G638" s="118">
        <f t="shared" si="3"/>
        <v>0</v>
      </c>
      <c r="H638" s="81" t="str">
        <f t="shared" si="1"/>
        <v>—</v>
      </c>
      <c r="I638" s="81" t="str">
        <f t="shared" si="2"/>
        <v/>
      </c>
    </row>
    <row r="639" ht="18.0" customHeight="1">
      <c r="A639" s="132"/>
      <c r="B639" s="72"/>
      <c r="C639" s="72"/>
      <c r="D639" s="74"/>
      <c r="E639" s="72"/>
      <c r="F639" s="72"/>
      <c r="G639" s="114">
        <f t="shared" si="3"/>
        <v>0</v>
      </c>
      <c r="H639" s="76" t="str">
        <f t="shared" si="1"/>
        <v>—</v>
      </c>
      <c r="I639" s="76" t="str">
        <f t="shared" si="2"/>
        <v/>
      </c>
    </row>
    <row r="640" ht="18.0" customHeight="1">
      <c r="A640" s="134"/>
      <c r="B640" s="77"/>
      <c r="C640" s="77"/>
      <c r="D640" s="79"/>
      <c r="E640" s="77"/>
      <c r="F640" s="77"/>
      <c r="G640" s="118">
        <f t="shared" si="3"/>
        <v>0</v>
      </c>
      <c r="H640" s="81" t="str">
        <f t="shared" si="1"/>
        <v>—</v>
      </c>
      <c r="I640" s="81" t="str">
        <f t="shared" si="2"/>
        <v/>
      </c>
    </row>
    <row r="641" ht="18.0" customHeight="1">
      <c r="A641" s="132"/>
      <c r="B641" s="72"/>
      <c r="C641" s="72"/>
      <c r="D641" s="74"/>
      <c r="E641" s="72"/>
      <c r="F641" s="72"/>
      <c r="G641" s="114">
        <f t="shared" si="3"/>
        <v>0</v>
      </c>
      <c r="H641" s="76" t="str">
        <f t="shared" si="1"/>
        <v>—</v>
      </c>
      <c r="I641" s="76" t="str">
        <f t="shared" si="2"/>
        <v/>
      </c>
    </row>
    <row r="642" ht="18.0" customHeight="1">
      <c r="A642" s="134"/>
      <c r="B642" s="77"/>
      <c r="C642" s="77"/>
      <c r="D642" s="79"/>
      <c r="E642" s="77"/>
      <c r="F642" s="77"/>
      <c r="G642" s="118">
        <f t="shared" si="3"/>
        <v>0</v>
      </c>
      <c r="H642" s="81" t="str">
        <f t="shared" si="1"/>
        <v>—</v>
      </c>
      <c r="I642" s="81" t="str">
        <f t="shared" si="2"/>
        <v/>
      </c>
    </row>
    <row r="643" ht="18.0" customHeight="1">
      <c r="A643" s="132"/>
      <c r="B643" s="72"/>
      <c r="C643" s="72"/>
      <c r="D643" s="74"/>
      <c r="E643" s="72"/>
      <c r="F643" s="72"/>
      <c r="G643" s="114">
        <f t="shared" si="3"/>
        <v>0</v>
      </c>
      <c r="H643" s="76" t="str">
        <f t="shared" si="1"/>
        <v>—</v>
      </c>
      <c r="I643" s="76" t="str">
        <f t="shared" si="2"/>
        <v/>
      </c>
    </row>
    <row r="644" ht="18.0" customHeight="1">
      <c r="A644" s="134"/>
      <c r="B644" s="77"/>
      <c r="C644" s="77"/>
      <c r="D644" s="79"/>
      <c r="E644" s="77"/>
      <c r="F644" s="77"/>
      <c r="G644" s="118">
        <f t="shared" si="3"/>
        <v>0</v>
      </c>
      <c r="H644" s="81" t="str">
        <f t="shared" si="1"/>
        <v>—</v>
      </c>
      <c r="I644" s="81" t="str">
        <f t="shared" si="2"/>
        <v/>
      </c>
    </row>
    <row r="645" ht="18.0" customHeight="1">
      <c r="A645" s="132"/>
      <c r="B645" s="72"/>
      <c r="C645" s="72"/>
      <c r="D645" s="74"/>
      <c r="E645" s="72"/>
      <c r="F645" s="72"/>
      <c r="G645" s="114">
        <f t="shared" si="3"/>
        <v>0</v>
      </c>
      <c r="H645" s="76" t="str">
        <f t="shared" si="1"/>
        <v>—</v>
      </c>
      <c r="I645" s="76" t="str">
        <f t="shared" si="2"/>
        <v/>
      </c>
    </row>
    <row r="646" ht="18.0" customHeight="1">
      <c r="A646" s="134"/>
      <c r="B646" s="77"/>
      <c r="C646" s="77"/>
      <c r="D646" s="79"/>
      <c r="E646" s="77"/>
      <c r="F646" s="77"/>
      <c r="G646" s="118">
        <f t="shared" si="3"/>
        <v>0</v>
      </c>
      <c r="H646" s="81" t="str">
        <f t="shared" si="1"/>
        <v>—</v>
      </c>
      <c r="I646" s="81" t="str">
        <f t="shared" si="2"/>
        <v/>
      </c>
    </row>
    <row r="647" ht="18.0" customHeight="1">
      <c r="A647" s="132"/>
      <c r="B647" s="72"/>
      <c r="C647" s="72"/>
      <c r="D647" s="74"/>
      <c r="E647" s="72"/>
      <c r="F647" s="72"/>
      <c r="G647" s="114">
        <f t="shared" si="3"/>
        <v>0</v>
      </c>
      <c r="H647" s="76" t="str">
        <f t="shared" si="1"/>
        <v>—</v>
      </c>
      <c r="I647" s="76" t="str">
        <f t="shared" si="2"/>
        <v/>
      </c>
    </row>
    <row r="648" ht="18.0" customHeight="1">
      <c r="A648" s="134"/>
      <c r="B648" s="77"/>
      <c r="C648" s="77"/>
      <c r="D648" s="79"/>
      <c r="E648" s="77"/>
      <c r="F648" s="77"/>
      <c r="G648" s="118">
        <f t="shared" si="3"/>
        <v>0</v>
      </c>
      <c r="H648" s="81" t="str">
        <f t="shared" si="1"/>
        <v>—</v>
      </c>
      <c r="I648" s="81" t="str">
        <f t="shared" si="2"/>
        <v/>
      </c>
    </row>
    <row r="649" ht="18.0" customHeight="1">
      <c r="A649" s="132"/>
      <c r="B649" s="72"/>
      <c r="C649" s="72"/>
      <c r="D649" s="74"/>
      <c r="E649" s="72"/>
      <c r="F649" s="72"/>
      <c r="G649" s="114">
        <f t="shared" si="3"/>
        <v>0</v>
      </c>
      <c r="H649" s="76" t="str">
        <f t="shared" si="1"/>
        <v>—</v>
      </c>
      <c r="I649" s="76" t="str">
        <f t="shared" si="2"/>
        <v/>
      </c>
    </row>
    <row r="650" ht="18.0" customHeight="1">
      <c r="A650" s="134"/>
      <c r="B650" s="77"/>
      <c r="C650" s="77"/>
      <c r="D650" s="79"/>
      <c r="E650" s="77"/>
      <c r="F650" s="77"/>
      <c r="G650" s="118">
        <f t="shared" si="3"/>
        <v>0</v>
      </c>
      <c r="H650" s="81" t="str">
        <f t="shared" si="1"/>
        <v>—</v>
      </c>
      <c r="I650" s="81" t="str">
        <f t="shared" si="2"/>
        <v/>
      </c>
    </row>
    <row r="651" ht="18.0" customHeight="1">
      <c r="A651" s="132"/>
      <c r="B651" s="72"/>
      <c r="C651" s="72"/>
      <c r="D651" s="74"/>
      <c r="E651" s="72"/>
      <c r="F651" s="72"/>
      <c r="G651" s="114">
        <f t="shared" si="3"/>
        <v>0</v>
      </c>
      <c r="H651" s="76" t="str">
        <f t="shared" si="1"/>
        <v>—</v>
      </c>
      <c r="I651" s="76" t="str">
        <f t="shared" si="2"/>
        <v/>
      </c>
    </row>
    <row r="652" ht="18.0" customHeight="1">
      <c r="A652" s="134"/>
      <c r="B652" s="77"/>
      <c r="C652" s="77"/>
      <c r="D652" s="79"/>
      <c r="E652" s="77"/>
      <c r="F652" s="77"/>
      <c r="G652" s="118">
        <f t="shared" si="3"/>
        <v>0</v>
      </c>
      <c r="H652" s="81" t="str">
        <f t="shared" si="1"/>
        <v>—</v>
      </c>
      <c r="I652" s="81" t="str">
        <f t="shared" si="2"/>
        <v/>
      </c>
    </row>
    <row r="653" ht="18.0" customHeight="1">
      <c r="A653" s="132"/>
      <c r="B653" s="72"/>
      <c r="C653" s="72"/>
      <c r="D653" s="74"/>
      <c r="E653" s="72"/>
      <c r="F653" s="72"/>
      <c r="G653" s="114">
        <f t="shared" si="3"/>
        <v>0</v>
      </c>
      <c r="H653" s="76" t="str">
        <f t="shared" si="1"/>
        <v>—</v>
      </c>
      <c r="I653" s="76" t="str">
        <f t="shared" si="2"/>
        <v/>
      </c>
    </row>
    <row r="654" ht="18.0" customHeight="1">
      <c r="A654" s="134"/>
      <c r="B654" s="77"/>
      <c r="C654" s="77"/>
      <c r="D654" s="79"/>
      <c r="E654" s="77"/>
      <c r="F654" s="77"/>
      <c r="G654" s="118">
        <f t="shared" si="3"/>
        <v>0</v>
      </c>
      <c r="H654" s="81" t="str">
        <f t="shared" si="1"/>
        <v>—</v>
      </c>
      <c r="I654" s="81" t="str">
        <f t="shared" si="2"/>
        <v/>
      </c>
    </row>
    <row r="655" ht="18.0" customHeight="1">
      <c r="A655" s="132"/>
      <c r="B655" s="72"/>
      <c r="C655" s="72"/>
      <c r="D655" s="74"/>
      <c r="E655" s="72"/>
      <c r="F655" s="72"/>
      <c r="G655" s="114">
        <f t="shared" si="3"/>
        <v>0</v>
      </c>
      <c r="H655" s="76" t="str">
        <f t="shared" si="1"/>
        <v>—</v>
      </c>
      <c r="I655" s="76" t="str">
        <f t="shared" si="2"/>
        <v/>
      </c>
    </row>
    <row r="656" ht="18.0" customHeight="1">
      <c r="A656" s="134"/>
      <c r="B656" s="77"/>
      <c r="C656" s="77"/>
      <c r="D656" s="79"/>
      <c r="E656" s="77"/>
      <c r="F656" s="77"/>
      <c r="G656" s="118">
        <f t="shared" si="3"/>
        <v>0</v>
      </c>
      <c r="H656" s="81" t="str">
        <f t="shared" si="1"/>
        <v>—</v>
      </c>
      <c r="I656" s="81" t="str">
        <f t="shared" si="2"/>
        <v/>
      </c>
    </row>
    <row r="657" ht="18.0" customHeight="1">
      <c r="A657" s="132"/>
      <c r="B657" s="72"/>
      <c r="C657" s="72"/>
      <c r="D657" s="74"/>
      <c r="E657" s="72"/>
      <c r="F657" s="72"/>
      <c r="G657" s="114">
        <f t="shared" si="3"/>
        <v>0</v>
      </c>
      <c r="H657" s="76" t="str">
        <f t="shared" si="1"/>
        <v>—</v>
      </c>
      <c r="I657" s="76" t="str">
        <f t="shared" si="2"/>
        <v/>
      </c>
    </row>
    <row r="658" ht="18.0" customHeight="1">
      <c r="A658" s="134"/>
      <c r="B658" s="77"/>
      <c r="C658" s="77"/>
      <c r="D658" s="79"/>
      <c r="E658" s="77"/>
      <c r="F658" s="77"/>
      <c r="G658" s="118">
        <f t="shared" si="3"/>
        <v>0</v>
      </c>
      <c r="H658" s="81" t="str">
        <f t="shared" si="1"/>
        <v>—</v>
      </c>
      <c r="I658" s="81" t="str">
        <f t="shared" si="2"/>
        <v/>
      </c>
    </row>
    <row r="659" ht="18.0" customHeight="1">
      <c r="A659" s="132"/>
      <c r="B659" s="72"/>
      <c r="C659" s="72"/>
      <c r="D659" s="74"/>
      <c r="E659" s="72"/>
      <c r="F659" s="72"/>
      <c r="G659" s="114">
        <f t="shared" si="3"/>
        <v>0</v>
      </c>
      <c r="H659" s="76" t="str">
        <f t="shared" si="1"/>
        <v>—</v>
      </c>
      <c r="I659" s="76" t="str">
        <f t="shared" si="2"/>
        <v/>
      </c>
    </row>
    <row r="660" ht="18.0" customHeight="1">
      <c r="A660" s="134"/>
      <c r="B660" s="77"/>
      <c r="C660" s="77"/>
      <c r="D660" s="79"/>
      <c r="E660" s="77"/>
      <c r="F660" s="77"/>
      <c r="G660" s="118">
        <f t="shared" si="3"/>
        <v>0</v>
      </c>
      <c r="H660" s="81" t="str">
        <f t="shared" si="1"/>
        <v>—</v>
      </c>
      <c r="I660" s="81" t="str">
        <f t="shared" si="2"/>
        <v/>
      </c>
    </row>
    <row r="661" ht="18.0" customHeight="1">
      <c r="A661" s="132"/>
      <c r="B661" s="72"/>
      <c r="C661" s="72"/>
      <c r="D661" s="74"/>
      <c r="E661" s="72"/>
      <c r="F661" s="72"/>
      <c r="G661" s="114">
        <f t="shared" si="3"/>
        <v>0</v>
      </c>
      <c r="H661" s="76" t="str">
        <f t="shared" si="1"/>
        <v>—</v>
      </c>
      <c r="I661" s="76" t="str">
        <f t="shared" si="2"/>
        <v/>
      </c>
    </row>
    <row r="662" ht="18.0" customHeight="1">
      <c r="A662" s="134"/>
      <c r="B662" s="77"/>
      <c r="C662" s="77"/>
      <c r="D662" s="79"/>
      <c r="E662" s="77"/>
      <c r="F662" s="77"/>
      <c r="G662" s="118">
        <f t="shared" si="3"/>
        <v>0</v>
      </c>
      <c r="H662" s="81" t="str">
        <f t="shared" si="1"/>
        <v>—</v>
      </c>
      <c r="I662" s="81" t="str">
        <f t="shared" si="2"/>
        <v/>
      </c>
    </row>
    <row r="663" ht="18.0" customHeight="1">
      <c r="A663" s="132"/>
      <c r="B663" s="72"/>
      <c r="C663" s="72"/>
      <c r="D663" s="74"/>
      <c r="E663" s="72"/>
      <c r="F663" s="72"/>
      <c r="G663" s="114">
        <f t="shared" si="3"/>
        <v>0</v>
      </c>
      <c r="H663" s="76" t="str">
        <f t="shared" si="1"/>
        <v>—</v>
      </c>
      <c r="I663" s="76" t="str">
        <f t="shared" si="2"/>
        <v/>
      </c>
    </row>
    <row r="664" ht="18.0" customHeight="1">
      <c r="A664" s="134"/>
      <c r="B664" s="77"/>
      <c r="C664" s="77"/>
      <c r="D664" s="79"/>
      <c r="E664" s="77"/>
      <c r="F664" s="77"/>
      <c r="G664" s="118">
        <f t="shared" si="3"/>
        <v>0</v>
      </c>
      <c r="H664" s="81" t="str">
        <f t="shared" si="1"/>
        <v>—</v>
      </c>
      <c r="I664" s="81" t="str">
        <f t="shared" si="2"/>
        <v/>
      </c>
    </row>
    <row r="665" ht="18.0" customHeight="1">
      <c r="A665" s="132"/>
      <c r="B665" s="72"/>
      <c r="C665" s="72"/>
      <c r="D665" s="74"/>
      <c r="E665" s="72"/>
      <c r="F665" s="72"/>
      <c r="G665" s="114">
        <f t="shared" si="3"/>
        <v>0</v>
      </c>
      <c r="H665" s="76" t="str">
        <f t="shared" si="1"/>
        <v>—</v>
      </c>
      <c r="I665" s="76" t="str">
        <f t="shared" si="2"/>
        <v/>
      </c>
    </row>
    <row r="666" ht="18.0" customHeight="1">
      <c r="A666" s="134"/>
      <c r="B666" s="77"/>
      <c r="C666" s="77"/>
      <c r="D666" s="79"/>
      <c r="E666" s="77"/>
      <c r="F666" s="77"/>
      <c r="G666" s="118">
        <f t="shared" si="3"/>
        <v>0</v>
      </c>
      <c r="H666" s="81" t="str">
        <f t="shared" si="1"/>
        <v>—</v>
      </c>
      <c r="I666" s="81" t="str">
        <f t="shared" si="2"/>
        <v/>
      </c>
    </row>
    <row r="667" ht="18.0" customHeight="1">
      <c r="A667" s="132"/>
      <c r="B667" s="72"/>
      <c r="C667" s="72"/>
      <c r="D667" s="74"/>
      <c r="E667" s="72"/>
      <c r="F667" s="72"/>
      <c r="G667" s="114">
        <f t="shared" si="3"/>
        <v>0</v>
      </c>
      <c r="H667" s="76" t="str">
        <f t="shared" si="1"/>
        <v>—</v>
      </c>
      <c r="I667" s="76" t="str">
        <f t="shared" si="2"/>
        <v/>
      </c>
    </row>
    <row r="668" ht="18.0" customHeight="1">
      <c r="A668" s="134"/>
      <c r="B668" s="77"/>
      <c r="C668" s="77"/>
      <c r="D668" s="79"/>
      <c r="E668" s="77"/>
      <c r="F668" s="77"/>
      <c r="G668" s="118">
        <f t="shared" si="3"/>
        <v>0</v>
      </c>
      <c r="H668" s="81" t="str">
        <f t="shared" si="1"/>
        <v>—</v>
      </c>
      <c r="I668" s="81" t="str">
        <f t="shared" si="2"/>
        <v/>
      </c>
    </row>
    <row r="669" ht="18.0" customHeight="1">
      <c r="A669" s="132"/>
      <c r="B669" s="72"/>
      <c r="C669" s="72"/>
      <c r="D669" s="74"/>
      <c r="E669" s="72"/>
      <c r="F669" s="72"/>
      <c r="G669" s="114">
        <f t="shared" si="3"/>
        <v>0</v>
      </c>
      <c r="H669" s="76" t="str">
        <f t="shared" si="1"/>
        <v>—</v>
      </c>
      <c r="I669" s="76" t="str">
        <f t="shared" si="2"/>
        <v/>
      </c>
    </row>
    <row r="670" ht="18.0" customHeight="1">
      <c r="A670" s="134"/>
      <c r="B670" s="77"/>
      <c r="C670" s="77"/>
      <c r="D670" s="79"/>
      <c r="E670" s="77"/>
      <c r="F670" s="77"/>
      <c r="G670" s="118">
        <f t="shared" si="3"/>
        <v>0</v>
      </c>
      <c r="H670" s="81" t="str">
        <f t="shared" si="1"/>
        <v>—</v>
      </c>
      <c r="I670" s="81" t="str">
        <f t="shared" si="2"/>
        <v/>
      </c>
    </row>
    <row r="671" ht="18.0" customHeight="1">
      <c r="A671" s="132"/>
      <c r="B671" s="72"/>
      <c r="C671" s="72"/>
      <c r="D671" s="74"/>
      <c r="E671" s="72"/>
      <c r="F671" s="72"/>
      <c r="G671" s="114">
        <f t="shared" si="3"/>
        <v>0</v>
      </c>
      <c r="H671" s="76" t="str">
        <f t="shared" si="1"/>
        <v>—</v>
      </c>
      <c r="I671" s="76" t="str">
        <f t="shared" si="2"/>
        <v/>
      </c>
    </row>
    <row r="672" ht="18.0" customHeight="1">
      <c r="A672" s="134"/>
      <c r="B672" s="77"/>
      <c r="C672" s="77"/>
      <c r="D672" s="79"/>
      <c r="E672" s="77"/>
      <c r="F672" s="77"/>
      <c r="G672" s="118">
        <f t="shared" si="3"/>
        <v>0</v>
      </c>
      <c r="H672" s="81" t="str">
        <f t="shared" si="1"/>
        <v>—</v>
      </c>
      <c r="I672" s="81" t="str">
        <f t="shared" si="2"/>
        <v/>
      </c>
    </row>
    <row r="673" ht="18.0" customHeight="1">
      <c r="A673" s="132"/>
      <c r="B673" s="72"/>
      <c r="C673" s="72"/>
      <c r="D673" s="74"/>
      <c r="E673" s="72"/>
      <c r="F673" s="72"/>
      <c r="G673" s="114">
        <f t="shared" si="3"/>
        <v>0</v>
      </c>
      <c r="H673" s="76" t="str">
        <f t="shared" si="1"/>
        <v>—</v>
      </c>
      <c r="I673" s="76" t="str">
        <f t="shared" si="2"/>
        <v/>
      </c>
    </row>
    <row r="674" ht="18.0" customHeight="1">
      <c r="A674" s="134"/>
      <c r="B674" s="77"/>
      <c r="C674" s="77"/>
      <c r="D674" s="79"/>
      <c r="E674" s="77"/>
      <c r="F674" s="77"/>
      <c r="G674" s="118">
        <f t="shared" si="3"/>
        <v>0</v>
      </c>
      <c r="H674" s="81" t="str">
        <f t="shared" si="1"/>
        <v>—</v>
      </c>
      <c r="I674" s="81" t="str">
        <f t="shared" si="2"/>
        <v/>
      </c>
    </row>
    <row r="675" ht="18.0" customHeight="1">
      <c r="A675" s="132"/>
      <c r="B675" s="72"/>
      <c r="C675" s="72"/>
      <c r="D675" s="74"/>
      <c r="E675" s="72"/>
      <c r="F675" s="72"/>
      <c r="G675" s="114">
        <f t="shared" si="3"/>
        <v>0</v>
      </c>
      <c r="H675" s="76" t="str">
        <f t="shared" si="1"/>
        <v>—</v>
      </c>
      <c r="I675" s="76" t="str">
        <f t="shared" si="2"/>
        <v/>
      </c>
    </row>
    <row r="676" ht="18.0" customHeight="1">
      <c r="A676" s="134"/>
      <c r="B676" s="77"/>
      <c r="C676" s="77"/>
      <c r="D676" s="79"/>
      <c r="E676" s="77"/>
      <c r="F676" s="77"/>
      <c r="G676" s="118">
        <f t="shared" si="3"/>
        <v>0</v>
      </c>
      <c r="H676" s="81" t="str">
        <f t="shared" si="1"/>
        <v>—</v>
      </c>
      <c r="I676" s="81" t="str">
        <f t="shared" si="2"/>
        <v/>
      </c>
    </row>
    <row r="677" ht="18.0" customHeight="1">
      <c r="A677" s="132"/>
      <c r="B677" s="72"/>
      <c r="C677" s="72"/>
      <c r="D677" s="74"/>
      <c r="E677" s="72"/>
      <c r="F677" s="72"/>
      <c r="G677" s="114">
        <f t="shared" si="3"/>
        <v>0</v>
      </c>
      <c r="H677" s="76" t="str">
        <f t="shared" si="1"/>
        <v>—</v>
      </c>
      <c r="I677" s="76" t="str">
        <f t="shared" si="2"/>
        <v/>
      </c>
    </row>
    <row r="678" ht="18.0" customHeight="1">
      <c r="A678" s="134"/>
      <c r="B678" s="77"/>
      <c r="C678" s="77"/>
      <c r="D678" s="79"/>
      <c r="E678" s="77"/>
      <c r="F678" s="77"/>
      <c r="G678" s="118">
        <f t="shared" si="3"/>
        <v>0</v>
      </c>
      <c r="H678" s="81" t="str">
        <f t="shared" si="1"/>
        <v>—</v>
      </c>
      <c r="I678" s="81" t="str">
        <f t="shared" si="2"/>
        <v/>
      </c>
    </row>
    <row r="679" ht="18.0" customHeight="1">
      <c r="A679" s="132"/>
      <c r="B679" s="72"/>
      <c r="C679" s="72"/>
      <c r="D679" s="74"/>
      <c r="E679" s="72"/>
      <c r="F679" s="72"/>
      <c r="G679" s="114">
        <f t="shared" si="3"/>
        <v>0</v>
      </c>
      <c r="H679" s="76" t="str">
        <f t="shared" si="1"/>
        <v>—</v>
      </c>
      <c r="I679" s="76" t="str">
        <f t="shared" si="2"/>
        <v/>
      </c>
    </row>
    <row r="680" ht="18.0" customHeight="1">
      <c r="A680" s="134"/>
      <c r="B680" s="77"/>
      <c r="C680" s="77"/>
      <c r="D680" s="79"/>
      <c r="E680" s="77"/>
      <c r="F680" s="77"/>
      <c r="G680" s="118">
        <f t="shared" si="3"/>
        <v>0</v>
      </c>
      <c r="H680" s="81" t="str">
        <f t="shared" si="1"/>
        <v>—</v>
      </c>
      <c r="I680" s="81" t="str">
        <f t="shared" si="2"/>
        <v/>
      </c>
    </row>
    <row r="681" ht="18.0" customHeight="1">
      <c r="A681" s="132"/>
      <c r="B681" s="72"/>
      <c r="C681" s="72"/>
      <c r="D681" s="74"/>
      <c r="E681" s="72"/>
      <c r="F681" s="72"/>
      <c r="G681" s="114">
        <f t="shared" si="3"/>
        <v>0</v>
      </c>
      <c r="H681" s="76" t="str">
        <f t="shared" si="1"/>
        <v>—</v>
      </c>
      <c r="I681" s="76" t="str">
        <f t="shared" si="2"/>
        <v/>
      </c>
    </row>
    <row r="682" ht="18.0" customHeight="1">
      <c r="A682" s="134"/>
      <c r="B682" s="77"/>
      <c r="C682" s="77"/>
      <c r="D682" s="79"/>
      <c r="E682" s="77"/>
      <c r="F682" s="77"/>
      <c r="G682" s="118">
        <f t="shared" si="3"/>
        <v>0</v>
      </c>
      <c r="H682" s="81" t="str">
        <f t="shared" si="1"/>
        <v>—</v>
      </c>
      <c r="I682" s="81" t="str">
        <f t="shared" si="2"/>
        <v/>
      </c>
    </row>
    <row r="683" ht="18.0" customHeight="1">
      <c r="A683" s="132"/>
      <c r="B683" s="72"/>
      <c r="C683" s="72"/>
      <c r="D683" s="74"/>
      <c r="E683" s="72"/>
      <c r="F683" s="72"/>
      <c r="G683" s="114">
        <f t="shared" si="3"/>
        <v>0</v>
      </c>
      <c r="H683" s="76" t="str">
        <f t="shared" si="1"/>
        <v>—</v>
      </c>
      <c r="I683" s="76" t="str">
        <f t="shared" si="2"/>
        <v/>
      </c>
    </row>
    <row r="684" ht="18.0" customHeight="1">
      <c r="A684" s="134"/>
      <c r="B684" s="77"/>
      <c r="C684" s="77"/>
      <c r="D684" s="79"/>
      <c r="E684" s="77"/>
      <c r="F684" s="77"/>
      <c r="G684" s="118">
        <f t="shared" si="3"/>
        <v>0</v>
      </c>
      <c r="H684" s="81" t="str">
        <f t="shared" si="1"/>
        <v>—</v>
      </c>
      <c r="I684" s="81" t="str">
        <f t="shared" si="2"/>
        <v/>
      </c>
    </row>
    <row r="685" ht="18.0" customHeight="1">
      <c r="A685" s="132"/>
      <c r="B685" s="72"/>
      <c r="C685" s="72"/>
      <c r="D685" s="74"/>
      <c r="E685" s="72"/>
      <c r="F685" s="72"/>
      <c r="G685" s="114">
        <f t="shared" si="3"/>
        <v>0</v>
      </c>
      <c r="H685" s="76" t="str">
        <f t="shared" si="1"/>
        <v>—</v>
      </c>
      <c r="I685" s="76" t="str">
        <f t="shared" si="2"/>
        <v/>
      </c>
    </row>
    <row r="686" ht="18.0" customHeight="1">
      <c r="A686" s="134"/>
      <c r="B686" s="77"/>
      <c r="C686" s="77"/>
      <c r="D686" s="79"/>
      <c r="E686" s="77"/>
      <c r="F686" s="77"/>
      <c r="G686" s="118">
        <f t="shared" si="3"/>
        <v>0</v>
      </c>
      <c r="H686" s="81" t="str">
        <f t="shared" si="1"/>
        <v>—</v>
      </c>
      <c r="I686" s="81" t="str">
        <f t="shared" si="2"/>
        <v/>
      </c>
    </row>
    <row r="687" ht="18.0" customHeight="1">
      <c r="A687" s="132"/>
      <c r="B687" s="72"/>
      <c r="C687" s="72"/>
      <c r="D687" s="74"/>
      <c r="E687" s="72"/>
      <c r="F687" s="72"/>
      <c r="G687" s="114">
        <f t="shared" si="3"/>
        <v>0</v>
      </c>
      <c r="H687" s="76" t="str">
        <f t="shared" si="1"/>
        <v>—</v>
      </c>
      <c r="I687" s="76" t="str">
        <f t="shared" si="2"/>
        <v/>
      </c>
    </row>
    <row r="688" ht="18.0" customHeight="1">
      <c r="A688" s="134"/>
      <c r="B688" s="77"/>
      <c r="C688" s="77"/>
      <c r="D688" s="79"/>
      <c r="E688" s="77"/>
      <c r="F688" s="77"/>
      <c r="G688" s="118">
        <f t="shared" si="3"/>
        <v>0</v>
      </c>
      <c r="H688" s="81" t="str">
        <f t="shared" si="1"/>
        <v>—</v>
      </c>
      <c r="I688" s="81" t="str">
        <f t="shared" si="2"/>
        <v/>
      </c>
    </row>
    <row r="689" ht="18.0" customHeight="1">
      <c r="A689" s="132"/>
      <c r="B689" s="72"/>
      <c r="C689" s="72"/>
      <c r="D689" s="74"/>
      <c r="E689" s="72"/>
      <c r="F689" s="72"/>
      <c r="G689" s="114">
        <f t="shared" si="3"/>
        <v>0</v>
      </c>
      <c r="H689" s="76" t="str">
        <f t="shared" si="1"/>
        <v>—</v>
      </c>
      <c r="I689" s="76" t="str">
        <f t="shared" si="2"/>
        <v/>
      </c>
    </row>
    <row r="690" ht="18.0" customHeight="1">
      <c r="A690" s="134"/>
      <c r="B690" s="77"/>
      <c r="C690" s="77"/>
      <c r="D690" s="79"/>
      <c r="E690" s="77"/>
      <c r="F690" s="77"/>
      <c r="G690" s="118">
        <f t="shared" si="3"/>
        <v>0</v>
      </c>
      <c r="H690" s="81" t="str">
        <f t="shared" si="1"/>
        <v>—</v>
      </c>
      <c r="I690" s="81" t="str">
        <f t="shared" si="2"/>
        <v/>
      </c>
    </row>
    <row r="691" ht="18.0" customHeight="1">
      <c r="A691" s="132"/>
      <c r="B691" s="72"/>
      <c r="C691" s="72"/>
      <c r="D691" s="74"/>
      <c r="E691" s="72"/>
      <c r="F691" s="72"/>
      <c r="G691" s="114">
        <f t="shared" si="3"/>
        <v>0</v>
      </c>
      <c r="H691" s="76" t="str">
        <f t="shared" si="1"/>
        <v>—</v>
      </c>
      <c r="I691" s="76" t="str">
        <f t="shared" si="2"/>
        <v/>
      </c>
    </row>
    <row r="692" ht="18.0" customHeight="1">
      <c r="A692" s="134"/>
      <c r="B692" s="77"/>
      <c r="C692" s="77"/>
      <c r="D692" s="79"/>
      <c r="E692" s="77"/>
      <c r="F692" s="77"/>
      <c r="G692" s="118">
        <f t="shared" si="3"/>
        <v>0</v>
      </c>
      <c r="H692" s="81" t="str">
        <f t="shared" si="1"/>
        <v>—</v>
      </c>
      <c r="I692" s="81" t="str">
        <f t="shared" si="2"/>
        <v/>
      </c>
    </row>
    <row r="693" ht="18.0" customHeight="1">
      <c r="A693" s="132"/>
      <c r="B693" s="72"/>
      <c r="C693" s="72"/>
      <c r="D693" s="74"/>
      <c r="E693" s="72"/>
      <c r="F693" s="72"/>
      <c r="G693" s="114">
        <f t="shared" si="3"/>
        <v>0</v>
      </c>
      <c r="H693" s="76" t="str">
        <f t="shared" si="1"/>
        <v>—</v>
      </c>
      <c r="I693" s="76" t="str">
        <f t="shared" si="2"/>
        <v/>
      </c>
    </row>
    <row r="694" ht="18.0" customHeight="1">
      <c r="A694" s="134"/>
      <c r="B694" s="77"/>
      <c r="C694" s="77"/>
      <c r="D694" s="79"/>
      <c r="E694" s="77"/>
      <c r="F694" s="77"/>
      <c r="G694" s="118">
        <f t="shared" si="3"/>
        <v>0</v>
      </c>
      <c r="H694" s="81" t="str">
        <f t="shared" si="1"/>
        <v>—</v>
      </c>
      <c r="I694" s="81" t="str">
        <f t="shared" si="2"/>
        <v/>
      </c>
    </row>
    <row r="695" ht="18.0" customHeight="1">
      <c r="A695" s="132"/>
      <c r="B695" s="72"/>
      <c r="C695" s="72"/>
      <c r="D695" s="74"/>
      <c r="E695" s="72"/>
      <c r="F695" s="72"/>
      <c r="G695" s="114">
        <f t="shared" si="3"/>
        <v>0</v>
      </c>
      <c r="H695" s="76" t="str">
        <f t="shared" si="1"/>
        <v>—</v>
      </c>
      <c r="I695" s="76" t="str">
        <f t="shared" si="2"/>
        <v/>
      </c>
    </row>
    <row r="696" ht="18.0" customHeight="1">
      <c r="A696" s="134"/>
      <c r="B696" s="77"/>
      <c r="C696" s="77"/>
      <c r="D696" s="79"/>
      <c r="E696" s="77"/>
      <c r="F696" s="77"/>
      <c r="G696" s="118">
        <f t="shared" si="3"/>
        <v>0</v>
      </c>
      <c r="H696" s="81" t="str">
        <f t="shared" si="1"/>
        <v>—</v>
      </c>
      <c r="I696" s="81" t="str">
        <f t="shared" si="2"/>
        <v/>
      </c>
    </row>
    <row r="697" ht="18.0" customHeight="1">
      <c r="A697" s="132"/>
      <c r="B697" s="72"/>
      <c r="C697" s="72"/>
      <c r="D697" s="74"/>
      <c r="E697" s="72"/>
      <c r="F697" s="72"/>
      <c r="G697" s="114">
        <f t="shared" si="3"/>
        <v>0</v>
      </c>
      <c r="H697" s="76" t="str">
        <f t="shared" si="1"/>
        <v>—</v>
      </c>
      <c r="I697" s="76" t="str">
        <f t="shared" si="2"/>
        <v/>
      </c>
    </row>
    <row r="698" ht="18.0" customHeight="1">
      <c r="A698" s="134"/>
      <c r="B698" s="77"/>
      <c r="C698" s="77"/>
      <c r="D698" s="79"/>
      <c r="E698" s="77"/>
      <c r="F698" s="77"/>
      <c r="G698" s="118">
        <f t="shared" si="3"/>
        <v>0</v>
      </c>
      <c r="H698" s="81" t="str">
        <f t="shared" si="1"/>
        <v>—</v>
      </c>
      <c r="I698" s="81" t="str">
        <f t="shared" si="2"/>
        <v/>
      </c>
    </row>
    <row r="699" ht="18.0" customHeight="1">
      <c r="A699" s="132"/>
      <c r="B699" s="72"/>
      <c r="C699" s="72"/>
      <c r="D699" s="74"/>
      <c r="E699" s="72"/>
      <c r="F699" s="72"/>
      <c r="G699" s="114">
        <f t="shared" si="3"/>
        <v>0</v>
      </c>
      <c r="H699" s="76" t="str">
        <f t="shared" si="1"/>
        <v>—</v>
      </c>
      <c r="I699" s="76" t="str">
        <f t="shared" si="2"/>
        <v/>
      </c>
    </row>
    <row r="700" ht="18.0" customHeight="1">
      <c r="A700" s="134"/>
      <c r="B700" s="77"/>
      <c r="C700" s="77"/>
      <c r="D700" s="79"/>
      <c r="E700" s="77"/>
      <c r="F700" s="77"/>
      <c r="G700" s="118">
        <f t="shared" si="3"/>
        <v>0</v>
      </c>
      <c r="H700" s="81" t="str">
        <f t="shared" si="1"/>
        <v>—</v>
      </c>
      <c r="I700" s="81" t="str">
        <f t="shared" si="2"/>
        <v/>
      </c>
    </row>
    <row r="701" ht="18.0" customHeight="1">
      <c r="A701" s="132"/>
      <c r="B701" s="72"/>
      <c r="C701" s="72"/>
      <c r="D701" s="74"/>
      <c r="E701" s="72"/>
      <c r="F701" s="72"/>
      <c r="G701" s="114">
        <f t="shared" si="3"/>
        <v>0</v>
      </c>
      <c r="H701" s="76" t="str">
        <f t="shared" si="1"/>
        <v>—</v>
      </c>
      <c r="I701" s="76" t="str">
        <f t="shared" si="2"/>
        <v/>
      </c>
    </row>
    <row r="702" ht="18.0" customHeight="1">
      <c r="A702" s="134"/>
      <c r="B702" s="77"/>
      <c r="C702" s="77"/>
      <c r="D702" s="79"/>
      <c r="E702" s="77"/>
      <c r="F702" s="77"/>
      <c r="G702" s="118">
        <f t="shared" si="3"/>
        <v>0</v>
      </c>
      <c r="H702" s="81" t="str">
        <f t="shared" si="1"/>
        <v>—</v>
      </c>
      <c r="I702" s="81" t="str">
        <f t="shared" si="2"/>
        <v/>
      </c>
    </row>
    <row r="703" ht="18.0" customHeight="1">
      <c r="A703" s="132"/>
      <c r="B703" s="72"/>
      <c r="C703" s="72"/>
      <c r="D703" s="74"/>
      <c r="E703" s="72"/>
      <c r="F703" s="72"/>
      <c r="G703" s="114">
        <f t="shared" si="3"/>
        <v>0</v>
      </c>
      <c r="H703" s="76" t="str">
        <f t="shared" si="1"/>
        <v>—</v>
      </c>
      <c r="I703" s="76" t="str">
        <f t="shared" si="2"/>
        <v/>
      </c>
    </row>
    <row r="704" ht="18.0" customHeight="1">
      <c r="A704" s="134"/>
      <c r="B704" s="77"/>
      <c r="C704" s="77"/>
      <c r="D704" s="79"/>
      <c r="E704" s="77"/>
      <c r="F704" s="77"/>
      <c r="G704" s="118">
        <f t="shared" si="3"/>
        <v>0</v>
      </c>
      <c r="H704" s="81" t="str">
        <f t="shared" si="1"/>
        <v>—</v>
      </c>
      <c r="I704" s="81" t="str">
        <f t="shared" si="2"/>
        <v/>
      </c>
    </row>
    <row r="705" ht="18.0" customHeight="1">
      <c r="A705" s="132"/>
      <c r="B705" s="72"/>
      <c r="C705" s="72"/>
      <c r="D705" s="74"/>
      <c r="E705" s="72"/>
      <c r="F705" s="72"/>
      <c r="G705" s="114">
        <f t="shared" si="3"/>
        <v>0</v>
      </c>
      <c r="H705" s="76" t="str">
        <f t="shared" si="1"/>
        <v>—</v>
      </c>
      <c r="I705" s="76" t="str">
        <f t="shared" si="2"/>
        <v/>
      </c>
    </row>
    <row r="706" ht="18.0" customHeight="1">
      <c r="A706" s="134"/>
      <c r="B706" s="77"/>
      <c r="C706" s="77"/>
      <c r="D706" s="79"/>
      <c r="E706" s="77"/>
      <c r="F706" s="77"/>
      <c r="G706" s="118">
        <f t="shared" si="3"/>
        <v>0</v>
      </c>
      <c r="H706" s="81" t="str">
        <f t="shared" si="1"/>
        <v>—</v>
      </c>
      <c r="I706" s="81" t="str">
        <f t="shared" si="2"/>
        <v/>
      </c>
    </row>
    <row r="707" ht="18.0" customHeight="1">
      <c r="A707" s="132"/>
      <c r="B707" s="72"/>
      <c r="C707" s="72"/>
      <c r="D707" s="74"/>
      <c r="E707" s="72"/>
      <c r="F707" s="72"/>
      <c r="G707" s="114">
        <f t="shared" si="3"/>
        <v>0</v>
      </c>
      <c r="H707" s="76" t="str">
        <f t="shared" si="1"/>
        <v>—</v>
      </c>
      <c r="I707" s="76" t="str">
        <f t="shared" si="2"/>
        <v/>
      </c>
    </row>
    <row r="708" ht="18.0" customHeight="1">
      <c r="A708" s="134"/>
      <c r="B708" s="77"/>
      <c r="C708" s="77"/>
      <c r="D708" s="79"/>
      <c r="E708" s="77"/>
      <c r="F708" s="77"/>
      <c r="G708" s="118">
        <f t="shared" si="3"/>
        <v>0</v>
      </c>
      <c r="H708" s="81" t="str">
        <f t="shared" si="1"/>
        <v>—</v>
      </c>
      <c r="I708" s="81" t="str">
        <f t="shared" si="2"/>
        <v/>
      </c>
    </row>
    <row r="709" ht="18.0" customHeight="1">
      <c r="A709" s="132"/>
      <c r="B709" s="72"/>
      <c r="C709" s="72"/>
      <c r="D709" s="74"/>
      <c r="E709" s="72"/>
      <c r="F709" s="72"/>
      <c r="G709" s="114">
        <f t="shared" si="3"/>
        <v>0</v>
      </c>
      <c r="H709" s="76" t="str">
        <f t="shared" si="1"/>
        <v>—</v>
      </c>
      <c r="I709" s="76" t="str">
        <f t="shared" si="2"/>
        <v/>
      </c>
    </row>
    <row r="710" ht="18.0" customHeight="1">
      <c r="A710" s="134"/>
      <c r="B710" s="77"/>
      <c r="C710" s="77"/>
      <c r="D710" s="79"/>
      <c r="E710" s="77"/>
      <c r="F710" s="77"/>
      <c r="G710" s="118">
        <f t="shared" si="3"/>
        <v>0</v>
      </c>
      <c r="H710" s="81" t="str">
        <f t="shared" si="1"/>
        <v>—</v>
      </c>
      <c r="I710" s="81" t="str">
        <f t="shared" si="2"/>
        <v/>
      </c>
    </row>
    <row r="711" ht="18.0" customHeight="1">
      <c r="A711" s="132"/>
      <c r="B711" s="72"/>
      <c r="C711" s="72"/>
      <c r="D711" s="74"/>
      <c r="E711" s="72"/>
      <c r="F711" s="72"/>
      <c r="G711" s="114">
        <f t="shared" si="3"/>
        <v>0</v>
      </c>
      <c r="H711" s="76" t="str">
        <f t="shared" si="1"/>
        <v>—</v>
      </c>
      <c r="I711" s="76" t="str">
        <f t="shared" si="2"/>
        <v/>
      </c>
    </row>
    <row r="712" ht="18.0" customHeight="1">
      <c r="A712" s="134"/>
      <c r="B712" s="77"/>
      <c r="C712" s="77"/>
      <c r="D712" s="79"/>
      <c r="E712" s="77"/>
      <c r="F712" s="77"/>
      <c r="G712" s="118">
        <f t="shared" si="3"/>
        <v>0</v>
      </c>
      <c r="H712" s="81" t="str">
        <f t="shared" si="1"/>
        <v>—</v>
      </c>
      <c r="I712" s="81" t="str">
        <f t="shared" si="2"/>
        <v/>
      </c>
    </row>
    <row r="713" ht="18.0" customHeight="1">
      <c r="A713" s="132"/>
      <c r="B713" s="72"/>
      <c r="C713" s="72"/>
      <c r="D713" s="74"/>
      <c r="E713" s="72"/>
      <c r="F713" s="72"/>
      <c r="G713" s="114">
        <f t="shared" si="3"/>
        <v>0</v>
      </c>
      <c r="H713" s="76" t="str">
        <f t="shared" si="1"/>
        <v>—</v>
      </c>
      <c r="I713" s="76" t="str">
        <f t="shared" si="2"/>
        <v/>
      </c>
    </row>
    <row r="714" ht="18.0" customHeight="1">
      <c r="A714" s="134"/>
      <c r="B714" s="77"/>
      <c r="C714" s="77"/>
      <c r="D714" s="79"/>
      <c r="E714" s="77"/>
      <c r="F714" s="77"/>
      <c r="G714" s="118">
        <f t="shared" si="3"/>
        <v>0</v>
      </c>
      <c r="H714" s="81" t="str">
        <f t="shared" si="1"/>
        <v>—</v>
      </c>
      <c r="I714" s="81" t="str">
        <f t="shared" si="2"/>
        <v/>
      </c>
    </row>
    <row r="715" ht="18.0" customHeight="1">
      <c r="A715" s="132"/>
      <c r="B715" s="72"/>
      <c r="C715" s="72"/>
      <c r="D715" s="74"/>
      <c r="E715" s="72"/>
      <c r="F715" s="72"/>
      <c r="G715" s="114">
        <f t="shared" si="3"/>
        <v>0</v>
      </c>
      <c r="H715" s="76" t="str">
        <f t="shared" si="1"/>
        <v>—</v>
      </c>
      <c r="I715" s="76" t="str">
        <f t="shared" si="2"/>
        <v/>
      </c>
    </row>
    <row r="716" ht="18.0" customHeight="1">
      <c r="A716" s="134"/>
      <c r="B716" s="77"/>
      <c r="C716" s="77"/>
      <c r="D716" s="79"/>
      <c r="E716" s="77"/>
      <c r="F716" s="77"/>
      <c r="G716" s="118">
        <f t="shared" si="3"/>
        <v>0</v>
      </c>
      <c r="H716" s="81" t="str">
        <f t="shared" si="1"/>
        <v>—</v>
      </c>
      <c r="I716" s="81" t="str">
        <f t="shared" si="2"/>
        <v/>
      </c>
    </row>
    <row r="717" ht="18.0" customHeight="1">
      <c r="A717" s="132"/>
      <c r="B717" s="72"/>
      <c r="C717" s="72"/>
      <c r="D717" s="74"/>
      <c r="E717" s="72"/>
      <c r="F717" s="72"/>
      <c r="G717" s="114">
        <f t="shared" si="3"/>
        <v>0</v>
      </c>
      <c r="H717" s="76" t="str">
        <f t="shared" si="1"/>
        <v>—</v>
      </c>
      <c r="I717" s="76" t="str">
        <f t="shared" si="2"/>
        <v/>
      </c>
    </row>
    <row r="718" ht="18.0" customHeight="1">
      <c r="A718" s="134"/>
      <c r="B718" s="77"/>
      <c r="C718" s="77"/>
      <c r="D718" s="79"/>
      <c r="E718" s="77"/>
      <c r="F718" s="77"/>
      <c r="G718" s="118">
        <f t="shared" si="3"/>
        <v>0</v>
      </c>
      <c r="H718" s="81" t="str">
        <f t="shared" si="1"/>
        <v>—</v>
      </c>
      <c r="I718" s="81" t="str">
        <f t="shared" si="2"/>
        <v/>
      </c>
    </row>
    <row r="719" ht="18.0" customHeight="1">
      <c r="A719" s="132"/>
      <c r="B719" s="72"/>
      <c r="C719" s="72"/>
      <c r="D719" s="74"/>
      <c r="E719" s="72"/>
      <c r="F719" s="72"/>
      <c r="G719" s="114">
        <f t="shared" si="3"/>
        <v>0</v>
      </c>
      <c r="H719" s="76" t="str">
        <f t="shared" si="1"/>
        <v>—</v>
      </c>
      <c r="I719" s="76" t="str">
        <f t="shared" si="2"/>
        <v/>
      </c>
    </row>
    <row r="720" ht="18.0" customHeight="1">
      <c r="A720" s="134"/>
      <c r="B720" s="77"/>
      <c r="C720" s="77"/>
      <c r="D720" s="79"/>
      <c r="E720" s="77"/>
      <c r="F720" s="77"/>
      <c r="G720" s="118">
        <f t="shared" si="3"/>
        <v>0</v>
      </c>
      <c r="H720" s="81" t="str">
        <f t="shared" si="1"/>
        <v>—</v>
      </c>
      <c r="I720" s="81" t="str">
        <f t="shared" si="2"/>
        <v/>
      </c>
    </row>
    <row r="721" ht="18.0" customHeight="1">
      <c r="A721" s="132"/>
      <c r="B721" s="72"/>
      <c r="C721" s="72"/>
      <c r="D721" s="74"/>
      <c r="E721" s="72"/>
      <c r="F721" s="72"/>
      <c r="G721" s="114">
        <f t="shared" si="3"/>
        <v>0</v>
      </c>
      <c r="H721" s="76" t="str">
        <f t="shared" si="1"/>
        <v>—</v>
      </c>
      <c r="I721" s="76" t="str">
        <f t="shared" si="2"/>
        <v/>
      </c>
    </row>
    <row r="722" ht="18.0" customHeight="1">
      <c r="A722" s="134"/>
      <c r="B722" s="77"/>
      <c r="C722" s="77"/>
      <c r="D722" s="79"/>
      <c r="E722" s="77"/>
      <c r="F722" s="77"/>
      <c r="G722" s="118">
        <f t="shared" si="3"/>
        <v>0</v>
      </c>
      <c r="H722" s="81" t="str">
        <f t="shared" si="1"/>
        <v>—</v>
      </c>
      <c r="I722" s="81" t="str">
        <f t="shared" si="2"/>
        <v/>
      </c>
    </row>
    <row r="723" ht="18.0" customHeight="1">
      <c r="A723" s="132"/>
      <c r="B723" s="72"/>
      <c r="C723" s="72"/>
      <c r="D723" s="74"/>
      <c r="E723" s="72"/>
      <c r="F723" s="72"/>
      <c r="G723" s="114">
        <f t="shared" si="3"/>
        <v>0</v>
      </c>
      <c r="H723" s="76" t="str">
        <f t="shared" si="1"/>
        <v>—</v>
      </c>
      <c r="I723" s="76" t="str">
        <f t="shared" si="2"/>
        <v/>
      </c>
    </row>
    <row r="724" ht="18.0" customHeight="1">
      <c r="A724" s="134"/>
      <c r="B724" s="77"/>
      <c r="C724" s="77"/>
      <c r="D724" s="79"/>
      <c r="E724" s="77"/>
      <c r="F724" s="77"/>
      <c r="G724" s="118">
        <f t="shared" si="3"/>
        <v>0</v>
      </c>
      <c r="H724" s="81" t="str">
        <f t="shared" si="1"/>
        <v>—</v>
      </c>
      <c r="I724" s="81" t="str">
        <f t="shared" si="2"/>
        <v/>
      </c>
    </row>
    <row r="725" ht="18.0" customHeight="1">
      <c r="A725" s="132"/>
      <c r="B725" s="72"/>
      <c r="C725" s="72"/>
      <c r="D725" s="74"/>
      <c r="E725" s="72"/>
      <c r="F725" s="72"/>
      <c r="G725" s="114">
        <f t="shared" si="3"/>
        <v>0</v>
      </c>
      <c r="H725" s="76" t="str">
        <f t="shared" si="1"/>
        <v>—</v>
      </c>
      <c r="I725" s="76" t="str">
        <f t="shared" si="2"/>
        <v/>
      </c>
    </row>
    <row r="726" ht="18.0" customHeight="1">
      <c r="A726" s="134"/>
      <c r="B726" s="77"/>
      <c r="C726" s="77"/>
      <c r="D726" s="79"/>
      <c r="E726" s="77"/>
      <c r="F726" s="77"/>
      <c r="G726" s="118">
        <f t="shared" si="3"/>
        <v>0</v>
      </c>
      <c r="H726" s="81" t="str">
        <f t="shared" si="1"/>
        <v>—</v>
      </c>
      <c r="I726" s="81" t="str">
        <f t="shared" si="2"/>
        <v/>
      </c>
    </row>
    <row r="727" ht="18.0" customHeight="1">
      <c r="A727" s="132"/>
      <c r="B727" s="72"/>
      <c r="C727" s="72"/>
      <c r="D727" s="74"/>
      <c r="E727" s="72"/>
      <c r="F727" s="72"/>
      <c r="G727" s="114">
        <f t="shared" si="3"/>
        <v>0</v>
      </c>
      <c r="H727" s="76" t="str">
        <f t="shared" si="1"/>
        <v>—</v>
      </c>
      <c r="I727" s="76" t="str">
        <f t="shared" si="2"/>
        <v/>
      </c>
    </row>
    <row r="728" ht="18.0" customHeight="1">
      <c r="A728" s="134"/>
      <c r="B728" s="77"/>
      <c r="C728" s="77"/>
      <c r="D728" s="79"/>
      <c r="E728" s="77"/>
      <c r="F728" s="77"/>
      <c r="G728" s="118">
        <f t="shared" si="3"/>
        <v>0</v>
      </c>
      <c r="H728" s="81" t="str">
        <f t="shared" si="1"/>
        <v>—</v>
      </c>
      <c r="I728" s="81" t="str">
        <f t="shared" si="2"/>
        <v/>
      </c>
    </row>
    <row r="729" ht="18.0" customHeight="1">
      <c r="A729" s="132"/>
      <c r="B729" s="72"/>
      <c r="C729" s="72"/>
      <c r="D729" s="74"/>
      <c r="E729" s="72"/>
      <c r="F729" s="72"/>
      <c r="G729" s="114">
        <f t="shared" si="3"/>
        <v>0</v>
      </c>
      <c r="H729" s="76" t="str">
        <f t="shared" si="1"/>
        <v>—</v>
      </c>
      <c r="I729" s="76" t="str">
        <f t="shared" si="2"/>
        <v/>
      </c>
    </row>
    <row r="730" ht="18.0" customHeight="1">
      <c r="A730" s="134"/>
      <c r="B730" s="77"/>
      <c r="C730" s="77"/>
      <c r="D730" s="79"/>
      <c r="E730" s="77"/>
      <c r="F730" s="77"/>
      <c r="G730" s="118">
        <f t="shared" si="3"/>
        <v>0</v>
      </c>
      <c r="H730" s="81" t="str">
        <f t="shared" si="1"/>
        <v>—</v>
      </c>
      <c r="I730" s="81" t="str">
        <f t="shared" si="2"/>
        <v/>
      </c>
    </row>
    <row r="731" ht="18.0" customHeight="1">
      <c r="A731" s="132"/>
      <c r="B731" s="72"/>
      <c r="C731" s="72"/>
      <c r="D731" s="74"/>
      <c r="E731" s="72"/>
      <c r="F731" s="72"/>
      <c r="G731" s="114">
        <f t="shared" si="3"/>
        <v>0</v>
      </c>
      <c r="H731" s="76" t="str">
        <f t="shared" si="1"/>
        <v>—</v>
      </c>
      <c r="I731" s="76" t="str">
        <f t="shared" si="2"/>
        <v/>
      </c>
    </row>
    <row r="732" ht="18.0" customHeight="1">
      <c r="A732" s="134"/>
      <c r="B732" s="77"/>
      <c r="C732" s="77"/>
      <c r="D732" s="79"/>
      <c r="E732" s="77"/>
      <c r="F732" s="77"/>
      <c r="G732" s="118">
        <f t="shared" si="3"/>
        <v>0</v>
      </c>
      <c r="H732" s="81" t="str">
        <f t="shared" si="1"/>
        <v>—</v>
      </c>
      <c r="I732" s="81" t="str">
        <f t="shared" si="2"/>
        <v/>
      </c>
    </row>
    <row r="733" ht="18.0" customHeight="1">
      <c r="A733" s="132"/>
      <c r="B733" s="72"/>
      <c r="C733" s="72"/>
      <c r="D733" s="74"/>
      <c r="E733" s="72"/>
      <c r="F733" s="72"/>
      <c r="G733" s="114">
        <f t="shared" si="3"/>
        <v>0</v>
      </c>
      <c r="H733" s="76" t="str">
        <f t="shared" si="1"/>
        <v>—</v>
      </c>
      <c r="I733" s="76" t="str">
        <f t="shared" si="2"/>
        <v/>
      </c>
    </row>
    <row r="734" ht="18.0" customHeight="1">
      <c r="A734" s="134"/>
      <c r="B734" s="77"/>
      <c r="C734" s="77"/>
      <c r="D734" s="79"/>
      <c r="E734" s="77"/>
      <c r="F734" s="77"/>
      <c r="G734" s="118">
        <f t="shared" si="3"/>
        <v>0</v>
      </c>
      <c r="H734" s="81" t="str">
        <f t="shared" si="1"/>
        <v>—</v>
      </c>
      <c r="I734" s="81" t="str">
        <f t="shared" si="2"/>
        <v/>
      </c>
    </row>
    <row r="735" ht="18.0" customHeight="1">
      <c r="A735" s="132"/>
      <c r="B735" s="72"/>
      <c r="C735" s="72"/>
      <c r="D735" s="74"/>
      <c r="E735" s="72"/>
      <c r="F735" s="72"/>
      <c r="G735" s="114">
        <f t="shared" si="3"/>
        <v>0</v>
      </c>
      <c r="H735" s="76" t="str">
        <f t="shared" si="1"/>
        <v>—</v>
      </c>
      <c r="I735" s="76" t="str">
        <f t="shared" si="2"/>
        <v/>
      </c>
    </row>
    <row r="736" ht="18.0" customHeight="1">
      <c r="A736" s="134"/>
      <c r="B736" s="77"/>
      <c r="C736" s="77"/>
      <c r="D736" s="79"/>
      <c r="E736" s="77"/>
      <c r="F736" s="77"/>
      <c r="G736" s="118">
        <f t="shared" si="3"/>
        <v>0</v>
      </c>
      <c r="H736" s="81" t="str">
        <f t="shared" si="1"/>
        <v>—</v>
      </c>
      <c r="I736" s="81" t="str">
        <f t="shared" si="2"/>
        <v/>
      </c>
    </row>
    <row r="737" ht="18.0" customHeight="1">
      <c r="A737" s="132"/>
      <c r="B737" s="72"/>
      <c r="C737" s="72"/>
      <c r="D737" s="74"/>
      <c r="E737" s="72"/>
      <c r="F737" s="72"/>
      <c r="G737" s="114">
        <f t="shared" si="3"/>
        <v>0</v>
      </c>
      <c r="H737" s="76" t="str">
        <f t="shared" si="1"/>
        <v>—</v>
      </c>
      <c r="I737" s="76" t="str">
        <f t="shared" si="2"/>
        <v/>
      </c>
    </row>
    <row r="738" ht="18.0" customHeight="1">
      <c r="A738" s="134"/>
      <c r="B738" s="77"/>
      <c r="C738" s="77"/>
      <c r="D738" s="79"/>
      <c r="E738" s="77"/>
      <c r="F738" s="77"/>
      <c r="G738" s="118">
        <f t="shared" si="3"/>
        <v>0</v>
      </c>
      <c r="H738" s="81" t="str">
        <f t="shared" si="1"/>
        <v>—</v>
      </c>
      <c r="I738" s="81" t="str">
        <f t="shared" si="2"/>
        <v/>
      </c>
    </row>
    <row r="739" ht="18.0" customHeight="1">
      <c r="A739" s="132"/>
      <c r="B739" s="72"/>
      <c r="C739" s="72"/>
      <c r="D739" s="74"/>
      <c r="E739" s="72"/>
      <c r="F739" s="72"/>
      <c r="G739" s="114">
        <f t="shared" si="3"/>
        <v>0</v>
      </c>
      <c r="H739" s="76" t="str">
        <f t="shared" si="1"/>
        <v>—</v>
      </c>
      <c r="I739" s="76" t="str">
        <f t="shared" si="2"/>
        <v/>
      </c>
    </row>
    <row r="740" ht="18.0" customHeight="1">
      <c r="A740" s="134"/>
      <c r="B740" s="77"/>
      <c r="C740" s="77"/>
      <c r="D740" s="79"/>
      <c r="E740" s="77"/>
      <c r="F740" s="77"/>
      <c r="G740" s="118">
        <f t="shared" si="3"/>
        <v>0</v>
      </c>
      <c r="H740" s="81" t="str">
        <f t="shared" si="1"/>
        <v>—</v>
      </c>
      <c r="I740" s="81" t="str">
        <f t="shared" si="2"/>
        <v/>
      </c>
    </row>
    <row r="741" ht="18.0" customHeight="1">
      <c r="A741" s="132"/>
      <c r="B741" s="72"/>
      <c r="C741" s="72"/>
      <c r="D741" s="74"/>
      <c r="E741" s="72"/>
      <c r="F741" s="72"/>
      <c r="G741" s="114">
        <f t="shared" si="3"/>
        <v>0</v>
      </c>
      <c r="H741" s="76" t="str">
        <f t="shared" si="1"/>
        <v>—</v>
      </c>
      <c r="I741" s="76" t="str">
        <f t="shared" si="2"/>
        <v/>
      </c>
    </row>
    <row r="742" ht="18.0" customHeight="1">
      <c r="A742" s="134"/>
      <c r="B742" s="77"/>
      <c r="C742" s="77"/>
      <c r="D742" s="79"/>
      <c r="E742" s="77"/>
      <c r="F742" s="77"/>
      <c r="G742" s="118">
        <f t="shared" si="3"/>
        <v>0</v>
      </c>
      <c r="H742" s="81" t="str">
        <f t="shared" si="1"/>
        <v>—</v>
      </c>
      <c r="I742" s="81" t="str">
        <f t="shared" si="2"/>
        <v/>
      </c>
    </row>
    <row r="743" ht="18.0" customHeight="1">
      <c r="A743" s="132"/>
      <c r="B743" s="72"/>
      <c r="C743" s="72"/>
      <c r="D743" s="74"/>
      <c r="E743" s="72"/>
      <c r="F743" s="72"/>
      <c r="G743" s="114">
        <f t="shared" si="3"/>
        <v>0</v>
      </c>
      <c r="H743" s="76" t="str">
        <f t="shared" si="1"/>
        <v>—</v>
      </c>
      <c r="I743" s="76" t="str">
        <f t="shared" si="2"/>
        <v/>
      </c>
    </row>
    <row r="744" ht="18.0" customHeight="1">
      <c r="A744" s="134"/>
      <c r="B744" s="77"/>
      <c r="C744" s="77"/>
      <c r="D744" s="79"/>
      <c r="E744" s="77"/>
      <c r="F744" s="77"/>
      <c r="G744" s="118">
        <f t="shared" si="3"/>
        <v>0</v>
      </c>
      <c r="H744" s="81" t="str">
        <f t="shared" si="1"/>
        <v>—</v>
      </c>
      <c r="I744" s="81" t="str">
        <f t="shared" si="2"/>
        <v/>
      </c>
    </row>
    <row r="745" ht="18.0" customHeight="1">
      <c r="A745" s="132"/>
      <c r="B745" s="72"/>
      <c r="C745" s="72"/>
      <c r="D745" s="74"/>
      <c r="E745" s="72"/>
      <c r="F745" s="72"/>
      <c r="G745" s="114">
        <f t="shared" si="3"/>
        <v>0</v>
      </c>
      <c r="H745" s="76" t="str">
        <f t="shared" si="1"/>
        <v>—</v>
      </c>
      <c r="I745" s="76" t="str">
        <f t="shared" si="2"/>
        <v/>
      </c>
    </row>
    <row r="746" ht="18.0" customHeight="1">
      <c r="A746" s="134"/>
      <c r="B746" s="77"/>
      <c r="C746" s="77"/>
      <c r="D746" s="79"/>
      <c r="E746" s="77"/>
      <c r="F746" s="77"/>
      <c r="G746" s="118">
        <f t="shared" si="3"/>
        <v>0</v>
      </c>
      <c r="H746" s="81" t="str">
        <f t="shared" si="1"/>
        <v>—</v>
      </c>
      <c r="I746" s="81" t="str">
        <f t="shared" si="2"/>
        <v/>
      </c>
    </row>
    <row r="747" ht="18.0" customHeight="1">
      <c r="A747" s="132"/>
      <c r="B747" s="72"/>
      <c r="C747" s="72"/>
      <c r="D747" s="74"/>
      <c r="E747" s="72"/>
      <c r="F747" s="72"/>
      <c r="G747" s="114">
        <f t="shared" si="3"/>
        <v>0</v>
      </c>
      <c r="H747" s="76" t="str">
        <f t="shared" si="1"/>
        <v>—</v>
      </c>
      <c r="I747" s="76" t="str">
        <f t="shared" si="2"/>
        <v/>
      </c>
    </row>
    <row r="748" ht="18.0" customHeight="1">
      <c r="A748" s="134"/>
      <c r="B748" s="77"/>
      <c r="C748" s="77"/>
      <c r="D748" s="79"/>
      <c r="E748" s="77"/>
      <c r="F748" s="77"/>
      <c r="G748" s="118">
        <f t="shared" si="3"/>
        <v>0</v>
      </c>
      <c r="H748" s="81" t="str">
        <f t="shared" si="1"/>
        <v>—</v>
      </c>
      <c r="I748" s="81" t="str">
        <f t="shared" si="2"/>
        <v/>
      </c>
    </row>
    <row r="749" ht="18.0" customHeight="1">
      <c r="A749" s="132"/>
      <c r="B749" s="72"/>
      <c r="C749" s="72"/>
      <c r="D749" s="74"/>
      <c r="E749" s="72"/>
      <c r="F749" s="72"/>
      <c r="G749" s="114">
        <f t="shared" si="3"/>
        <v>0</v>
      </c>
      <c r="H749" s="76" t="str">
        <f t="shared" si="1"/>
        <v>—</v>
      </c>
      <c r="I749" s="76" t="str">
        <f t="shared" si="2"/>
        <v/>
      </c>
    </row>
    <row r="750" ht="18.0" customHeight="1">
      <c r="A750" s="134"/>
      <c r="B750" s="77"/>
      <c r="C750" s="77"/>
      <c r="D750" s="79"/>
      <c r="E750" s="77"/>
      <c r="F750" s="77"/>
      <c r="G750" s="118">
        <f t="shared" si="3"/>
        <v>0</v>
      </c>
      <c r="H750" s="81" t="str">
        <f t="shared" si="1"/>
        <v>—</v>
      </c>
      <c r="I750" s="81" t="str">
        <f t="shared" si="2"/>
        <v/>
      </c>
    </row>
    <row r="751" ht="18.0" customHeight="1">
      <c r="A751" s="132"/>
      <c r="B751" s="72"/>
      <c r="C751" s="72"/>
      <c r="D751" s="74"/>
      <c r="E751" s="72"/>
      <c r="F751" s="72"/>
      <c r="G751" s="114">
        <f t="shared" si="3"/>
        <v>0</v>
      </c>
      <c r="H751" s="76" t="str">
        <f t="shared" si="1"/>
        <v>—</v>
      </c>
      <c r="I751" s="76" t="str">
        <f t="shared" si="2"/>
        <v/>
      </c>
    </row>
    <row r="752" ht="18.0" customHeight="1">
      <c r="A752" s="134"/>
      <c r="B752" s="77"/>
      <c r="C752" s="77"/>
      <c r="D752" s="79"/>
      <c r="E752" s="77"/>
      <c r="F752" s="77"/>
      <c r="G752" s="118">
        <f t="shared" si="3"/>
        <v>0</v>
      </c>
      <c r="H752" s="81" t="str">
        <f t="shared" si="1"/>
        <v>—</v>
      </c>
      <c r="I752" s="81" t="str">
        <f t="shared" si="2"/>
        <v/>
      </c>
    </row>
    <row r="753" ht="18.0" customHeight="1">
      <c r="A753" s="132"/>
      <c r="B753" s="72"/>
      <c r="C753" s="72"/>
      <c r="D753" s="74"/>
      <c r="E753" s="72"/>
      <c r="F753" s="72"/>
      <c r="G753" s="114">
        <f t="shared" si="3"/>
        <v>0</v>
      </c>
      <c r="H753" s="76" t="str">
        <f t="shared" si="1"/>
        <v>—</v>
      </c>
      <c r="I753" s="76" t="str">
        <f t="shared" si="2"/>
        <v/>
      </c>
    </row>
    <row r="754" ht="18.0" customHeight="1">
      <c r="A754" s="134"/>
      <c r="B754" s="77"/>
      <c r="C754" s="77"/>
      <c r="D754" s="79"/>
      <c r="E754" s="77"/>
      <c r="F754" s="77"/>
      <c r="G754" s="118">
        <f t="shared" si="3"/>
        <v>0</v>
      </c>
      <c r="H754" s="81" t="str">
        <f t="shared" si="1"/>
        <v>—</v>
      </c>
      <c r="I754" s="81" t="str">
        <f t="shared" si="2"/>
        <v/>
      </c>
    </row>
    <row r="755" ht="18.0" customHeight="1">
      <c r="A755" s="132"/>
      <c r="B755" s="72"/>
      <c r="C755" s="72"/>
      <c r="D755" s="74"/>
      <c r="E755" s="72"/>
      <c r="F755" s="72"/>
      <c r="G755" s="114">
        <f t="shared" si="3"/>
        <v>0</v>
      </c>
      <c r="H755" s="76" t="str">
        <f t="shared" si="1"/>
        <v>—</v>
      </c>
      <c r="I755" s="76" t="str">
        <f t="shared" si="2"/>
        <v/>
      </c>
    </row>
    <row r="756" ht="18.0" customHeight="1">
      <c r="A756" s="134"/>
      <c r="B756" s="77"/>
      <c r="C756" s="77"/>
      <c r="D756" s="79"/>
      <c r="E756" s="77"/>
      <c r="F756" s="77"/>
      <c r="G756" s="118">
        <f t="shared" si="3"/>
        <v>0</v>
      </c>
      <c r="H756" s="81" t="str">
        <f t="shared" si="1"/>
        <v>—</v>
      </c>
      <c r="I756" s="81" t="str">
        <f t="shared" si="2"/>
        <v/>
      </c>
    </row>
    <row r="757" ht="18.0" customHeight="1">
      <c r="A757" s="132"/>
      <c r="B757" s="72"/>
      <c r="C757" s="72"/>
      <c r="D757" s="74"/>
      <c r="E757" s="72"/>
      <c r="F757" s="72"/>
      <c r="G757" s="114">
        <f t="shared" si="3"/>
        <v>0</v>
      </c>
      <c r="H757" s="76" t="str">
        <f t="shared" si="1"/>
        <v>—</v>
      </c>
      <c r="I757" s="76" t="str">
        <f t="shared" si="2"/>
        <v/>
      </c>
    </row>
    <row r="758" ht="18.0" customHeight="1">
      <c r="A758" s="134"/>
      <c r="B758" s="77"/>
      <c r="C758" s="77"/>
      <c r="D758" s="79"/>
      <c r="E758" s="77"/>
      <c r="F758" s="77"/>
      <c r="G758" s="118">
        <f t="shared" si="3"/>
        <v>0</v>
      </c>
      <c r="H758" s="81" t="str">
        <f t="shared" si="1"/>
        <v>—</v>
      </c>
      <c r="I758" s="81" t="str">
        <f t="shared" si="2"/>
        <v/>
      </c>
    </row>
    <row r="759" ht="18.0" customHeight="1">
      <c r="A759" s="132"/>
      <c r="B759" s="72"/>
      <c r="C759" s="72"/>
      <c r="D759" s="74"/>
      <c r="E759" s="72"/>
      <c r="F759" s="72"/>
      <c r="G759" s="114">
        <f t="shared" si="3"/>
        <v>0</v>
      </c>
      <c r="H759" s="76" t="str">
        <f t="shared" si="1"/>
        <v>—</v>
      </c>
      <c r="I759" s="76" t="str">
        <f t="shared" si="2"/>
        <v/>
      </c>
    </row>
    <row r="760" ht="18.0" customHeight="1">
      <c r="A760" s="134"/>
      <c r="B760" s="77"/>
      <c r="C760" s="77"/>
      <c r="D760" s="79"/>
      <c r="E760" s="77"/>
      <c r="F760" s="77"/>
      <c r="G760" s="118">
        <f t="shared" si="3"/>
        <v>0</v>
      </c>
      <c r="H760" s="81" t="str">
        <f t="shared" si="1"/>
        <v>—</v>
      </c>
      <c r="I760" s="81" t="str">
        <f t="shared" si="2"/>
        <v/>
      </c>
    </row>
    <row r="761" ht="18.0" customHeight="1">
      <c r="A761" s="132"/>
      <c r="B761" s="72"/>
      <c r="C761" s="72"/>
      <c r="D761" s="74"/>
      <c r="E761" s="72"/>
      <c r="F761" s="72"/>
      <c r="G761" s="114">
        <f t="shared" si="3"/>
        <v>0</v>
      </c>
      <c r="H761" s="76" t="str">
        <f t="shared" si="1"/>
        <v>—</v>
      </c>
      <c r="I761" s="76" t="str">
        <f t="shared" si="2"/>
        <v/>
      </c>
    </row>
    <row r="762" ht="18.0" customHeight="1">
      <c r="A762" s="134"/>
      <c r="B762" s="77"/>
      <c r="C762" s="77"/>
      <c r="D762" s="79"/>
      <c r="E762" s="77"/>
      <c r="F762" s="77"/>
      <c r="G762" s="118">
        <f t="shared" si="3"/>
        <v>0</v>
      </c>
      <c r="H762" s="81" t="str">
        <f t="shared" si="1"/>
        <v>—</v>
      </c>
      <c r="I762" s="81" t="str">
        <f t="shared" si="2"/>
        <v/>
      </c>
    </row>
    <row r="763" ht="18.0" customHeight="1">
      <c r="A763" s="132"/>
      <c r="B763" s="72"/>
      <c r="C763" s="72"/>
      <c r="D763" s="74"/>
      <c r="E763" s="72"/>
      <c r="F763" s="72"/>
      <c r="G763" s="114">
        <f t="shared" si="3"/>
        <v>0</v>
      </c>
      <c r="H763" s="76" t="str">
        <f t="shared" si="1"/>
        <v>—</v>
      </c>
      <c r="I763" s="76" t="str">
        <f t="shared" si="2"/>
        <v/>
      </c>
    </row>
    <row r="764" ht="18.0" customHeight="1">
      <c r="A764" s="134"/>
      <c r="B764" s="77"/>
      <c r="C764" s="77"/>
      <c r="D764" s="79"/>
      <c r="E764" s="77"/>
      <c r="F764" s="77"/>
      <c r="G764" s="118">
        <f t="shared" si="3"/>
        <v>0</v>
      </c>
      <c r="H764" s="81" t="str">
        <f t="shared" si="1"/>
        <v>—</v>
      </c>
      <c r="I764" s="81" t="str">
        <f t="shared" si="2"/>
        <v/>
      </c>
    </row>
    <row r="765" ht="18.0" customHeight="1">
      <c r="A765" s="132"/>
      <c r="B765" s="72"/>
      <c r="C765" s="72"/>
      <c r="D765" s="74"/>
      <c r="E765" s="72"/>
      <c r="F765" s="72"/>
      <c r="G765" s="114">
        <f t="shared" si="3"/>
        <v>0</v>
      </c>
      <c r="H765" s="76" t="str">
        <f t="shared" si="1"/>
        <v>—</v>
      </c>
      <c r="I765" s="76" t="str">
        <f t="shared" si="2"/>
        <v/>
      </c>
    </row>
    <row r="766" ht="18.0" customHeight="1">
      <c r="A766" s="134"/>
      <c r="B766" s="77"/>
      <c r="C766" s="77"/>
      <c r="D766" s="79"/>
      <c r="E766" s="77"/>
      <c r="F766" s="77"/>
      <c r="G766" s="118">
        <f t="shared" si="3"/>
        <v>0</v>
      </c>
      <c r="H766" s="81" t="str">
        <f t="shared" si="1"/>
        <v>—</v>
      </c>
      <c r="I766" s="81" t="str">
        <f t="shared" si="2"/>
        <v/>
      </c>
    </row>
    <row r="767" ht="18.0" customHeight="1">
      <c r="A767" s="132"/>
      <c r="B767" s="72"/>
      <c r="C767" s="72"/>
      <c r="D767" s="74"/>
      <c r="E767" s="72"/>
      <c r="F767" s="72"/>
      <c r="G767" s="114">
        <f t="shared" si="3"/>
        <v>0</v>
      </c>
      <c r="H767" s="76" t="str">
        <f t="shared" si="1"/>
        <v>—</v>
      </c>
      <c r="I767" s="76" t="str">
        <f t="shared" si="2"/>
        <v/>
      </c>
    </row>
    <row r="768" ht="18.0" customHeight="1">
      <c r="A768" s="134"/>
      <c r="B768" s="77"/>
      <c r="C768" s="77"/>
      <c r="D768" s="79"/>
      <c r="E768" s="77"/>
      <c r="F768" s="77"/>
      <c r="G768" s="118">
        <f t="shared" si="3"/>
        <v>0</v>
      </c>
      <c r="H768" s="81" t="str">
        <f t="shared" si="1"/>
        <v>—</v>
      </c>
      <c r="I768" s="81" t="str">
        <f t="shared" si="2"/>
        <v/>
      </c>
    </row>
    <row r="769" ht="18.0" customHeight="1">
      <c r="A769" s="132"/>
      <c r="B769" s="72"/>
      <c r="C769" s="72"/>
      <c r="D769" s="74"/>
      <c r="E769" s="72"/>
      <c r="F769" s="72"/>
      <c r="G769" s="114">
        <f t="shared" si="3"/>
        <v>0</v>
      </c>
      <c r="H769" s="76" t="str">
        <f t="shared" si="1"/>
        <v>—</v>
      </c>
      <c r="I769" s="76" t="str">
        <f t="shared" si="2"/>
        <v/>
      </c>
    </row>
    <row r="770" ht="18.0" customHeight="1">
      <c r="A770" s="134"/>
      <c r="B770" s="77"/>
      <c r="C770" s="77"/>
      <c r="D770" s="79"/>
      <c r="E770" s="77"/>
      <c r="F770" s="77"/>
      <c r="G770" s="118">
        <f t="shared" si="3"/>
        <v>0</v>
      </c>
      <c r="H770" s="81" t="str">
        <f t="shared" si="1"/>
        <v>—</v>
      </c>
      <c r="I770" s="81" t="str">
        <f t="shared" si="2"/>
        <v/>
      </c>
    </row>
    <row r="771" ht="18.0" customHeight="1">
      <c r="A771" s="132"/>
      <c r="B771" s="72"/>
      <c r="C771" s="72"/>
      <c r="D771" s="74"/>
      <c r="E771" s="72"/>
      <c r="F771" s="72"/>
      <c r="G771" s="114">
        <f t="shared" si="3"/>
        <v>0</v>
      </c>
      <c r="H771" s="76" t="str">
        <f t="shared" si="1"/>
        <v>—</v>
      </c>
      <c r="I771" s="76" t="str">
        <f t="shared" si="2"/>
        <v/>
      </c>
    </row>
    <row r="772" ht="18.0" customHeight="1">
      <c r="A772" s="134"/>
      <c r="B772" s="77"/>
      <c r="C772" s="77"/>
      <c r="D772" s="79"/>
      <c r="E772" s="77"/>
      <c r="F772" s="77"/>
      <c r="G772" s="118">
        <f t="shared" si="3"/>
        <v>0</v>
      </c>
      <c r="H772" s="81" t="str">
        <f t="shared" si="1"/>
        <v>—</v>
      </c>
      <c r="I772" s="81" t="str">
        <f t="shared" si="2"/>
        <v/>
      </c>
    </row>
    <row r="773" ht="18.0" customHeight="1">
      <c r="A773" s="132"/>
      <c r="B773" s="72"/>
      <c r="C773" s="72"/>
      <c r="D773" s="74"/>
      <c r="E773" s="72"/>
      <c r="F773" s="72"/>
      <c r="G773" s="114">
        <f t="shared" si="3"/>
        <v>0</v>
      </c>
      <c r="H773" s="76" t="str">
        <f t="shared" si="1"/>
        <v>—</v>
      </c>
      <c r="I773" s="76" t="str">
        <f t="shared" si="2"/>
        <v/>
      </c>
    </row>
    <row r="774" ht="18.0" customHeight="1">
      <c r="A774" s="134"/>
      <c r="B774" s="77"/>
      <c r="C774" s="77"/>
      <c r="D774" s="79"/>
      <c r="E774" s="77"/>
      <c r="F774" s="77"/>
      <c r="G774" s="118">
        <f t="shared" si="3"/>
        <v>0</v>
      </c>
      <c r="H774" s="81" t="str">
        <f t="shared" si="1"/>
        <v>—</v>
      </c>
      <c r="I774" s="81" t="str">
        <f t="shared" si="2"/>
        <v/>
      </c>
    </row>
    <row r="775" ht="18.0" customHeight="1">
      <c r="A775" s="132"/>
      <c r="B775" s="72"/>
      <c r="C775" s="72"/>
      <c r="D775" s="74"/>
      <c r="E775" s="72"/>
      <c r="F775" s="72"/>
      <c r="G775" s="114">
        <f t="shared" si="3"/>
        <v>0</v>
      </c>
      <c r="H775" s="76" t="str">
        <f t="shared" si="1"/>
        <v>—</v>
      </c>
      <c r="I775" s="76" t="str">
        <f t="shared" si="2"/>
        <v/>
      </c>
    </row>
    <row r="776" ht="18.0" customHeight="1">
      <c r="A776" s="134"/>
      <c r="B776" s="77"/>
      <c r="C776" s="77"/>
      <c r="D776" s="79"/>
      <c r="E776" s="77"/>
      <c r="F776" s="77"/>
      <c r="G776" s="118">
        <f t="shared" si="3"/>
        <v>0</v>
      </c>
      <c r="H776" s="81" t="str">
        <f t="shared" si="1"/>
        <v>—</v>
      </c>
      <c r="I776" s="81" t="str">
        <f t="shared" si="2"/>
        <v/>
      </c>
    </row>
    <row r="777" ht="18.0" customHeight="1">
      <c r="A777" s="132"/>
      <c r="B777" s="72"/>
      <c r="C777" s="72"/>
      <c r="D777" s="74"/>
      <c r="E777" s="72"/>
      <c r="F777" s="72"/>
      <c r="G777" s="114">
        <f t="shared" si="3"/>
        <v>0</v>
      </c>
      <c r="H777" s="76" t="str">
        <f t="shared" si="1"/>
        <v>—</v>
      </c>
      <c r="I777" s="76" t="str">
        <f t="shared" si="2"/>
        <v/>
      </c>
    </row>
    <row r="778" ht="18.0" customHeight="1">
      <c r="A778" s="134"/>
      <c r="B778" s="77"/>
      <c r="C778" s="77"/>
      <c r="D778" s="79"/>
      <c r="E778" s="77"/>
      <c r="F778" s="77"/>
      <c r="G778" s="118">
        <f t="shared" si="3"/>
        <v>0</v>
      </c>
      <c r="H778" s="81" t="str">
        <f t="shared" si="1"/>
        <v>—</v>
      </c>
      <c r="I778" s="81" t="str">
        <f t="shared" si="2"/>
        <v/>
      </c>
    </row>
    <row r="779" ht="18.0" customHeight="1">
      <c r="A779" s="132"/>
      <c r="B779" s="72"/>
      <c r="C779" s="72"/>
      <c r="D779" s="74"/>
      <c r="E779" s="72"/>
      <c r="F779" s="72"/>
      <c r="G779" s="114">
        <f t="shared" si="3"/>
        <v>0</v>
      </c>
      <c r="H779" s="76" t="str">
        <f t="shared" si="1"/>
        <v>—</v>
      </c>
      <c r="I779" s="76" t="str">
        <f t="shared" si="2"/>
        <v/>
      </c>
    </row>
    <row r="780" ht="18.0" customHeight="1">
      <c r="A780" s="134"/>
      <c r="B780" s="77"/>
      <c r="C780" s="77"/>
      <c r="D780" s="79"/>
      <c r="E780" s="77"/>
      <c r="F780" s="77"/>
      <c r="G780" s="118">
        <f t="shared" si="3"/>
        <v>0</v>
      </c>
      <c r="H780" s="81" t="str">
        <f t="shared" si="1"/>
        <v>—</v>
      </c>
      <c r="I780" s="81" t="str">
        <f t="shared" si="2"/>
        <v/>
      </c>
    </row>
    <row r="781" ht="18.0" customHeight="1">
      <c r="A781" s="132"/>
      <c r="B781" s="72"/>
      <c r="C781" s="72"/>
      <c r="D781" s="74"/>
      <c r="E781" s="72"/>
      <c r="F781" s="72"/>
      <c r="G781" s="114">
        <f t="shared" si="3"/>
        <v>0</v>
      </c>
      <c r="H781" s="76" t="str">
        <f t="shared" si="1"/>
        <v>—</v>
      </c>
      <c r="I781" s="76" t="str">
        <f t="shared" si="2"/>
        <v/>
      </c>
    </row>
    <row r="782" ht="18.0" customHeight="1">
      <c r="A782" s="134"/>
      <c r="B782" s="77"/>
      <c r="C782" s="77"/>
      <c r="D782" s="79"/>
      <c r="E782" s="77"/>
      <c r="F782" s="77"/>
      <c r="G782" s="118">
        <f t="shared" si="3"/>
        <v>0</v>
      </c>
      <c r="H782" s="81" t="str">
        <f t="shared" si="1"/>
        <v>—</v>
      </c>
      <c r="I782" s="81" t="str">
        <f t="shared" si="2"/>
        <v/>
      </c>
    </row>
    <row r="783" ht="18.0" customHeight="1">
      <c r="A783" s="132"/>
      <c r="B783" s="72"/>
      <c r="C783" s="72"/>
      <c r="D783" s="74"/>
      <c r="E783" s="72"/>
      <c r="F783" s="72"/>
      <c r="G783" s="114">
        <f t="shared" si="3"/>
        <v>0</v>
      </c>
      <c r="H783" s="76" t="str">
        <f t="shared" si="1"/>
        <v>—</v>
      </c>
      <c r="I783" s="76" t="str">
        <f t="shared" si="2"/>
        <v/>
      </c>
    </row>
    <row r="784" ht="18.0" customHeight="1">
      <c r="A784" s="134"/>
      <c r="B784" s="77"/>
      <c r="C784" s="77"/>
      <c r="D784" s="79"/>
      <c r="E784" s="77"/>
      <c r="F784" s="77"/>
      <c r="G784" s="118">
        <f t="shared" si="3"/>
        <v>0</v>
      </c>
      <c r="H784" s="81" t="str">
        <f t="shared" si="1"/>
        <v>—</v>
      </c>
      <c r="I784" s="81" t="str">
        <f t="shared" si="2"/>
        <v/>
      </c>
    </row>
    <row r="785" ht="18.0" customHeight="1">
      <c r="A785" s="132"/>
      <c r="B785" s="72"/>
      <c r="C785" s="72"/>
      <c r="D785" s="74"/>
      <c r="E785" s="72"/>
      <c r="F785" s="72"/>
      <c r="G785" s="114">
        <f t="shared" si="3"/>
        <v>0</v>
      </c>
      <c r="H785" s="76" t="str">
        <f t="shared" si="1"/>
        <v>—</v>
      </c>
      <c r="I785" s="76" t="str">
        <f t="shared" si="2"/>
        <v/>
      </c>
    </row>
    <row r="786" ht="18.0" customHeight="1">
      <c r="A786" s="134"/>
      <c r="B786" s="77"/>
      <c r="C786" s="77"/>
      <c r="D786" s="79"/>
      <c r="E786" s="77"/>
      <c r="F786" s="77"/>
      <c r="G786" s="118">
        <f t="shared" si="3"/>
        <v>0</v>
      </c>
      <c r="H786" s="81" t="str">
        <f t="shared" si="1"/>
        <v>—</v>
      </c>
      <c r="I786" s="81" t="str">
        <f t="shared" si="2"/>
        <v/>
      </c>
    </row>
    <row r="787" ht="18.0" customHeight="1">
      <c r="A787" s="132"/>
      <c r="B787" s="72"/>
      <c r="C787" s="72"/>
      <c r="D787" s="74"/>
      <c r="E787" s="72"/>
      <c r="F787" s="72"/>
      <c r="G787" s="114">
        <f t="shared" si="3"/>
        <v>0</v>
      </c>
      <c r="H787" s="76" t="str">
        <f t="shared" si="1"/>
        <v>—</v>
      </c>
      <c r="I787" s="76" t="str">
        <f t="shared" si="2"/>
        <v/>
      </c>
    </row>
    <row r="788" ht="18.0" customHeight="1">
      <c r="A788" s="134"/>
      <c r="B788" s="77"/>
      <c r="C788" s="77"/>
      <c r="D788" s="79"/>
      <c r="E788" s="77"/>
      <c r="F788" s="77"/>
      <c r="G788" s="118">
        <f t="shared" si="3"/>
        <v>0</v>
      </c>
      <c r="H788" s="81" t="str">
        <f t="shared" si="1"/>
        <v>—</v>
      </c>
      <c r="I788" s="81" t="str">
        <f t="shared" si="2"/>
        <v/>
      </c>
    </row>
    <row r="789" ht="18.0" customHeight="1">
      <c r="A789" s="132"/>
      <c r="B789" s="72"/>
      <c r="C789" s="72"/>
      <c r="D789" s="74"/>
      <c r="E789" s="72"/>
      <c r="F789" s="72"/>
      <c r="G789" s="114">
        <f t="shared" si="3"/>
        <v>0</v>
      </c>
      <c r="H789" s="76" t="str">
        <f t="shared" si="1"/>
        <v>—</v>
      </c>
      <c r="I789" s="76" t="str">
        <f t="shared" si="2"/>
        <v/>
      </c>
    </row>
    <row r="790" ht="18.0" customHeight="1">
      <c r="A790" s="134"/>
      <c r="B790" s="77"/>
      <c r="C790" s="77"/>
      <c r="D790" s="79"/>
      <c r="E790" s="77"/>
      <c r="F790" s="77"/>
      <c r="G790" s="118">
        <f t="shared" si="3"/>
        <v>0</v>
      </c>
      <c r="H790" s="81" t="str">
        <f t="shared" si="1"/>
        <v>—</v>
      </c>
      <c r="I790" s="81" t="str">
        <f t="shared" si="2"/>
        <v/>
      </c>
    </row>
    <row r="791" ht="18.0" customHeight="1">
      <c r="A791" s="132"/>
      <c r="B791" s="72"/>
      <c r="C791" s="72"/>
      <c r="D791" s="74"/>
      <c r="E791" s="72"/>
      <c r="F791" s="72"/>
      <c r="G791" s="114">
        <f t="shared" si="3"/>
        <v>0</v>
      </c>
      <c r="H791" s="76" t="str">
        <f t="shared" si="1"/>
        <v>—</v>
      </c>
      <c r="I791" s="76" t="str">
        <f t="shared" si="2"/>
        <v/>
      </c>
    </row>
    <row r="792" ht="18.0" customHeight="1">
      <c r="A792" s="134"/>
      <c r="B792" s="77"/>
      <c r="C792" s="77"/>
      <c r="D792" s="79"/>
      <c r="E792" s="77"/>
      <c r="F792" s="77"/>
      <c r="G792" s="118">
        <f t="shared" si="3"/>
        <v>0</v>
      </c>
      <c r="H792" s="81" t="str">
        <f t="shared" si="1"/>
        <v>—</v>
      </c>
      <c r="I792" s="81" t="str">
        <f t="shared" si="2"/>
        <v/>
      </c>
    </row>
    <row r="793" ht="18.0" customHeight="1">
      <c r="A793" s="132"/>
      <c r="B793" s="72"/>
      <c r="C793" s="72"/>
      <c r="D793" s="74"/>
      <c r="E793" s="72"/>
      <c r="F793" s="72"/>
      <c r="G793" s="114">
        <f t="shared" si="3"/>
        <v>0</v>
      </c>
      <c r="H793" s="76" t="str">
        <f t="shared" si="1"/>
        <v>—</v>
      </c>
      <c r="I793" s="76" t="str">
        <f t="shared" si="2"/>
        <v/>
      </c>
    </row>
    <row r="794" ht="18.0" customHeight="1">
      <c r="A794" s="134"/>
      <c r="B794" s="77"/>
      <c r="C794" s="77"/>
      <c r="D794" s="79"/>
      <c r="E794" s="77"/>
      <c r="F794" s="77"/>
      <c r="G794" s="118">
        <f t="shared" si="3"/>
        <v>0</v>
      </c>
      <c r="H794" s="81" t="str">
        <f t="shared" si="1"/>
        <v>—</v>
      </c>
      <c r="I794" s="81" t="str">
        <f t="shared" si="2"/>
        <v/>
      </c>
    </row>
    <row r="795" ht="18.0" customHeight="1">
      <c r="A795" s="132"/>
      <c r="B795" s="72"/>
      <c r="C795" s="72"/>
      <c r="D795" s="74"/>
      <c r="E795" s="72"/>
      <c r="F795" s="72"/>
      <c r="G795" s="114">
        <f t="shared" si="3"/>
        <v>0</v>
      </c>
      <c r="H795" s="76" t="str">
        <f t="shared" si="1"/>
        <v>—</v>
      </c>
      <c r="I795" s="76" t="str">
        <f t="shared" si="2"/>
        <v/>
      </c>
    </row>
    <row r="796" ht="18.0" customHeight="1">
      <c r="A796" s="134"/>
      <c r="B796" s="77"/>
      <c r="C796" s="77"/>
      <c r="D796" s="79"/>
      <c r="E796" s="77"/>
      <c r="F796" s="77"/>
      <c r="G796" s="118">
        <f t="shared" si="3"/>
        <v>0</v>
      </c>
      <c r="H796" s="81" t="str">
        <f t="shared" si="1"/>
        <v>—</v>
      </c>
      <c r="I796" s="81" t="str">
        <f t="shared" si="2"/>
        <v/>
      </c>
    </row>
    <row r="797" ht="18.0" customHeight="1">
      <c r="A797" s="132"/>
      <c r="B797" s="72"/>
      <c r="C797" s="72"/>
      <c r="D797" s="74"/>
      <c r="E797" s="72"/>
      <c r="F797" s="72"/>
      <c r="G797" s="114">
        <f t="shared" si="3"/>
        <v>0</v>
      </c>
      <c r="H797" s="76" t="str">
        <f t="shared" si="1"/>
        <v>—</v>
      </c>
      <c r="I797" s="76" t="str">
        <f t="shared" si="2"/>
        <v/>
      </c>
    </row>
    <row r="798" ht="18.0" customHeight="1">
      <c r="A798" s="134"/>
      <c r="B798" s="77"/>
      <c r="C798" s="77"/>
      <c r="D798" s="79"/>
      <c r="E798" s="77"/>
      <c r="F798" s="77"/>
      <c r="G798" s="118">
        <f t="shared" si="3"/>
        <v>0</v>
      </c>
      <c r="H798" s="81" t="str">
        <f t="shared" si="1"/>
        <v>—</v>
      </c>
      <c r="I798" s="81" t="str">
        <f t="shared" si="2"/>
        <v/>
      </c>
    </row>
    <row r="799" ht="18.0" customHeight="1">
      <c r="A799" s="132"/>
      <c r="B799" s="72"/>
      <c r="C799" s="72"/>
      <c r="D799" s="74"/>
      <c r="E799" s="72"/>
      <c r="F799" s="72"/>
      <c r="G799" s="114">
        <f t="shared" si="3"/>
        <v>0</v>
      </c>
      <c r="H799" s="76" t="str">
        <f t="shared" si="1"/>
        <v>—</v>
      </c>
      <c r="I799" s="76" t="str">
        <f t="shared" si="2"/>
        <v/>
      </c>
    </row>
    <row r="800" ht="18.0" customHeight="1">
      <c r="A800" s="134"/>
      <c r="B800" s="77"/>
      <c r="C800" s="77"/>
      <c r="D800" s="79"/>
      <c r="E800" s="77"/>
      <c r="F800" s="77"/>
      <c r="G800" s="118">
        <f t="shared" si="3"/>
        <v>0</v>
      </c>
      <c r="H800" s="81" t="str">
        <f t="shared" si="1"/>
        <v>—</v>
      </c>
      <c r="I800" s="81" t="str">
        <f t="shared" si="2"/>
        <v/>
      </c>
    </row>
    <row r="801" ht="18.0" customHeight="1">
      <c r="A801" s="132"/>
      <c r="B801" s="72"/>
      <c r="C801" s="72"/>
      <c r="D801" s="74"/>
      <c r="E801" s="72"/>
      <c r="F801" s="72"/>
      <c r="G801" s="114">
        <f t="shared" si="3"/>
        <v>0</v>
      </c>
      <c r="H801" s="76" t="str">
        <f t="shared" si="1"/>
        <v>—</v>
      </c>
      <c r="I801" s="76" t="str">
        <f t="shared" si="2"/>
        <v/>
      </c>
    </row>
    <row r="802" ht="18.0" customHeight="1">
      <c r="A802" s="134"/>
      <c r="B802" s="77"/>
      <c r="C802" s="77"/>
      <c r="D802" s="79"/>
      <c r="E802" s="77"/>
      <c r="F802" s="77"/>
      <c r="G802" s="118">
        <f t="shared" si="3"/>
        <v>0</v>
      </c>
      <c r="H802" s="81" t="str">
        <f t="shared" si="1"/>
        <v>—</v>
      </c>
      <c r="I802" s="81" t="str">
        <f t="shared" si="2"/>
        <v/>
      </c>
    </row>
    <row r="803" ht="18.0" customHeight="1">
      <c r="A803" s="132"/>
      <c r="B803" s="72"/>
      <c r="C803" s="72"/>
      <c r="D803" s="74"/>
      <c r="E803" s="72"/>
      <c r="F803" s="72"/>
      <c r="G803" s="114">
        <f t="shared" si="3"/>
        <v>0</v>
      </c>
      <c r="H803" s="76" t="str">
        <f t="shared" si="1"/>
        <v>—</v>
      </c>
      <c r="I803" s="76" t="str">
        <f t="shared" si="2"/>
        <v/>
      </c>
    </row>
    <row r="804" ht="18.0" customHeight="1">
      <c r="A804" s="134"/>
      <c r="B804" s="77"/>
      <c r="C804" s="77"/>
      <c r="D804" s="79"/>
      <c r="E804" s="77"/>
      <c r="F804" s="77"/>
      <c r="G804" s="118">
        <f t="shared" si="3"/>
        <v>0</v>
      </c>
      <c r="H804" s="81" t="str">
        <f t="shared" si="1"/>
        <v>—</v>
      </c>
      <c r="I804" s="81" t="str">
        <f t="shared" si="2"/>
        <v/>
      </c>
    </row>
    <row r="805" ht="18.0" customHeight="1">
      <c r="A805" s="132"/>
      <c r="B805" s="72"/>
      <c r="C805" s="72"/>
      <c r="D805" s="74"/>
      <c r="E805" s="72"/>
      <c r="F805" s="72"/>
      <c r="G805" s="114">
        <f t="shared" si="3"/>
        <v>0</v>
      </c>
      <c r="H805" s="76" t="str">
        <f t="shared" si="1"/>
        <v>—</v>
      </c>
      <c r="I805" s="76" t="str">
        <f t="shared" si="2"/>
        <v/>
      </c>
    </row>
    <row r="806" ht="18.0" customHeight="1">
      <c r="A806" s="134"/>
      <c r="B806" s="77"/>
      <c r="C806" s="77"/>
      <c r="D806" s="79"/>
      <c r="E806" s="77"/>
      <c r="F806" s="77"/>
      <c r="G806" s="118">
        <f t="shared" si="3"/>
        <v>0</v>
      </c>
      <c r="H806" s="81" t="str">
        <f t="shared" si="1"/>
        <v>—</v>
      </c>
      <c r="I806" s="81" t="str">
        <f t="shared" si="2"/>
        <v/>
      </c>
    </row>
    <row r="807" ht="18.0" customHeight="1">
      <c r="A807" s="132"/>
      <c r="B807" s="72"/>
      <c r="C807" s="72"/>
      <c r="D807" s="74"/>
      <c r="E807" s="72"/>
      <c r="F807" s="72"/>
      <c r="G807" s="114">
        <f t="shared" si="3"/>
        <v>0</v>
      </c>
      <c r="H807" s="76" t="str">
        <f t="shared" si="1"/>
        <v>—</v>
      </c>
      <c r="I807" s="76" t="str">
        <f t="shared" si="2"/>
        <v/>
      </c>
    </row>
    <row r="808" ht="18.0" customHeight="1">
      <c r="A808" s="134"/>
      <c r="B808" s="77"/>
      <c r="C808" s="77"/>
      <c r="D808" s="79"/>
      <c r="E808" s="77"/>
      <c r="F808" s="77"/>
      <c r="G808" s="118">
        <f t="shared" si="3"/>
        <v>0</v>
      </c>
      <c r="H808" s="81" t="str">
        <f t="shared" si="1"/>
        <v>—</v>
      </c>
      <c r="I808" s="81" t="str">
        <f t="shared" si="2"/>
        <v/>
      </c>
    </row>
    <row r="809" ht="18.0" customHeight="1">
      <c r="A809" s="132"/>
      <c r="B809" s="72"/>
      <c r="C809" s="72"/>
      <c r="D809" s="74"/>
      <c r="E809" s="72"/>
      <c r="F809" s="72"/>
      <c r="G809" s="114">
        <f t="shared" si="3"/>
        <v>0</v>
      </c>
      <c r="H809" s="76" t="str">
        <f t="shared" si="1"/>
        <v>—</v>
      </c>
      <c r="I809" s="76" t="str">
        <f t="shared" si="2"/>
        <v/>
      </c>
    </row>
    <row r="810" ht="18.0" customHeight="1">
      <c r="A810" s="134"/>
      <c r="B810" s="77"/>
      <c r="C810" s="77"/>
      <c r="D810" s="79"/>
      <c r="E810" s="77"/>
      <c r="F810" s="77"/>
      <c r="G810" s="118">
        <f t="shared" si="3"/>
        <v>0</v>
      </c>
      <c r="H810" s="81" t="str">
        <f t="shared" si="1"/>
        <v>—</v>
      </c>
      <c r="I810" s="81" t="str">
        <f t="shared" si="2"/>
        <v/>
      </c>
    </row>
    <row r="811" ht="18.0" customHeight="1">
      <c r="A811" s="132"/>
      <c r="B811" s="72"/>
      <c r="C811" s="72"/>
      <c r="D811" s="74"/>
      <c r="E811" s="72"/>
      <c r="F811" s="72"/>
      <c r="G811" s="114">
        <f t="shared" si="3"/>
        <v>0</v>
      </c>
      <c r="H811" s="76" t="str">
        <f t="shared" si="1"/>
        <v>—</v>
      </c>
      <c r="I811" s="76" t="str">
        <f t="shared" si="2"/>
        <v/>
      </c>
    </row>
    <row r="812" ht="18.0" customHeight="1">
      <c r="A812" s="134"/>
      <c r="B812" s="77"/>
      <c r="C812" s="77"/>
      <c r="D812" s="79"/>
      <c r="E812" s="77"/>
      <c r="F812" s="77"/>
      <c r="G812" s="118">
        <f t="shared" si="3"/>
        <v>0</v>
      </c>
      <c r="H812" s="81" t="str">
        <f t="shared" si="1"/>
        <v>—</v>
      </c>
      <c r="I812" s="81" t="str">
        <f t="shared" si="2"/>
        <v/>
      </c>
    </row>
    <row r="813" ht="18.0" customHeight="1">
      <c r="A813" s="132"/>
      <c r="B813" s="72"/>
      <c r="C813" s="72"/>
      <c r="D813" s="74"/>
      <c r="E813" s="72"/>
      <c r="F813" s="72"/>
      <c r="G813" s="114">
        <f t="shared" si="3"/>
        <v>0</v>
      </c>
      <c r="H813" s="76" t="str">
        <f t="shared" si="1"/>
        <v>—</v>
      </c>
      <c r="I813" s="76" t="str">
        <f t="shared" si="2"/>
        <v/>
      </c>
    </row>
    <row r="814" ht="18.0" customHeight="1">
      <c r="A814" s="134"/>
      <c r="B814" s="77"/>
      <c r="C814" s="77"/>
      <c r="D814" s="79"/>
      <c r="E814" s="77"/>
      <c r="F814" s="77"/>
      <c r="G814" s="118">
        <f t="shared" si="3"/>
        <v>0</v>
      </c>
      <c r="H814" s="81" t="str">
        <f t="shared" si="1"/>
        <v>—</v>
      </c>
      <c r="I814" s="81" t="str">
        <f t="shared" si="2"/>
        <v/>
      </c>
    </row>
    <row r="815" ht="18.0" customHeight="1">
      <c r="A815" s="132"/>
      <c r="B815" s="72"/>
      <c r="C815" s="72"/>
      <c r="D815" s="74"/>
      <c r="E815" s="72"/>
      <c r="F815" s="72"/>
      <c r="G815" s="114">
        <f t="shared" si="3"/>
        <v>0</v>
      </c>
      <c r="H815" s="76" t="str">
        <f t="shared" si="1"/>
        <v>—</v>
      </c>
      <c r="I815" s="76" t="str">
        <f t="shared" si="2"/>
        <v/>
      </c>
    </row>
    <row r="816" ht="18.0" customHeight="1">
      <c r="A816" s="134"/>
      <c r="B816" s="77"/>
      <c r="C816" s="77"/>
      <c r="D816" s="79"/>
      <c r="E816" s="77"/>
      <c r="F816" s="77"/>
      <c r="G816" s="118">
        <f t="shared" si="3"/>
        <v>0</v>
      </c>
      <c r="H816" s="81" t="str">
        <f t="shared" si="1"/>
        <v>—</v>
      </c>
      <c r="I816" s="81" t="str">
        <f t="shared" si="2"/>
        <v/>
      </c>
    </row>
    <row r="817" ht="18.0" customHeight="1">
      <c r="A817" s="132"/>
      <c r="B817" s="72"/>
      <c r="C817" s="72"/>
      <c r="D817" s="74"/>
      <c r="E817" s="72"/>
      <c r="F817" s="72"/>
      <c r="G817" s="114">
        <f t="shared" si="3"/>
        <v>0</v>
      </c>
      <c r="H817" s="76" t="str">
        <f t="shared" si="1"/>
        <v>—</v>
      </c>
      <c r="I817" s="76" t="str">
        <f t="shared" si="2"/>
        <v/>
      </c>
    </row>
    <row r="818" ht="18.0" customHeight="1">
      <c r="A818" s="134"/>
      <c r="B818" s="77"/>
      <c r="C818" s="77"/>
      <c r="D818" s="79"/>
      <c r="E818" s="77"/>
      <c r="F818" s="77"/>
      <c r="G818" s="118">
        <f t="shared" si="3"/>
        <v>0</v>
      </c>
      <c r="H818" s="81" t="str">
        <f t="shared" si="1"/>
        <v>—</v>
      </c>
      <c r="I818" s="81" t="str">
        <f t="shared" si="2"/>
        <v/>
      </c>
    </row>
    <row r="819" ht="18.0" customHeight="1">
      <c r="A819" s="132"/>
      <c r="B819" s="72"/>
      <c r="C819" s="72"/>
      <c r="D819" s="74"/>
      <c r="E819" s="72"/>
      <c r="F819" s="72"/>
      <c r="G819" s="114">
        <f t="shared" si="3"/>
        <v>0</v>
      </c>
      <c r="H819" s="76" t="str">
        <f t="shared" si="1"/>
        <v>—</v>
      </c>
      <c r="I819" s="76" t="str">
        <f t="shared" si="2"/>
        <v/>
      </c>
    </row>
    <row r="820" ht="18.0" customHeight="1">
      <c r="A820" s="134"/>
      <c r="B820" s="77"/>
      <c r="C820" s="77"/>
      <c r="D820" s="79"/>
      <c r="E820" s="77"/>
      <c r="F820" s="77"/>
      <c r="G820" s="118">
        <f t="shared" si="3"/>
        <v>0</v>
      </c>
      <c r="H820" s="81" t="str">
        <f t="shared" si="1"/>
        <v>—</v>
      </c>
      <c r="I820" s="81" t="str">
        <f t="shared" si="2"/>
        <v/>
      </c>
    </row>
    <row r="821" ht="18.0" customHeight="1">
      <c r="A821" s="132"/>
      <c r="B821" s="72"/>
      <c r="C821" s="72"/>
      <c r="D821" s="74"/>
      <c r="E821" s="72"/>
      <c r="F821" s="72"/>
      <c r="G821" s="114">
        <f t="shared" si="3"/>
        <v>0</v>
      </c>
      <c r="H821" s="76" t="str">
        <f t="shared" si="1"/>
        <v>—</v>
      </c>
      <c r="I821" s="76" t="str">
        <f t="shared" si="2"/>
        <v/>
      </c>
    </row>
    <row r="822" ht="18.0" customHeight="1">
      <c r="A822" s="134"/>
      <c r="B822" s="77"/>
      <c r="C822" s="77"/>
      <c r="D822" s="79"/>
      <c r="E822" s="77"/>
      <c r="F822" s="77"/>
      <c r="G822" s="118">
        <f t="shared" si="3"/>
        <v>0</v>
      </c>
      <c r="H822" s="81" t="str">
        <f t="shared" si="1"/>
        <v>—</v>
      </c>
      <c r="I822" s="81" t="str">
        <f t="shared" si="2"/>
        <v/>
      </c>
    </row>
    <row r="823" ht="18.0" customHeight="1">
      <c r="A823" s="132"/>
      <c r="B823" s="72"/>
      <c r="C823" s="72"/>
      <c r="D823" s="74"/>
      <c r="E823" s="72"/>
      <c r="F823" s="72"/>
      <c r="G823" s="114">
        <f t="shared" si="3"/>
        <v>0</v>
      </c>
      <c r="H823" s="76" t="str">
        <f t="shared" si="1"/>
        <v>—</v>
      </c>
      <c r="I823" s="76" t="str">
        <f t="shared" si="2"/>
        <v/>
      </c>
    </row>
    <row r="824" ht="18.0" customHeight="1">
      <c r="A824" s="134"/>
      <c r="B824" s="77"/>
      <c r="C824" s="77"/>
      <c r="D824" s="79"/>
      <c r="E824" s="77"/>
      <c r="F824" s="77"/>
      <c r="G824" s="118">
        <f t="shared" si="3"/>
        <v>0</v>
      </c>
      <c r="H824" s="81" t="str">
        <f t="shared" si="1"/>
        <v>—</v>
      </c>
      <c r="I824" s="81" t="str">
        <f t="shared" si="2"/>
        <v/>
      </c>
    </row>
    <row r="825" ht="18.0" customHeight="1">
      <c r="A825" s="132"/>
      <c r="B825" s="72"/>
      <c r="C825" s="72"/>
      <c r="D825" s="74"/>
      <c r="E825" s="72"/>
      <c r="F825" s="72"/>
      <c r="G825" s="114">
        <f t="shared" si="3"/>
        <v>0</v>
      </c>
      <c r="H825" s="76" t="str">
        <f t="shared" si="1"/>
        <v>—</v>
      </c>
      <c r="I825" s="76" t="str">
        <f t="shared" si="2"/>
        <v/>
      </c>
    </row>
    <row r="826" ht="18.0" customHeight="1">
      <c r="A826" s="134"/>
      <c r="B826" s="77"/>
      <c r="C826" s="77"/>
      <c r="D826" s="79"/>
      <c r="E826" s="77"/>
      <c r="F826" s="77"/>
      <c r="G826" s="118">
        <f t="shared" si="3"/>
        <v>0</v>
      </c>
      <c r="H826" s="81" t="str">
        <f t="shared" si="1"/>
        <v>—</v>
      </c>
      <c r="I826" s="81" t="str">
        <f t="shared" si="2"/>
        <v/>
      </c>
    </row>
    <row r="827" ht="18.0" customHeight="1">
      <c r="A827" s="132"/>
      <c r="B827" s="72"/>
      <c r="C827" s="72"/>
      <c r="D827" s="74"/>
      <c r="E827" s="72"/>
      <c r="F827" s="72"/>
      <c r="G827" s="114">
        <f t="shared" si="3"/>
        <v>0</v>
      </c>
      <c r="H827" s="76" t="str">
        <f t="shared" si="1"/>
        <v>—</v>
      </c>
      <c r="I827" s="76" t="str">
        <f t="shared" si="2"/>
        <v/>
      </c>
    </row>
    <row r="828" ht="18.0" customHeight="1">
      <c r="A828" s="134"/>
      <c r="B828" s="77"/>
      <c r="C828" s="77"/>
      <c r="D828" s="79"/>
      <c r="E828" s="77"/>
      <c r="F828" s="77"/>
      <c r="G828" s="118">
        <f t="shared" si="3"/>
        <v>0</v>
      </c>
      <c r="H828" s="81" t="str">
        <f t="shared" si="1"/>
        <v>—</v>
      </c>
      <c r="I828" s="81" t="str">
        <f t="shared" si="2"/>
        <v/>
      </c>
    </row>
    <row r="829" ht="18.0" customHeight="1">
      <c r="A829" s="132"/>
      <c r="B829" s="72"/>
      <c r="C829" s="72"/>
      <c r="D829" s="74"/>
      <c r="E829" s="72"/>
      <c r="F829" s="72"/>
      <c r="G829" s="114">
        <f t="shared" si="3"/>
        <v>0</v>
      </c>
      <c r="H829" s="76" t="str">
        <f t="shared" si="1"/>
        <v>—</v>
      </c>
      <c r="I829" s="76" t="str">
        <f t="shared" si="2"/>
        <v/>
      </c>
    </row>
    <row r="830" ht="18.0" customHeight="1">
      <c r="A830" s="134"/>
      <c r="B830" s="77"/>
      <c r="C830" s="77"/>
      <c r="D830" s="79"/>
      <c r="E830" s="77"/>
      <c r="F830" s="77"/>
      <c r="G830" s="118">
        <f t="shared" si="3"/>
        <v>0</v>
      </c>
      <c r="H830" s="81" t="str">
        <f t="shared" si="1"/>
        <v>—</v>
      </c>
      <c r="I830" s="81" t="str">
        <f t="shared" si="2"/>
        <v/>
      </c>
    </row>
    <row r="831" ht="18.0" customHeight="1">
      <c r="A831" s="132"/>
      <c r="B831" s="72"/>
      <c r="C831" s="72"/>
      <c r="D831" s="74"/>
      <c r="E831" s="72"/>
      <c r="F831" s="72"/>
      <c r="G831" s="114">
        <f t="shared" si="3"/>
        <v>0</v>
      </c>
      <c r="H831" s="76" t="str">
        <f t="shared" si="1"/>
        <v>—</v>
      </c>
      <c r="I831" s="76" t="str">
        <f t="shared" si="2"/>
        <v/>
      </c>
    </row>
    <row r="832" ht="18.0" customHeight="1">
      <c r="A832" s="134"/>
      <c r="B832" s="77"/>
      <c r="C832" s="77"/>
      <c r="D832" s="79"/>
      <c r="E832" s="77"/>
      <c r="F832" s="77"/>
      <c r="G832" s="118">
        <f t="shared" si="3"/>
        <v>0</v>
      </c>
      <c r="H832" s="81" t="str">
        <f t="shared" si="1"/>
        <v>—</v>
      </c>
      <c r="I832" s="81" t="str">
        <f t="shared" si="2"/>
        <v/>
      </c>
    </row>
    <row r="833" ht="18.0" customHeight="1">
      <c r="A833" s="132"/>
      <c r="B833" s="72"/>
      <c r="C833" s="72"/>
      <c r="D833" s="74"/>
      <c r="E833" s="72"/>
      <c r="F833" s="72"/>
      <c r="G833" s="114">
        <f t="shared" si="3"/>
        <v>0</v>
      </c>
      <c r="H833" s="76" t="str">
        <f t="shared" si="1"/>
        <v>—</v>
      </c>
      <c r="I833" s="76" t="str">
        <f t="shared" si="2"/>
        <v/>
      </c>
    </row>
    <row r="834" ht="18.0" customHeight="1">
      <c r="A834" s="134"/>
      <c r="B834" s="77"/>
      <c r="C834" s="77"/>
      <c r="D834" s="79"/>
      <c r="E834" s="77"/>
      <c r="F834" s="77"/>
      <c r="G834" s="118">
        <f t="shared" si="3"/>
        <v>0</v>
      </c>
      <c r="H834" s="81" t="str">
        <f t="shared" si="1"/>
        <v>—</v>
      </c>
      <c r="I834" s="81" t="str">
        <f t="shared" si="2"/>
        <v/>
      </c>
    </row>
    <row r="835" ht="18.0" customHeight="1">
      <c r="A835" s="132"/>
      <c r="B835" s="72"/>
      <c r="C835" s="72"/>
      <c r="D835" s="74"/>
      <c r="E835" s="72"/>
      <c r="F835" s="72"/>
      <c r="G835" s="114">
        <f t="shared" si="3"/>
        <v>0</v>
      </c>
      <c r="H835" s="76" t="str">
        <f t="shared" si="1"/>
        <v>—</v>
      </c>
      <c r="I835" s="76" t="str">
        <f t="shared" si="2"/>
        <v/>
      </c>
    </row>
    <row r="836" ht="18.0" customHeight="1">
      <c r="A836" s="134"/>
      <c r="B836" s="77"/>
      <c r="C836" s="77"/>
      <c r="D836" s="79"/>
      <c r="E836" s="77"/>
      <c r="F836" s="77"/>
      <c r="G836" s="118">
        <f t="shared" si="3"/>
        <v>0</v>
      </c>
      <c r="H836" s="81" t="str">
        <f t="shared" si="1"/>
        <v>—</v>
      </c>
      <c r="I836" s="81" t="str">
        <f t="shared" si="2"/>
        <v/>
      </c>
    </row>
    <row r="837" ht="18.0" customHeight="1">
      <c r="A837" s="132"/>
      <c r="B837" s="72"/>
      <c r="C837" s="72"/>
      <c r="D837" s="74"/>
      <c r="E837" s="72"/>
      <c r="F837" s="72"/>
      <c r="G837" s="114">
        <f t="shared" si="3"/>
        <v>0</v>
      </c>
      <c r="H837" s="76" t="str">
        <f t="shared" si="1"/>
        <v>—</v>
      </c>
      <c r="I837" s="76" t="str">
        <f t="shared" si="2"/>
        <v/>
      </c>
    </row>
    <row r="838" ht="18.0" customHeight="1">
      <c r="A838" s="134"/>
      <c r="B838" s="77"/>
      <c r="C838" s="77"/>
      <c r="D838" s="79"/>
      <c r="E838" s="77"/>
      <c r="F838" s="77"/>
      <c r="G838" s="118">
        <f t="shared" si="3"/>
        <v>0</v>
      </c>
      <c r="H838" s="81" t="str">
        <f t="shared" si="1"/>
        <v>—</v>
      </c>
      <c r="I838" s="81" t="str">
        <f t="shared" si="2"/>
        <v/>
      </c>
    </row>
    <row r="839" ht="18.0" customHeight="1">
      <c r="A839" s="132"/>
      <c r="B839" s="72"/>
      <c r="C839" s="72"/>
      <c r="D839" s="74"/>
      <c r="E839" s="72"/>
      <c r="F839" s="72"/>
      <c r="G839" s="114">
        <f t="shared" si="3"/>
        <v>0</v>
      </c>
      <c r="H839" s="76" t="str">
        <f t="shared" si="1"/>
        <v>—</v>
      </c>
      <c r="I839" s="76" t="str">
        <f t="shared" si="2"/>
        <v/>
      </c>
    </row>
    <row r="840" ht="18.0" customHeight="1">
      <c r="A840" s="134"/>
      <c r="B840" s="77"/>
      <c r="C840" s="77"/>
      <c r="D840" s="79"/>
      <c r="E840" s="77"/>
      <c r="F840" s="77"/>
      <c r="G840" s="118">
        <f t="shared" si="3"/>
        <v>0</v>
      </c>
      <c r="H840" s="81" t="str">
        <f t="shared" si="1"/>
        <v>—</v>
      </c>
      <c r="I840" s="81" t="str">
        <f t="shared" si="2"/>
        <v/>
      </c>
    </row>
    <row r="841" ht="18.0" customHeight="1">
      <c r="A841" s="132"/>
      <c r="B841" s="72"/>
      <c r="C841" s="72"/>
      <c r="D841" s="74"/>
      <c r="E841" s="72"/>
      <c r="F841" s="72"/>
      <c r="G841" s="114">
        <f t="shared" si="3"/>
        <v>0</v>
      </c>
      <c r="H841" s="76" t="str">
        <f t="shared" si="1"/>
        <v>—</v>
      </c>
      <c r="I841" s="76" t="str">
        <f t="shared" si="2"/>
        <v/>
      </c>
    </row>
    <row r="842" ht="18.0" customHeight="1">
      <c r="A842" s="134"/>
      <c r="B842" s="77"/>
      <c r="C842" s="77"/>
      <c r="D842" s="79"/>
      <c r="E842" s="77"/>
      <c r="F842" s="77"/>
      <c r="G842" s="118">
        <f t="shared" si="3"/>
        <v>0</v>
      </c>
      <c r="H842" s="81" t="str">
        <f t="shared" si="1"/>
        <v>—</v>
      </c>
      <c r="I842" s="81" t="str">
        <f t="shared" si="2"/>
        <v/>
      </c>
    </row>
    <row r="843" ht="18.0" customHeight="1">
      <c r="A843" s="132"/>
      <c r="B843" s="72"/>
      <c r="C843" s="72"/>
      <c r="D843" s="74"/>
      <c r="E843" s="72"/>
      <c r="F843" s="72"/>
      <c r="G843" s="114">
        <f t="shared" si="3"/>
        <v>0</v>
      </c>
      <c r="H843" s="76" t="str">
        <f t="shared" si="1"/>
        <v>—</v>
      </c>
      <c r="I843" s="76" t="str">
        <f t="shared" si="2"/>
        <v/>
      </c>
    </row>
    <row r="844" ht="18.0" customHeight="1">
      <c r="A844" s="134"/>
      <c r="B844" s="77"/>
      <c r="C844" s="77"/>
      <c r="D844" s="79"/>
      <c r="E844" s="77"/>
      <c r="F844" s="77"/>
      <c r="G844" s="118">
        <f t="shared" si="3"/>
        <v>0</v>
      </c>
      <c r="H844" s="81" t="str">
        <f t="shared" si="1"/>
        <v>—</v>
      </c>
      <c r="I844" s="81" t="str">
        <f t="shared" si="2"/>
        <v/>
      </c>
    </row>
    <row r="845" ht="18.0" customHeight="1">
      <c r="A845" s="132"/>
      <c r="B845" s="72"/>
      <c r="C845" s="72"/>
      <c r="D845" s="74"/>
      <c r="E845" s="72"/>
      <c r="F845" s="72"/>
      <c r="G845" s="114">
        <f t="shared" si="3"/>
        <v>0</v>
      </c>
      <c r="H845" s="76" t="str">
        <f t="shared" si="1"/>
        <v>—</v>
      </c>
      <c r="I845" s="76" t="str">
        <f t="shared" si="2"/>
        <v/>
      </c>
    </row>
    <row r="846" ht="18.0" customHeight="1">
      <c r="A846" s="134"/>
      <c r="B846" s="77"/>
      <c r="C846" s="77"/>
      <c r="D846" s="79"/>
      <c r="E846" s="77"/>
      <c r="F846" s="77"/>
      <c r="G846" s="118">
        <f t="shared" si="3"/>
        <v>0</v>
      </c>
      <c r="H846" s="81" t="str">
        <f t="shared" si="1"/>
        <v>—</v>
      </c>
      <c r="I846" s="81" t="str">
        <f t="shared" si="2"/>
        <v/>
      </c>
    </row>
    <row r="847" ht="18.0" customHeight="1">
      <c r="A847" s="132"/>
      <c r="B847" s="72"/>
      <c r="C847" s="72"/>
      <c r="D847" s="74"/>
      <c r="E847" s="72"/>
      <c r="F847" s="72"/>
      <c r="G847" s="114">
        <f t="shared" si="3"/>
        <v>0</v>
      </c>
      <c r="H847" s="76" t="str">
        <f t="shared" si="1"/>
        <v>—</v>
      </c>
      <c r="I847" s="76" t="str">
        <f t="shared" si="2"/>
        <v/>
      </c>
    </row>
    <row r="848" ht="18.0" customHeight="1">
      <c r="A848" s="134"/>
      <c r="B848" s="77"/>
      <c r="C848" s="77"/>
      <c r="D848" s="79"/>
      <c r="E848" s="77"/>
      <c r="F848" s="77"/>
      <c r="G848" s="118">
        <f t="shared" si="3"/>
        <v>0</v>
      </c>
      <c r="H848" s="81" t="str">
        <f t="shared" si="1"/>
        <v>—</v>
      </c>
      <c r="I848" s="81" t="str">
        <f t="shared" si="2"/>
        <v/>
      </c>
    </row>
    <row r="849" ht="18.0" customHeight="1">
      <c r="A849" s="132"/>
      <c r="B849" s="72"/>
      <c r="C849" s="72"/>
      <c r="D849" s="74"/>
      <c r="E849" s="72"/>
      <c r="F849" s="72"/>
      <c r="G849" s="114">
        <f t="shared" si="3"/>
        <v>0</v>
      </c>
      <c r="H849" s="76" t="str">
        <f t="shared" si="1"/>
        <v>—</v>
      </c>
      <c r="I849" s="76" t="str">
        <f t="shared" si="2"/>
        <v/>
      </c>
    </row>
    <row r="850" ht="18.0" customHeight="1">
      <c r="A850" s="134"/>
      <c r="B850" s="77"/>
      <c r="C850" s="77"/>
      <c r="D850" s="79"/>
      <c r="E850" s="77"/>
      <c r="F850" s="77"/>
      <c r="G850" s="118">
        <f t="shared" si="3"/>
        <v>0</v>
      </c>
      <c r="H850" s="81" t="str">
        <f t="shared" si="1"/>
        <v>—</v>
      </c>
      <c r="I850" s="81" t="str">
        <f t="shared" si="2"/>
        <v/>
      </c>
    </row>
    <row r="851" ht="18.0" customHeight="1">
      <c r="A851" s="132"/>
      <c r="B851" s="72"/>
      <c r="C851" s="72"/>
      <c r="D851" s="74"/>
      <c r="E851" s="72"/>
      <c r="F851" s="72"/>
      <c r="G851" s="114">
        <f t="shared" si="3"/>
        <v>0</v>
      </c>
      <c r="H851" s="76" t="str">
        <f t="shared" si="1"/>
        <v>—</v>
      </c>
      <c r="I851" s="76" t="str">
        <f t="shared" si="2"/>
        <v/>
      </c>
    </row>
    <row r="852" ht="18.0" customHeight="1">
      <c r="A852" s="134"/>
      <c r="B852" s="77"/>
      <c r="C852" s="77"/>
      <c r="D852" s="79"/>
      <c r="E852" s="77"/>
      <c r="F852" s="77"/>
      <c r="G852" s="118">
        <f t="shared" si="3"/>
        <v>0</v>
      </c>
      <c r="H852" s="81" t="str">
        <f t="shared" si="1"/>
        <v>—</v>
      </c>
      <c r="I852" s="81" t="str">
        <f t="shared" si="2"/>
        <v/>
      </c>
    </row>
    <row r="853" ht="18.0" customHeight="1">
      <c r="A853" s="132"/>
      <c r="B853" s="72"/>
      <c r="C853" s="72"/>
      <c r="D853" s="74"/>
      <c r="E853" s="72"/>
      <c r="F853" s="72"/>
      <c r="G853" s="114">
        <f t="shared" si="3"/>
        <v>0</v>
      </c>
      <c r="H853" s="76" t="str">
        <f t="shared" si="1"/>
        <v>—</v>
      </c>
      <c r="I853" s="76" t="str">
        <f t="shared" si="2"/>
        <v/>
      </c>
    </row>
    <row r="854" ht="18.0" customHeight="1">
      <c r="A854" s="134"/>
      <c r="B854" s="77"/>
      <c r="C854" s="77"/>
      <c r="D854" s="79"/>
      <c r="E854" s="77"/>
      <c r="F854" s="77"/>
      <c r="G854" s="118">
        <f t="shared" si="3"/>
        <v>0</v>
      </c>
      <c r="H854" s="81" t="str">
        <f t="shared" si="1"/>
        <v>—</v>
      </c>
      <c r="I854" s="81" t="str">
        <f t="shared" si="2"/>
        <v/>
      </c>
    </row>
    <row r="855" ht="18.0" customHeight="1">
      <c r="A855" s="132"/>
      <c r="B855" s="72"/>
      <c r="C855" s="72"/>
      <c r="D855" s="74"/>
      <c r="E855" s="72"/>
      <c r="F855" s="72"/>
      <c r="G855" s="114">
        <f t="shared" si="3"/>
        <v>0</v>
      </c>
      <c r="H855" s="76" t="str">
        <f t="shared" si="1"/>
        <v>—</v>
      </c>
      <c r="I855" s="76" t="str">
        <f t="shared" si="2"/>
        <v/>
      </c>
    </row>
    <row r="856" ht="18.0" customHeight="1">
      <c r="A856" s="134"/>
      <c r="B856" s="77"/>
      <c r="C856" s="77"/>
      <c r="D856" s="79"/>
      <c r="E856" s="77"/>
      <c r="F856" s="77"/>
      <c r="G856" s="118">
        <f t="shared" si="3"/>
        <v>0</v>
      </c>
      <c r="H856" s="81" t="str">
        <f t="shared" si="1"/>
        <v>—</v>
      </c>
      <c r="I856" s="81" t="str">
        <f t="shared" si="2"/>
        <v/>
      </c>
    </row>
    <row r="857" ht="18.0" customHeight="1">
      <c r="A857" s="132"/>
      <c r="B857" s="72"/>
      <c r="C857" s="72"/>
      <c r="D857" s="74"/>
      <c r="E857" s="72"/>
      <c r="F857" s="72"/>
      <c r="G857" s="114">
        <f t="shared" si="3"/>
        <v>0</v>
      </c>
      <c r="H857" s="76" t="str">
        <f t="shared" si="1"/>
        <v>—</v>
      </c>
      <c r="I857" s="76" t="str">
        <f t="shared" si="2"/>
        <v/>
      </c>
    </row>
    <row r="858" ht="18.0" customHeight="1">
      <c r="A858" s="134"/>
      <c r="B858" s="77"/>
      <c r="C858" s="77"/>
      <c r="D858" s="79"/>
      <c r="E858" s="77"/>
      <c r="F858" s="77"/>
      <c r="G858" s="118">
        <f t="shared" si="3"/>
        <v>0</v>
      </c>
      <c r="H858" s="81" t="str">
        <f t="shared" si="1"/>
        <v>—</v>
      </c>
      <c r="I858" s="81" t="str">
        <f t="shared" si="2"/>
        <v/>
      </c>
    </row>
    <row r="859" ht="18.0" customHeight="1">
      <c r="A859" s="132"/>
      <c r="B859" s="72"/>
      <c r="C859" s="72"/>
      <c r="D859" s="74"/>
      <c r="E859" s="72"/>
      <c r="F859" s="72"/>
      <c r="G859" s="114">
        <f t="shared" si="3"/>
        <v>0</v>
      </c>
      <c r="H859" s="76" t="str">
        <f t="shared" si="1"/>
        <v>—</v>
      </c>
      <c r="I859" s="76" t="str">
        <f t="shared" si="2"/>
        <v/>
      </c>
    </row>
    <row r="860" ht="18.0" customHeight="1">
      <c r="A860" s="134"/>
      <c r="B860" s="77"/>
      <c r="C860" s="77"/>
      <c r="D860" s="79"/>
      <c r="E860" s="77"/>
      <c r="F860" s="77"/>
      <c r="G860" s="118">
        <f t="shared" si="3"/>
        <v>0</v>
      </c>
      <c r="H860" s="81" t="str">
        <f t="shared" si="1"/>
        <v>—</v>
      </c>
      <c r="I860" s="81" t="str">
        <f t="shared" si="2"/>
        <v/>
      </c>
    </row>
    <row r="861" ht="18.0" customHeight="1">
      <c r="A861" s="132"/>
      <c r="B861" s="72"/>
      <c r="C861" s="72"/>
      <c r="D861" s="74"/>
      <c r="E861" s="72"/>
      <c r="F861" s="72"/>
      <c r="G861" s="114">
        <f t="shared" si="3"/>
        <v>0</v>
      </c>
      <c r="H861" s="76" t="str">
        <f t="shared" si="1"/>
        <v>—</v>
      </c>
      <c r="I861" s="76" t="str">
        <f t="shared" si="2"/>
        <v/>
      </c>
    </row>
    <row r="862" ht="18.0" customHeight="1">
      <c r="A862" s="134"/>
      <c r="B862" s="77"/>
      <c r="C862" s="77"/>
      <c r="D862" s="79"/>
      <c r="E862" s="77"/>
      <c r="F862" s="77"/>
      <c r="G862" s="118">
        <f t="shared" si="3"/>
        <v>0</v>
      </c>
      <c r="H862" s="81" t="str">
        <f t="shared" si="1"/>
        <v>—</v>
      </c>
      <c r="I862" s="81" t="str">
        <f t="shared" si="2"/>
        <v/>
      </c>
    </row>
    <row r="863" ht="18.0" customHeight="1">
      <c r="A863" s="132"/>
      <c r="B863" s="72"/>
      <c r="C863" s="72"/>
      <c r="D863" s="74"/>
      <c r="E863" s="72"/>
      <c r="F863" s="72"/>
      <c r="G863" s="114">
        <f t="shared" si="3"/>
        <v>0</v>
      </c>
      <c r="H863" s="76" t="str">
        <f t="shared" si="1"/>
        <v>—</v>
      </c>
      <c r="I863" s="76" t="str">
        <f t="shared" si="2"/>
        <v/>
      </c>
    </row>
    <row r="864" ht="18.0" customHeight="1">
      <c r="A864" s="134"/>
      <c r="B864" s="77"/>
      <c r="C864" s="77"/>
      <c r="D864" s="79"/>
      <c r="E864" s="77"/>
      <c r="F864" s="77"/>
      <c r="G864" s="118">
        <f t="shared" si="3"/>
        <v>0</v>
      </c>
      <c r="H864" s="81" t="str">
        <f t="shared" si="1"/>
        <v>—</v>
      </c>
      <c r="I864" s="81" t="str">
        <f t="shared" si="2"/>
        <v/>
      </c>
    </row>
    <row r="865" ht="18.0" customHeight="1">
      <c r="A865" s="132"/>
      <c r="B865" s="72"/>
      <c r="C865" s="72"/>
      <c r="D865" s="74"/>
      <c r="E865" s="72"/>
      <c r="F865" s="72"/>
      <c r="G865" s="114">
        <f t="shared" si="3"/>
        <v>0</v>
      </c>
      <c r="H865" s="76" t="str">
        <f t="shared" si="1"/>
        <v>—</v>
      </c>
      <c r="I865" s="76" t="str">
        <f t="shared" si="2"/>
        <v/>
      </c>
    </row>
    <row r="866" ht="18.0" customHeight="1">
      <c r="A866" s="134"/>
      <c r="B866" s="77"/>
      <c r="C866" s="77"/>
      <c r="D866" s="79"/>
      <c r="E866" s="77"/>
      <c r="F866" s="77"/>
      <c r="G866" s="118">
        <f t="shared" si="3"/>
        <v>0</v>
      </c>
      <c r="H866" s="81" t="str">
        <f t="shared" si="1"/>
        <v>—</v>
      </c>
      <c r="I866" s="81" t="str">
        <f t="shared" si="2"/>
        <v/>
      </c>
    </row>
    <row r="867" ht="18.0" customHeight="1">
      <c r="A867" s="132"/>
      <c r="B867" s="72"/>
      <c r="C867" s="72"/>
      <c r="D867" s="74"/>
      <c r="E867" s="72"/>
      <c r="F867" s="72"/>
      <c r="G867" s="114">
        <f t="shared" si="3"/>
        <v>0</v>
      </c>
      <c r="H867" s="76" t="str">
        <f t="shared" si="1"/>
        <v>—</v>
      </c>
      <c r="I867" s="76" t="str">
        <f t="shared" si="2"/>
        <v/>
      </c>
    </row>
    <row r="868" ht="18.0" customHeight="1">
      <c r="A868" s="134"/>
      <c r="B868" s="77"/>
      <c r="C868" s="77"/>
      <c r="D868" s="79"/>
      <c r="E868" s="77"/>
      <c r="F868" s="77"/>
      <c r="G868" s="118">
        <f t="shared" si="3"/>
        <v>0</v>
      </c>
      <c r="H868" s="81" t="str">
        <f t="shared" si="1"/>
        <v>—</v>
      </c>
      <c r="I868" s="81" t="str">
        <f t="shared" si="2"/>
        <v/>
      </c>
    </row>
    <row r="869" ht="18.0" customHeight="1">
      <c r="A869" s="132"/>
      <c r="B869" s="72"/>
      <c r="C869" s="72"/>
      <c r="D869" s="74"/>
      <c r="E869" s="72"/>
      <c r="F869" s="72"/>
      <c r="G869" s="114">
        <f t="shared" si="3"/>
        <v>0</v>
      </c>
      <c r="H869" s="76" t="str">
        <f t="shared" si="1"/>
        <v>—</v>
      </c>
      <c r="I869" s="76" t="str">
        <f t="shared" si="2"/>
        <v/>
      </c>
    </row>
    <row r="870" ht="18.0" customHeight="1">
      <c r="A870" s="134"/>
      <c r="B870" s="77"/>
      <c r="C870" s="77"/>
      <c r="D870" s="79"/>
      <c r="E870" s="77"/>
      <c r="F870" s="77"/>
      <c r="G870" s="118">
        <f t="shared" si="3"/>
        <v>0</v>
      </c>
      <c r="H870" s="81" t="str">
        <f t="shared" si="1"/>
        <v>—</v>
      </c>
      <c r="I870" s="81" t="str">
        <f t="shared" si="2"/>
        <v/>
      </c>
    </row>
    <row r="871" ht="18.0" customHeight="1">
      <c r="A871" s="132"/>
      <c r="B871" s="72"/>
      <c r="C871" s="72"/>
      <c r="D871" s="74"/>
      <c r="E871" s="72"/>
      <c r="F871" s="72"/>
      <c r="G871" s="114">
        <f t="shared" si="3"/>
        <v>0</v>
      </c>
      <c r="H871" s="76" t="str">
        <f t="shared" si="1"/>
        <v>—</v>
      </c>
      <c r="I871" s="76" t="str">
        <f t="shared" si="2"/>
        <v/>
      </c>
    </row>
    <row r="872" ht="18.0" customHeight="1">
      <c r="A872" s="134"/>
      <c r="B872" s="77"/>
      <c r="C872" s="77"/>
      <c r="D872" s="79"/>
      <c r="E872" s="77"/>
      <c r="F872" s="77"/>
      <c r="G872" s="118">
        <f t="shared" si="3"/>
        <v>0</v>
      </c>
      <c r="H872" s="81" t="str">
        <f t="shared" si="1"/>
        <v>—</v>
      </c>
      <c r="I872" s="81" t="str">
        <f t="shared" si="2"/>
        <v/>
      </c>
    </row>
    <row r="873" ht="18.0" customHeight="1">
      <c r="A873" s="132"/>
      <c r="B873" s="72"/>
      <c r="C873" s="72"/>
      <c r="D873" s="74"/>
      <c r="E873" s="72"/>
      <c r="F873" s="72"/>
      <c r="G873" s="114">
        <f t="shared" si="3"/>
        <v>0</v>
      </c>
      <c r="H873" s="76" t="str">
        <f t="shared" si="1"/>
        <v>—</v>
      </c>
      <c r="I873" s="76" t="str">
        <f t="shared" si="2"/>
        <v/>
      </c>
    </row>
    <row r="874" ht="18.0" customHeight="1">
      <c r="A874" s="134"/>
      <c r="B874" s="77"/>
      <c r="C874" s="77"/>
      <c r="D874" s="79"/>
      <c r="E874" s="77"/>
      <c r="F874" s="77"/>
      <c r="G874" s="118">
        <f t="shared" si="3"/>
        <v>0</v>
      </c>
      <c r="H874" s="81" t="str">
        <f t="shared" si="1"/>
        <v>—</v>
      </c>
      <c r="I874" s="81" t="str">
        <f t="shared" si="2"/>
        <v/>
      </c>
    </row>
    <row r="875" ht="18.0" customHeight="1">
      <c r="A875" s="132"/>
      <c r="B875" s="72"/>
      <c r="C875" s="72"/>
      <c r="D875" s="74"/>
      <c r="E875" s="72"/>
      <c r="F875" s="72"/>
      <c r="G875" s="114">
        <f t="shared" si="3"/>
        <v>0</v>
      </c>
      <c r="H875" s="76" t="str">
        <f t="shared" si="1"/>
        <v>—</v>
      </c>
      <c r="I875" s="76" t="str">
        <f t="shared" si="2"/>
        <v/>
      </c>
    </row>
    <row r="876" ht="18.0" customHeight="1">
      <c r="A876" s="134"/>
      <c r="B876" s="77"/>
      <c r="C876" s="77"/>
      <c r="D876" s="79"/>
      <c r="E876" s="77"/>
      <c r="F876" s="77"/>
      <c r="G876" s="118">
        <f t="shared" si="3"/>
        <v>0</v>
      </c>
      <c r="H876" s="81" t="str">
        <f t="shared" si="1"/>
        <v>—</v>
      </c>
      <c r="I876" s="81" t="str">
        <f t="shared" si="2"/>
        <v/>
      </c>
    </row>
    <row r="877" ht="18.0" customHeight="1">
      <c r="A877" s="132"/>
      <c r="B877" s="72"/>
      <c r="C877" s="72"/>
      <c r="D877" s="74"/>
      <c r="E877" s="72"/>
      <c r="F877" s="72"/>
      <c r="G877" s="114">
        <f t="shared" si="3"/>
        <v>0</v>
      </c>
      <c r="H877" s="76" t="str">
        <f t="shared" si="1"/>
        <v>—</v>
      </c>
      <c r="I877" s="76" t="str">
        <f t="shared" si="2"/>
        <v/>
      </c>
    </row>
    <row r="878" ht="18.0" customHeight="1">
      <c r="A878" s="134"/>
      <c r="B878" s="77"/>
      <c r="C878" s="77"/>
      <c r="D878" s="79"/>
      <c r="E878" s="77"/>
      <c r="F878" s="77"/>
      <c r="G878" s="118">
        <f t="shared" si="3"/>
        <v>0</v>
      </c>
      <c r="H878" s="81" t="str">
        <f t="shared" si="1"/>
        <v>—</v>
      </c>
      <c r="I878" s="81" t="str">
        <f t="shared" si="2"/>
        <v/>
      </c>
    </row>
    <row r="879" ht="18.0" customHeight="1">
      <c r="A879" s="132"/>
      <c r="B879" s="72"/>
      <c r="C879" s="72"/>
      <c r="D879" s="74"/>
      <c r="E879" s="72"/>
      <c r="F879" s="72"/>
      <c r="G879" s="114">
        <f t="shared" si="3"/>
        <v>0</v>
      </c>
      <c r="H879" s="76" t="str">
        <f t="shared" si="1"/>
        <v>—</v>
      </c>
      <c r="I879" s="76" t="str">
        <f t="shared" si="2"/>
        <v/>
      </c>
    </row>
    <row r="880" ht="18.0" customHeight="1">
      <c r="A880" s="134"/>
      <c r="B880" s="77"/>
      <c r="C880" s="77"/>
      <c r="D880" s="79"/>
      <c r="E880" s="77"/>
      <c r="F880" s="77"/>
      <c r="G880" s="118">
        <f t="shared" si="3"/>
        <v>0</v>
      </c>
      <c r="H880" s="81" t="str">
        <f t="shared" si="1"/>
        <v>—</v>
      </c>
      <c r="I880" s="81" t="str">
        <f t="shared" si="2"/>
        <v/>
      </c>
    </row>
    <row r="881" ht="18.0" customHeight="1">
      <c r="A881" s="132"/>
      <c r="B881" s="72"/>
      <c r="C881" s="72"/>
      <c r="D881" s="74"/>
      <c r="E881" s="72"/>
      <c r="F881" s="72"/>
      <c r="G881" s="114">
        <f t="shared" si="3"/>
        <v>0</v>
      </c>
      <c r="H881" s="76" t="str">
        <f t="shared" si="1"/>
        <v>—</v>
      </c>
      <c r="I881" s="76" t="str">
        <f t="shared" si="2"/>
        <v/>
      </c>
    </row>
    <row r="882" ht="18.0" customHeight="1">
      <c r="A882" s="134"/>
      <c r="B882" s="77"/>
      <c r="C882" s="77"/>
      <c r="D882" s="79"/>
      <c r="E882" s="77"/>
      <c r="F882" s="77"/>
      <c r="G882" s="118">
        <f t="shared" si="3"/>
        <v>0</v>
      </c>
      <c r="H882" s="81" t="str">
        <f t="shared" si="1"/>
        <v>—</v>
      </c>
      <c r="I882" s="81" t="str">
        <f t="shared" si="2"/>
        <v/>
      </c>
    </row>
    <row r="883" ht="18.0" customHeight="1">
      <c r="A883" s="132"/>
      <c r="B883" s="72"/>
      <c r="C883" s="72"/>
      <c r="D883" s="74"/>
      <c r="E883" s="72"/>
      <c r="F883" s="72"/>
      <c r="G883" s="114">
        <f t="shared" si="3"/>
        <v>0</v>
      </c>
      <c r="H883" s="76" t="str">
        <f t="shared" si="1"/>
        <v>—</v>
      </c>
      <c r="I883" s="76" t="str">
        <f t="shared" si="2"/>
        <v/>
      </c>
    </row>
    <row r="884" ht="18.0" customHeight="1">
      <c r="A884" s="134"/>
      <c r="B884" s="77"/>
      <c r="C884" s="77"/>
      <c r="D884" s="79"/>
      <c r="E884" s="77"/>
      <c r="F884" s="77"/>
      <c r="G884" s="118">
        <f t="shared" si="3"/>
        <v>0</v>
      </c>
      <c r="H884" s="81" t="str">
        <f t="shared" si="1"/>
        <v>—</v>
      </c>
      <c r="I884" s="81" t="str">
        <f t="shared" si="2"/>
        <v/>
      </c>
    </row>
    <row r="885" ht="18.0" customHeight="1">
      <c r="A885" s="132"/>
      <c r="B885" s="72"/>
      <c r="C885" s="72"/>
      <c r="D885" s="74"/>
      <c r="E885" s="72"/>
      <c r="F885" s="72"/>
      <c r="G885" s="114">
        <f t="shared" si="3"/>
        <v>0</v>
      </c>
      <c r="H885" s="76" t="str">
        <f t="shared" si="1"/>
        <v>—</v>
      </c>
      <c r="I885" s="76" t="str">
        <f t="shared" si="2"/>
        <v/>
      </c>
    </row>
    <row r="886" ht="18.0" customHeight="1">
      <c r="A886" s="134"/>
      <c r="B886" s="77"/>
      <c r="C886" s="77"/>
      <c r="D886" s="79"/>
      <c r="E886" s="77"/>
      <c r="F886" s="77"/>
      <c r="G886" s="118">
        <f t="shared" si="3"/>
        <v>0</v>
      </c>
      <c r="H886" s="81" t="str">
        <f t="shared" si="1"/>
        <v>—</v>
      </c>
      <c r="I886" s="81" t="str">
        <f t="shared" si="2"/>
        <v/>
      </c>
    </row>
    <row r="887" ht="18.0" customHeight="1">
      <c r="A887" s="132"/>
      <c r="B887" s="72"/>
      <c r="C887" s="72"/>
      <c r="D887" s="74"/>
      <c r="E887" s="72"/>
      <c r="F887" s="72"/>
      <c r="G887" s="114">
        <f t="shared" si="3"/>
        <v>0</v>
      </c>
      <c r="H887" s="76" t="str">
        <f t="shared" si="1"/>
        <v>—</v>
      </c>
      <c r="I887" s="76" t="str">
        <f t="shared" si="2"/>
        <v/>
      </c>
    </row>
    <row r="888" ht="18.0" customHeight="1">
      <c r="A888" s="134"/>
      <c r="B888" s="77"/>
      <c r="C888" s="77"/>
      <c r="D888" s="79"/>
      <c r="E888" s="77"/>
      <c r="F888" s="77"/>
      <c r="G888" s="118">
        <f t="shared" si="3"/>
        <v>0</v>
      </c>
      <c r="H888" s="81" t="str">
        <f t="shared" si="1"/>
        <v>—</v>
      </c>
      <c r="I888" s="81" t="str">
        <f t="shared" si="2"/>
        <v/>
      </c>
    </row>
    <row r="889" ht="18.0" customHeight="1">
      <c r="A889" s="132"/>
      <c r="B889" s="72"/>
      <c r="C889" s="72"/>
      <c r="D889" s="74"/>
      <c r="E889" s="72"/>
      <c r="F889" s="72"/>
      <c r="G889" s="114">
        <f t="shared" si="3"/>
        <v>0</v>
      </c>
      <c r="H889" s="76" t="str">
        <f t="shared" si="1"/>
        <v>—</v>
      </c>
      <c r="I889" s="76" t="str">
        <f t="shared" si="2"/>
        <v/>
      </c>
    </row>
    <row r="890" ht="18.0" customHeight="1">
      <c r="A890" s="134"/>
      <c r="B890" s="77"/>
      <c r="C890" s="77"/>
      <c r="D890" s="79"/>
      <c r="E890" s="77"/>
      <c r="F890" s="77"/>
      <c r="G890" s="118">
        <f t="shared" si="3"/>
        <v>0</v>
      </c>
      <c r="H890" s="81" t="str">
        <f t="shared" si="1"/>
        <v>—</v>
      </c>
      <c r="I890" s="81" t="str">
        <f t="shared" si="2"/>
        <v/>
      </c>
    </row>
    <row r="891" ht="18.0" customHeight="1">
      <c r="A891" s="132"/>
      <c r="B891" s="72"/>
      <c r="C891" s="72"/>
      <c r="D891" s="74"/>
      <c r="E891" s="72"/>
      <c r="F891" s="72"/>
      <c r="G891" s="114">
        <f t="shared" si="3"/>
        <v>0</v>
      </c>
      <c r="H891" s="76" t="str">
        <f t="shared" si="1"/>
        <v>—</v>
      </c>
      <c r="I891" s="76" t="str">
        <f t="shared" si="2"/>
        <v/>
      </c>
    </row>
    <row r="892" ht="18.0" customHeight="1">
      <c r="A892" s="134"/>
      <c r="B892" s="77"/>
      <c r="C892" s="77"/>
      <c r="D892" s="79"/>
      <c r="E892" s="77"/>
      <c r="F892" s="77"/>
      <c r="G892" s="118">
        <f t="shared" si="3"/>
        <v>0</v>
      </c>
      <c r="H892" s="81" t="str">
        <f t="shared" si="1"/>
        <v>—</v>
      </c>
      <c r="I892" s="81" t="str">
        <f t="shared" si="2"/>
        <v/>
      </c>
    </row>
    <row r="893" ht="18.0" customHeight="1">
      <c r="A893" s="132"/>
      <c r="B893" s="72"/>
      <c r="C893" s="72"/>
      <c r="D893" s="74"/>
      <c r="E893" s="72"/>
      <c r="F893" s="72"/>
      <c r="G893" s="114">
        <f t="shared" si="3"/>
        <v>0</v>
      </c>
      <c r="H893" s="76" t="str">
        <f t="shared" si="1"/>
        <v>—</v>
      </c>
      <c r="I893" s="76" t="str">
        <f t="shared" si="2"/>
        <v/>
      </c>
    </row>
    <row r="894" ht="18.0" customHeight="1">
      <c r="A894" s="134"/>
      <c r="B894" s="77"/>
      <c r="C894" s="77"/>
      <c r="D894" s="79"/>
      <c r="E894" s="77"/>
      <c r="F894" s="77"/>
      <c r="G894" s="118">
        <f t="shared" si="3"/>
        <v>0</v>
      </c>
      <c r="H894" s="81" t="str">
        <f t="shared" si="1"/>
        <v>—</v>
      </c>
      <c r="I894" s="81" t="str">
        <f t="shared" si="2"/>
        <v/>
      </c>
    </row>
    <row r="895" ht="18.0" customHeight="1">
      <c r="A895" s="132"/>
      <c r="B895" s="72"/>
      <c r="C895" s="72"/>
      <c r="D895" s="74"/>
      <c r="E895" s="72"/>
      <c r="F895" s="72"/>
      <c r="G895" s="114">
        <f t="shared" si="3"/>
        <v>0</v>
      </c>
      <c r="H895" s="76" t="str">
        <f t="shared" si="1"/>
        <v>—</v>
      </c>
      <c r="I895" s="76" t="str">
        <f t="shared" si="2"/>
        <v/>
      </c>
    </row>
    <row r="896" ht="18.0" customHeight="1">
      <c r="A896" s="134"/>
      <c r="B896" s="77"/>
      <c r="C896" s="77"/>
      <c r="D896" s="79"/>
      <c r="E896" s="77"/>
      <c r="F896" s="77"/>
      <c r="G896" s="118">
        <f t="shared" si="3"/>
        <v>0</v>
      </c>
      <c r="H896" s="81" t="str">
        <f t="shared" si="1"/>
        <v>—</v>
      </c>
      <c r="I896" s="81" t="str">
        <f t="shared" si="2"/>
        <v/>
      </c>
    </row>
    <row r="897" ht="18.0" customHeight="1">
      <c r="A897" s="132"/>
      <c r="B897" s="72"/>
      <c r="C897" s="72"/>
      <c r="D897" s="74"/>
      <c r="E897" s="72"/>
      <c r="F897" s="72"/>
      <c r="G897" s="114">
        <f t="shared" si="3"/>
        <v>0</v>
      </c>
      <c r="H897" s="76" t="str">
        <f t="shared" si="1"/>
        <v>—</v>
      </c>
      <c r="I897" s="76" t="str">
        <f t="shared" si="2"/>
        <v/>
      </c>
    </row>
    <row r="898" ht="18.0" customHeight="1">
      <c r="A898" s="134"/>
      <c r="B898" s="77"/>
      <c r="C898" s="77"/>
      <c r="D898" s="79"/>
      <c r="E898" s="77"/>
      <c r="F898" s="77"/>
      <c r="G898" s="118">
        <f t="shared" si="3"/>
        <v>0</v>
      </c>
      <c r="H898" s="81" t="str">
        <f t="shared" si="1"/>
        <v>—</v>
      </c>
      <c r="I898" s="81" t="str">
        <f t="shared" si="2"/>
        <v/>
      </c>
    </row>
    <row r="899" ht="18.0" customHeight="1">
      <c r="A899" s="132"/>
      <c r="B899" s="72"/>
      <c r="C899" s="72"/>
      <c r="D899" s="74"/>
      <c r="E899" s="72"/>
      <c r="F899" s="72"/>
      <c r="G899" s="114">
        <f t="shared" si="3"/>
        <v>0</v>
      </c>
      <c r="H899" s="76" t="str">
        <f t="shared" si="1"/>
        <v>—</v>
      </c>
      <c r="I899" s="76" t="str">
        <f t="shared" si="2"/>
        <v/>
      </c>
    </row>
    <row r="900" ht="18.0" customHeight="1">
      <c r="A900" s="134"/>
      <c r="B900" s="77"/>
      <c r="C900" s="77"/>
      <c r="D900" s="79"/>
      <c r="E900" s="77"/>
      <c r="F900" s="77"/>
      <c r="G900" s="118">
        <f t="shared" si="3"/>
        <v>0</v>
      </c>
      <c r="H900" s="81" t="str">
        <f t="shared" si="1"/>
        <v>—</v>
      </c>
      <c r="I900" s="81" t="str">
        <f t="shared" si="2"/>
        <v/>
      </c>
    </row>
    <row r="901" ht="18.0" customHeight="1">
      <c r="A901" s="132"/>
      <c r="B901" s="72"/>
      <c r="C901" s="72"/>
      <c r="D901" s="74"/>
      <c r="E901" s="72"/>
      <c r="F901" s="72"/>
      <c r="G901" s="114">
        <f t="shared" si="3"/>
        <v>0</v>
      </c>
      <c r="H901" s="76" t="str">
        <f t="shared" si="1"/>
        <v>—</v>
      </c>
      <c r="I901" s="76" t="str">
        <f t="shared" si="2"/>
        <v/>
      </c>
    </row>
    <row r="902" ht="18.0" customHeight="1">
      <c r="A902" s="134"/>
      <c r="B902" s="77"/>
      <c r="C902" s="77"/>
      <c r="D902" s="79"/>
      <c r="E902" s="77"/>
      <c r="F902" s="77"/>
      <c r="G902" s="118">
        <f t="shared" si="3"/>
        <v>0</v>
      </c>
      <c r="H902" s="81" t="str">
        <f t="shared" si="1"/>
        <v>—</v>
      </c>
      <c r="I902" s="81" t="str">
        <f t="shared" si="2"/>
        <v/>
      </c>
    </row>
    <row r="903" ht="18.0" customHeight="1">
      <c r="A903" s="132"/>
      <c r="B903" s="72"/>
      <c r="C903" s="72"/>
      <c r="D903" s="74"/>
      <c r="E903" s="72"/>
      <c r="F903" s="72"/>
      <c r="G903" s="114">
        <f t="shared" si="3"/>
        <v>0</v>
      </c>
      <c r="H903" s="76" t="str">
        <f t="shared" si="1"/>
        <v>—</v>
      </c>
      <c r="I903" s="76" t="str">
        <f t="shared" si="2"/>
        <v/>
      </c>
    </row>
    <row r="904" ht="18.0" customHeight="1">
      <c r="A904" s="134"/>
      <c r="B904" s="77"/>
      <c r="C904" s="77"/>
      <c r="D904" s="79"/>
      <c r="E904" s="77"/>
      <c r="F904" s="77"/>
      <c r="G904" s="118">
        <f t="shared" si="3"/>
        <v>0</v>
      </c>
      <c r="H904" s="81" t="str">
        <f t="shared" si="1"/>
        <v>—</v>
      </c>
      <c r="I904" s="81" t="str">
        <f t="shared" si="2"/>
        <v/>
      </c>
    </row>
    <row r="905" ht="18.0" customHeight="1">
      <c r="A905" s="132"/>
      <c r="B905" s="72"/>
      <c r="C905" s="72"/>
      <c r="D905" s="74"/>
      <c r="E905" s="72"/>
      <c r="F905" s="72"/>
      <c r="G905" s="114">
        <f t="shared" si="3"/>
        <v>0</v>
      </c>
      <c r="H905" s="76" t="str">
        <f t="shared" si="1"/>
        <v>—</v>
      </c>
      <c r="I905" s="76" t="str">
        <f t="shared" si="2"/>
        <v/>
      </c>
    </row>
    <row r="906" ht="18.0" customHeight="1">
      <c r="A906" s="134"/>
      <c r="B906" s="77"/>
      <c r="C906" s="77"/>
      <c r="D906" s="79"/>
      <c r="E906" s="77"/>
      <c r="F906" s="77"/>
      <c r="G906" s="118">
        <f t="shared" si="3"/>
        <v>0</v>
      </c>
      <c r="H906" s="81" t="str">
        <f t="shared" si="1"/>
        <v>—</v>
      </c>
      <c r="I906" s="81" t="str">
        <f t="shared" si="2"/>
        <v/>
      </c>
    </row>
    <row r="907" ht="18.0" customHeight="1">
      <c r="A907" s="132"/>
      <c r="B907" s="72"/>
      <c r="C907" s="72"/>
      <c r="D907" s="74"/>
      <c r="E907" s="72"/>
      <c r="F907" s="72"/>
      <c r="G907" s="114">
        <f t="shared" si="3"/>
        <v>0</v>
      </c>
      <c r="H907" s="76" t="str">
        <f t="shared" si="1"/>
        <v>—</v>
      </c>
      <c r="I907" s="76" t="str">
        <f t="shared" si="2"/>
        <v/>
      </c>
    </row>
    <row r="908" ht="18.0" customHeight="1">
      <c r="A908" s="134"/>
      <c r="B908" s="77"/>
      <c r="C908" s="77"/>
      <c r="D908" s="79"/>
      <c r="E908" s="77"/>
      <c r="F908" s="77"/>
      <c r="G908" s="118">
        <f t="shared" si="3"/>
        <v>0</v>
      </c>
      <c r="H908" s="81" t="str">
        <f t="shared" si="1"/>
        <v>—</v>
      </c>
      <c r="I908" s="81" t="str">
        <f t="shared" si="2"/>
        <v/>
      </c>
    </row>
    <row r="909" ht="18.0" customHeight="1">
      <c r="A909" s="132"/>
      <c r="B909" s="72"/>
      <c r="C909" s="72"/>
      <c r="D909" s="74"/>
      <c r="E909" s="72"/>
      <c r="F909" s="72"/>
      <c r="G909" s="114">
        <f t="shared" si="3"/>
        <v>0</v>
      </c>
      <c r="H909" s="76" t="str">
        <f t="shared" si="1"/>
        <v>—</v>
      </c>
      <c r="I909" s="76" t="str">
        <f t="shared" si="2"/>
        <v/>
      </c>
    </row>
    <row r="910" ht="18.0" customHeight="1">
      <c r="A910" s="134"/>
      <c r="B910" s="77"/>
      <c r="C910" s="77"/>
      <c r="D910" s="79"/>
      <c r="E910" s="77"/>
      <c r="F910" s="77"/>
      <c r="G910" s="118">
        <f t="shared" si="3"/>
        <v>0</v>
      </c>
      <c r="H910" s="81" t="str">
        <f t="shared" si="1"/>
        <v>—</v>
      </c>
      <c r="I910" s="81" t="str">
        <f t="shared" si="2"/>
        <v/>
      </c>
    </row>
    <row r="911" ht="18.0" customHeight="1">
      <c r="A911" s="132"/>
      <c r="B911" s="72"/>
      <c r="C911" s="72"/>
      <c r="D911" s="74"/>
      <c r="E911" s="72"/>
      <c r="F911" s="72"/>
      <c r="G911" s="114">
        <f t="shared" si="3"/>
        <v>0</v>
      </c>
      <c r="H911" s="76" t="str">
        <f t="shared" si="1"/>
        <v>—</v>
      </c>
      <c r="I911" s="76" t="str">
        <f t="shared" si="2"/>
        <v/>
      </c>
    </row>
    <row r="912" ht="18.0" customHeight="1">
      <c r="A912" s="134"/>
      <c r="B912" s="77"/>
      <c r="C912" s="77"/>
      <c r="D912" s="79"/>
      <c r="E912" s="77"/>
      <c r="F912" s="77"/>
      <c r="G912" s="118">
        <f t="shared" si="3"/>
        <v>0</v>
      </c>
      <c r="H912" s="81" t="str">
        <f t="shared" si="1"/>
        <v>—</v>
      </c>
      <c r="I912" s="81" t="str">
        <f t="shared" si="2"/>
        <v/>
      </c>
    </row>
    <row r="913" ht="18.0" customHeight="1">
      <c r="A913" s="132"/>
      <c r="B913" s="72"/>
      <c r="C913" s="72"/>
      <c r="D913" s="74"/>
      <c r="E913" s="72"/>
      <c r="F913" s="72"/>
      <c r="G913" s="114">
        <f t="shared" si="3"/>
        <v>0</v>
      </c>
      <c r="H913" s="76" t="str">
        <f t="shared" si="1"/>
        <v>—</v>
      </c>
      <c r="I913" s="76" t="str">
        <f t="shared" si="2"/>
        <v/>
      </c>
    </row>
    <row r="914" ht="18.0" customHeight="1">
      <c r="A914" s="134"/>
      <c r="B914" s="77"/>
      <c r="C914" s="77"/>
      <c r="D914" s="79"/>
      <c r="E914" s="77"/>
      <c r="F914" s="77"/>
      <c r="G914" s="118">
        <f t="shared" si="3"/>
        <v>0</v>
      </c>
      <c r="H914" s="81" t="str">
        <f t="shared" si="1"/>
        <v>—</v>
      </c>
      <c r="I914" s="81" t="str">
        <f t="shared" si="2"/>
        <v/>
      </c>
    </row>
    <row r="915" ht="18.0" customHeight="1">
      <c r="A915" s="132"/>
      <c r="B915" s="72"/>
      <c r="C915" s="72"/>
      <c r="D915" s="74"/>
      <c r="E915" s="72"/>
      <c r="F915" s="72"/>
      <c r="G915" s="114">
        <f t="shared" si="3"/>
        <v>0</v>
      </c>
      <c r="H915" s="76" t="str">
        <f t="shared" si="1"/>
        <v>—</v>
      </c>
      <c r="I915" s="76" t="str">
        <f t="shared" si="2"/>
        <v/>
      </c>
    </row>
    <row r="916" ht="18.0" customHeight="1">
      <c r="A916" s="134"/>
      <c r="B916" s="77"/>
      <c r="C916" s="77"/>
      <c r="D916" s="79"/>
      <c r="E916" s="77"/>
      <c r="F916" s="77"/>
      <c r="G916" s="118">
        <f t="shared" si="3"/>
        <v>0</v>
      </c>
      <c r="H916" s="81" t="str">
        <f t="shared" si="1"/>
        <v>—</v>
      </c>
      <c r="I916" s="81" t="str">
        <f t="shared" si="2"/>
        <v/>
      </c>
    </row>
    <row r="917" ht="18.0" customHeight="1">
      <c r="A917" s="132"/>
      <c r="B917" s="72"/>
      <c r="C917" s="72"/>
      <c r="D917" s="74"/>
      <c r="E917" s="72"/>
      <c r="F917" s="72"/>
      <c r="G917" s="114">
        <f t="shared" si="3"/>
        <v>0</v>
      </c>
      <c r="H917" s="76" t="str">
        <f t="shared" si="1"/>
        <v>—</v>
      </c>
      <c r="I917" s="76" t="str">
        <f t="shared" si="2"/>
        <v/>
      </c>
    </row>
    <row r="918" ht="18.0" customHeight="1">
      <c r="A918" s="134"/>
      <c r="B918" s="77"/>
      <c r="C918" s="77"/>
      <c r="D918" s="79"/>
      <c r="E918" s="77"/>
      <c r="F918" s="77"/>
      <c r="G918" s="118">
        <f t="shared" si="3"/>
        <v>0</v>
      </c>
      <c r="H918" s="81" t="str">
        <f t="shared" si="1"/>
        <v>—</v>
      </c>
      <c r="I918" s="81" t="str">
        <f t="shared" si="2"/>
        <v/>
      </c>
    </row>
    <row r="919" ht="18.0" customHeight="1">
      <c r="A919" s="132"/>
      <c r="B919" s="72"/>
      <c r="C919" s="72"/>
      <c r="D919" s="74"/>
      <c r="E919" s="72"/>
      <c r="F919" s="72"/>
      <c r="G919" s="114">
        <f t="shared" si="3"/>
        <v>0</v>
      </c>
      <c r="H919" s="76" t="str">
        <f t="shared" si="1"/>
        <v>—</v>
      </c>
      <c r="I919" s="76" t="str">
        <f t="shared" si="2"/>
        <v/>
      </c>
    </row>
    <row r="920" ht="18.0" customHeight="1">
      <c r="A920" s="134"/>
      <c r="B920" s="77"/>
      <c r="C920" s="77"/>
      <c r="D920" s="79"/>
      <c r="E920" s="77"/>
      <c r="F920" s="77"/>
      <c r="G920" s="118">
        <f t="shared" si="3"/>
        <v>0</v>
      </c>
      <c r="H920" s="81" t="str">
        <f t="shared" si="1"/>
        <v>—</v>
      </c>
      <c r="I920" s="81" t="str">
        <f t="shared" si="2"/>
        <v/>
      </c>
    </row>
    <row r="921" ht="18.0" customHeight="1">
      <c r="A921" s="132"/>
      <c r="B921" s="72"/>
      <c r="C921" s="72"/>
      <c r="D921" s="74"/>
      <c r="E921" s="72"/>
      <c r="F921" s="72"/>
      <c r="G921" s="114">
        <f t="shared" si="3"/>
        <v>0</v>
      </c>
      <c r="H921" s="76" t="str">
        <f t="shared" si="1"/>
        <v>—</v>
      </c>
      <c r="I921" s="76" t="str">
        <f t="shared" si="2"/>
        <v/>
      </c>
    </row>
    <row r="922" ht="18.0" customHeight="1">
      <c r="A922" s="134"/>
      <c r="B922" s="77"/>
      <c r="C922" s="77"/>
      <c r="D922" s="79"/>
      <c r="E922" s="77"/>
      <c r="F922" s="77"/>
      <c r="G922" s="118">
        <f t="shared" si="3"/>
        <v>0</v>
      </c>
      <c r="H922" s="81" t="str">
        <f t="shared" si="1"/>
        <v>—</v>
      </c>
      <c r="I922" s="81" t="str">
        <f t="shared" si="2"/>
        <v/>
      </c>
    </row>
    <row r="923" ht="18.0" customHeight="1">
      <c r="A923" s="132"/>
      <c r="B923" s="72"/>
      <c r="C923" s="72"/>
      <c r="D923" s="74"/>
      <c r="E923" s="72"/>
      <c r="F923" s="72"/>
      <c r="G923" s="114">
        <f t="shared" si="3"/>
        <v>0</v>
      </c>
      <c r="H923" s="76" t="str">
        <f t="shared" si="1"/>
        <v>—</v>
      </c>
      <c r="I923" s="76" t="str">
        <f t="shared" si="2"/>
        <v/>
      </c>
    </row>
    <row r="924" ht="18.0" customHeight="1">
      <c r="A924" s="134"/>
      <c r="B924" s="77"/>
      <c r="C924" s="77"/>
      <c r="D924" s="79"/>
      <c r="E924" s="77"/>
      <c r="F924" s="77"/>
      <c r="G924" s="118">
        <f t="shared" si="3"/>
        <v>0</v>
      </c>
      <c r="H924" s="81" t="str">
        <f t="shared" si="1"/>
        <v>—</v>
      </c>
      <c r="I924" s="81" t="str">
        <f t="shared" si="2"/>
        <v/>
      </c>
    </row>
    <row r="925" ht="18.0" customHeight="1">
      <c r="A925" s="132"/>
      <c r="B925" s="72"/>
      <c r="C925" s="72"/>
      <c r="D925" s="74"/>
      <c r="E925" s="72"/>
      <c r="F925" s="72"/>
      <c r="G925" s="114">
        <f t="shared" si="3"/>
        <v>0</v>
      </c>
      <c r="H925" s="76" t="str">
        <f t="shared" si="1"/>
        <v>—</v>
      </c>
      <c r="I925" s="76" t="str">
        <f t="shared" si="2"/>
        <v/>
      </c>
    </row>
    <row r="926" ht="18.0" customHeight="1">
      <c r="A926" s="134"/>
      <c r="B926" s="77"/>
      <c r="C926" s="77"/>
      <c r="D926" s="79"/>
      <c r="E926" s="77"/>
      <c r="F926" s="77"/>
      <c r="G926" s="118">
        <f t="shared" si="3"/>
        <v>0</v>
      </c>
      <c r="H926" s="81" t="str">
        <f t="shared" si="1"/>
        <v>—</v>
      </c>
      <c r="I926" s="81" t="str">
        <f t="shared" si="2"/>
        <v/>
      </c>
    </row>
    <row r="927" ht="18.0" customHeight="1">
      <c r="A927" s="132"/>
      <c r="B927" s="72"/>
      <c r="C927" s="72"/>
      <c r="D927" s="74"/>
      <c r="E927" s="72"/>
      <c r="F927" s="72"/>
      <c r="G927" s="114">
        <f t="shared" si="3"/>
        <v>0</v>
      </c>
      <c r="H927" s="76" t="str">
        <f t="shared" si="1"/>
        <v>—</v>
      </c>
      <c r="I927" s="76" t="str">
        <f t="shared" si="2"/>
        <v/>
      </c>
    </row>
    <row r="928" ht="18.0" customHeight="1">
      <c r="A928" s="134"/>
      <c r="B928" s="77"/>
      <c r="C928" s="77"/>
      <c r="D928" s="79"/>
      <c r="E928" s="77"/>
      <c r="F928" s="77"/>
      <c r="G928" s="118">
        <f t="shared" si="3"/>
        <v>0</v>
      </c>
      <c r="H928" s="81" t="str">
        <f t="shared" si="1"/>
        <v>—</v>
      </c>
      <c r="I928" s="81" t="str">
        <f t="shared" si="2"/>
        <v/>
      </c>
    </row>
    <row r="929" ht="18.0" customHeight="1">
      <c r="A929" s="132"/>
      <c r="B929" s="72"/>
      <c r="C929" s="72"/>
      <c r="D929" s="74"/>
      <c r="E929" s="72"/>
      <c r="F929" s="72"/>
      <c r="G929" s="114">
        <f t="shared" si="3"/>
        <v>0</v>
      </c>
      <c r="H929" s="76" t="str">
        <f t="shared" si="1"/>
        <v>—</v>
      </c>
      <c r="I929" s="76" t="str">
        <f t="shared" si="2"/>
        <v/>
      </c>
    </row>
    <row r="930" ht="18.0" customHeight="1">
      <c r="A930" s="134"/>
      <c r="B930" s="77"/>
      <c r="C930" s="77"/>
      <c r="D930" s="79"/>
      <c r="E930" s="77"/>
      <c r="F930" s="77"/>
      <c r="G930" s="118">
        <f t="shared" si="3"/>
        <v>0</v>
      </c>
      <c r="H930" s="81" t="str">
        <f t="shared" si="1"/>
        <v>—</v>
      </c>
      <c r="I930" s="81" t="str">
        <f t="shared" si="2"/>
        <v/>
      </c>
    </row>
    <row r="931" ht="18.0" customHeight="1">
      <c r="A931" s="132"/>
      <c r="B931" s="72"/>
      <c r="C931" s="72"/>
      <c r="D931" s="74"/>
      <c r="E931" s="72"/>
      <c r="F931" s="72"/>
      <c r="G931" s="114">
        <f t="shared" si="3"/>
        <v>0</v>
      </c>
      <c r="H931" s="76" t="str">
        <f t="shared" si="1"/>
        <v>—</v>
      </c>
      <c r="I931" s="76" t="str">
        <f t="shared" si="2"/>
        <v/>
      </c>
    </row>
    <row r="932" ht="18.0" customHeight="1">
      <c r="A932" s="134"/>
      <c r="B932" s="77"/>
      <c r="C932" s="77"/>
      <c r="D932" s="79"/>
      <c r="E932" s="77"/>
      <c r="F932" s="77"/>
      <c r="G932" s="118">
        <f t="shared" si="3"/>
        <v>0</v>
      </c>
      <c r="H932" s="81" t="str">
        <f t="shared" si="1"/>
        <v>—</v>
      </c>
      <c r="I932" s="81" t="str">
        <f t="shared" si="2"/>
        <v/>
      </c>
    </row>
    <row r="933" ht="18.0" customHeight="1">
      <c r="A933" s="132"/>
      <c r="B933" s="72"/>
      <c r="C933" s="72"/>
      <c r="D933" s="74"/>
      <c r="E933" s="72"/>
      <c r="F933" s="72"/>
      <c r="G933" s="114">
        <f t="shared" si="3"/>
        <v>0</v>
      </c>
      <c r="H933" s="76" t="str">
        <f t="shared" si="1"/>
        <v>—</v>
      </c>
      <c r="I933" s="76" t="str">
        <f t="shared" si="2"/>
        <v/>
      </c>
    </row>
    <row r="934" ht="18.0" customHeight="1">
      <c r="A934" s="134"/>
      <c r="B934" s="77"/>
      <c r="C934" s="77"/>
      <c r="D934" s="79"/>
      <c r="E934" s="77"/>
      <c r="F934" s="77"/>
      <c r="G934" s="118">
        <f t="shared" si="3"/>
        <v>0</v>
      </c>
      <c r="H934" s="81" t="str">
        <f t="shared" si="1"/>
        <v>—</v>
      </c>
      <c r="I934" s="81" t="str">
        <f t="shared" si="2"/>
        <v/>
      </c>
    </row>
    <row r="935" ht="18.0" customHeight="1">
      <c r="A935" s="132"/>
      <c r="B935" s="72"/>
      <c r="C935" s="72"/>
      <c r="D935" s="74"/>
      <c r="E935" s="72"/>
      <c r="F935" s="72"/>
      <c r="G935" s="114">
        <f t="shared" si="3"/>
        <v>0</v>
      </c>
      <c r="H935" s="76" t="str">
        <f t="shared" si="1"/>
        <v>—</v>
      </c>
      <c r="I935" s="76" t="str">
        <f t="shared" si="2"/>
        <v/>
      </c>
    </row>
    <row r="936" ht="18.0" customHeight="1">
      <c r="A936" s="134"/>
      <c r="B936" s="77"/>
      <c r="C936" s="77"/>
      <c r="D936" s="79"/>
      <c r="E936" s="77"/>
      <c r="F936" s="77"/>
      <c r="G936" s="118">
        <f t="shared" si="3"/>
        <v>0</v>
      </c>
      <c r="H936" s="81" t="str">
        <f t="shared" si="1"/>
        <v>—</v>
      </c>
      <c r="I936" s="81" t="str">
        <f t="shared" si="2"/>
        <v/>
      </c>
    </row>
    <row r="937" ht="18.0" customHeight="1">
      <c r="A937" s="132"/>
      <c r="B937" s="72"/>
      <c r="C937" s="72"/>
      <c r="D937" s="74"/>
      <c r="E937" s="72"/>
      <c r="F937" s="72"/>
      <c r="G937" s="114">
        <f t="shared" si="3"/>
        <v>0</v>
      </c>
      <c r="H937" s="76" t="str">
        <f t="shared" si="1"/>
        <v>—</v>
      </c>
      <c r="I937" s="76" t="str">
        <f t="shared" si="2"/>
        <v/>
      </c>
    </row>
    <row r="938" ht="18.0" customHeight="1">
      <c r="A938" s="134"/>
      <c r="B938" s="77"/>
      <c r="C938" s="77"/>
      <c r="D938" s="79"/>
      <c r="E938" s="77"/>
      <c r="F938" s="77"/>
      <c r="G938" s="118">
        <f t="shared" si="3"/>
        <v>0</v>
      </c>
      <c r="H938" s="81" t="str">
        <f t="shared" si="1"/>
        <v>—</v>
      </c>
      <c r="I938" s="81" t="str">
        <f t="shared" si="2"/>
        <v/>
      </c>
    </row>
    <row r="939" ht="18.0" customHeight="1">
      <c r="A939" s="132"/>
      <c r="B939" s="72"/>
      <c r="C939" s="72"/>
      <c r="D939" s="74"/>
      <c r="E939" s="72"/>
      <c r="F939" s="72"/>
      <c r="G939" s="114">
        <f t="shared" si="3"/>
        <v>0</v>
      </c>
      <c r="H939" s="76" t="str">
        <f t="shared" si="1"/>
        <v>—</v>
      </c>
      <c r="I939" s="76" t="str">
        <f t="shared" si="2"/>
        <v/>
      </c>
    </row>
    <row r="940" ht="18.0" customHeight="1">
      <c r="A940" s="134"/>
      <c r="B940" s="77"/>
      <c r="C940" s="77"/>
      <c r="D940" s="79"/>
      <c r="E940" s="77"/>
      <c r="F940" s="77"/>
      <c r="G940" s="118">
        <f t="shared" si="3"/>
        <v>0</v>
      </c>
      <c r="H940" s="81" t="str">
        <f t="shared" si="1"/>
        <v>—</v>
      </c>
      <c r="I940" s="81" t="str">
        <f t="shared" si="2"/>
        <v/>
      </c>
    </row>
    <row r="941" ht="18.0" customHeight="1">
      <c r="A941" s="132"/>
      <c r="B941" s="72"/>
      <c r="C941" s="72"/>
      <c r="D941" s="74"/>
      <c r="E941" s="72"/>
      <c r="F941" s="72"/>
      <c r="G941" s="114">
        <f t="shared" si="3"/>
        <v>0</v>
      </c>
      <c r="H941" s="76" t="str">
        <f t="shared" si="1"/>
        <v>—</v>
      </c>
      <c r="I941" s="76" t="str">
        <f t="shared" si="2"/>
        <v/>
      </c>
    </row>
    <row r="942" ht="18.0" customHeight="1">
      <c r="A942" s="134"/>
      <c r="B942" s="77"/>
      <c r="C942" s="77"/>
      <c r="D942" s="79"/>
      <c r="E942" s="77"/>
      <c r="F942" s="77"/>
      <c r="G942" s="118">
        <f t="shared" si="3"/>
        <v>0</v>
      </c>
      <c r="H942" s="81" t="str">
        <f t="shared" si="1"/>
        <v>—</v>
      </c>
      <c r="I942" s="81" t="str">
        <f t="shared" si="2"/>
        <v/>
      </c>
    </row>
    <row r="943" ht="18.0" customHeight="1">
      <c r="A943" s="132"/>
      <c r="B943" s="72"/>
      <c r="C943" s="72"/>
      <c r="D943" s="74"/>
      <c r="E943" s="72"/>
      <c r="F943" s="72"/>
      <c r="G943" s="114">
        <f t="shared" si="3"/>
        <v>0</v>
      </c>
      <c r="H943" s="76" t="str">
        <f t="shared" si="1"/>
        <v>—</v>
      </c>
      <c r="I943" s="76" t="str">
        <f t="shared" si="2"/>
        <v/>
      </c>
    </row>
    <row r="944" ht="18.0" customHeight="1">
      <c r="A944" s="134"/>
      <c r="B944" s="77"/>
      <c r="C944" s="77"/>
      <c r="D944" s="79"/>
      <c r="E944" s="77"/>
      <c r="F944" s="77"/>
      <c r="G944" s="118">
        <f t="shared" si="3"/>
        <v>0</v>
      </c>
      <c r="H944" s="81" t="str">
        <f t="shared" si="1"/>
        <v>—</v>
      </c>
      <c r="I944" s="81" t="str">
        <f t="shared" si="2"/>
        <v/>
      </c>
    </row>
    <row r="945" ht="18.0" customHeight="1">
      <c r="A945" s="132"/>
      <c r="B945" s="72"/>
      <c r="C945" s="72"/>
      <c r="D945" s="74"/>
      <c r="E945" s="72"/>
      <c r="F945" s="72"/>
      <c r="G945" s="114">
        <f t="shared" si="3"/>
        <v>0</v>
      </c>
      <c r="H945" s="76" t="str">
        <f t="shared" si="1"/>
        <v>—</v>
      </c>
      <c r="I945" s="76" t="str">
        <f t="shared" si="2"/>
        <v/>
      </c>
    </row>
    <row r="946" ht="18.0" customHeight="1">
      <c r="A946" s="134"/>
      <c r="B946" s="77"/>
      <c r="C946" s="77"/>
      <c r="D946" s="79"/>
      <c r="E946" s="77"/>
      <c r="F946" s="77"/>
      <c r="G946" s="118">
        <f t="shared" si="3"/>
        <v>0</v>
      </c>
      <c r="H946" s="81" t="str">
        <f t="shared" si="1"/>
        <v>—</v>
      </c>
      <c r="I946" s="81" t="str">
        <f t="shared" si="2"/>
        <v/>
      </c>
    </row>
    <row r="947" ht="18.0" customHeight="1">
      <c r="A947" s="132"/>
      <c r="B947" s="72"/>
      <c r="C947" s="72"/>
      <c r="D947" s="74"/>
      <c r="E947" s="72"/>
      <c r="F947" s="72"/>
      <c r="G947" s="114">
        <f t="shared" si="3"/>
        <v>0</v>
      </c>
      <c r="H947" s="76" t="str">
        <f t="shared" si="1"/>
        <v>—</v>
      </c>
      <c r="I947" s="76" t="str">
        <f t="shared" si="2"/>
        <v/>
      </c>
    </row>
    <row r="948" ht="18.0" customHeight="1">
      <c r="A948" s="134"/>
      <c r="B948" s="77"/>
      <c r="C948" s="77"/>
      <c r="D948" s="79"/>
      <c r="E948" s="77"/>
      <c r="F948" s="77"/>
      <c r="G948" s="118">
        <f t="shared" si="3"/>
        <v>0</v>
      </c>
      <c r="H948" s="81" t="str">
        <f t="shared" si="1"/>
        <v>—</v>
      </c>
      <c r="I948" s="81" t="str">
        <f t="shared" si="2"/>
        <v/>
      </c>
    </row>
    <row r="949" ht="18.0" customHeight="1">
      <c r="A949" s="132"/>
      <c r="B949" s="72"/>
      <c r="C949" s="72"/>
      <c r="D949" s="74"/>
      <c r="E949" s="72"/>
      <c r="F949" s="72"/>
      <c r="G949" s="114">
        <f t="shared" si="3"/>
        <v>0</v>
      </c>
      <c r="H949" s="76" t="str">
        <f t="shared" si="1"/>
        <v>—</v>
      </c>
      <c r="I949" s="76" t="str">
        <f t="shared" si="2"/>
        <v/>
      </c>
    </row>
    <row r="950" ht="18.0" customHeight="1">
      <c r="A950" s="134"/>
      <c r="B950" s="77"/>
      <c r="C950" s="77"/>
      <c r="D950" s="79"/>
      <c r="E950" s="77"/>
      <c r="F950" s="77"/>
      <c r="G950" s="118">
        <f t="shared" si="3"/>
        <v>0</v>
      </c>
      <c r="H950" s="81" t="str">
        <f t="shared" si="1"/>
        <v>—</v>
      </c>
      <c r="I950" s="81" t="str">
        <f t="shared" si="2"/>
        <v/>
      </c>
    </row>
    <row r="951" ht="18.0" customHeight="1">
      <c r="A951" s="132"/>
      <c r="B951" s="72"/>
      <c r="C951" s="72"/>
      <c r="D951" s="74"/>
      <c r="E951" s="72"/>
      <c r="F951" s="72"/>
      <c r="G951" s="114">
        <f t="shared" si="3"/>
        <v>0</v>
      </c>
      <c r="H951" s="76" t="str">
        <f t="shared" si="1"/>
        <v>—</v>
      </c>
      <c r="I951" s="76" t="str">
        <f t="shared" si="2"/>
        <v/>
      </c>
    </row>
    <row r="952" ht="18.0" customHeight="1">
      <c r="A952" s="134"/>
      <c r="B952" s="77"/>
      <c r="C952" s="77"/>
      <c r="D952" s="79"/>
      <c r="E952" s="77"/>
      <c r="F952" s="77"/>
      <c r="G952" s="118">
        <f t="shared" si="3"/>
        <v>0</v>
      </c>
      <c r="H952" s="81" t="str">
        <f t="shared" si="1"/>
        <v>—</v>
      </c>
      <c r="I952" s="81" t="str">
        <f t="shared" si="2"/>
        <v/>
      </c>
    </row>
    <row r="953" ht="18.0" customHeight="1">
      <c r="A953" s="132"/>
      <c r="B953" s="72"/>
      <c r="C953" s="72"/>
      <c r="D953" s="74"/>
      <c r="E953" s="72"/>
      <c r="F953" s="72"/>
      <c r="G953" s="114">
        <f t="shared" si="3"/>
        <v>0</v>
      </c>
      <c r="H953" s="76" t="str">
        <f t="shared" si="1"/>
        <v>—</v>
      </c>
      <c r="I953" s="76" t="str">
        <f t="shared" si="2"/>
        <v/>
      </c>
    </row>
    <row r="954" ht="18.0" customHeight="1">
      <c r="A954" s="134"/>
      <c r="B954" s="77"/>
      <c r="C954" s="77"/>
      <c r="D954" s="79"/>
      <c r="E954" s="77"/>
      <c r="F954" s="77"/>
      <c r="G954" s="118">
        <f t="shared" si="3"/>
        <v>0</v>
      </c>
      <c r="H954" s="81" t="str">
        <f t="shared" si="1"/>
        <v>—</v>
      </c>
      <c r="I954" s="81" t="str">
        <f t="shared" si="2"/>
        <v/>
      </c>
    </row>
    <row r="955" ht="18.0" customHeight="1">
      <c r="A955" s="132"/>
      <c r="B955" s="72"/>
      <c r="C955" s="72"/>
      <c r="D955" s="74"/>
      <c r="E955" s="72"/>
      <c r="F955" s="72"/>
      <c r="G955" s="114">
        <f t="shared" si="3"/>
        <v>0</v>
      </c>
      <c r="H955" s="76" t="str">
        <f t="shared" si="1"/>
        <v>—</v>
      </c>
      <c r="I955" s="76" t="str">
        <f t="shared" si="2"/>
        <v/>
      </c>
    </row>
    <row r="956" ht="18.0" customHeight="1">
      <c r="A956" s="134"/>
      <c r="B956" s="77"/>
      <c r="C956" s="77"/>
      <c r="D956" s="79"/>
      <c r="E956" s="77"/>
      <c r="F956" s="77"/>
      <c r="G956" s="118">
        <f t="shared" si="3"/>
        <v>0</v>
      </c>
      <c r="H956" s="81" t="str">
        <f t="shared" si="1"/>
        <v>—</v>
      </c>
      <c r="I956" s="81" t="str">
        <f t="shared" si="2"/>
        <v/>
      </c>
    </row>
    <row r="957" ht="18.0" customHeight="1">
      <c r="A957" s="132"/>
      <c r="B957" s="72"/>
      <c r="C957" s="72"/>
      <c r="D957" s="74"/>
      <c r="E957" s="72"/>
      <c r="F957" s="72"/>
      <c r="G957" s="114">
        <f t="shared" si="3"/>
        <v>0</v>
      </c>
      <c r="H957" s="76" t="str">
        <f t="shared" si="1"/>
        <v>—</v>
      </c>
      <c r="I957" s="76" t="str">
        <f t="shared" si="2"/>
        <v/>
      </c>
    </row>
    <row r="958" ht="18.0" customHeight="1">
      <c r="A958" s="134"/>
      <c r="B958" s="77"/>
      <c r="C958" s="77"/>
      <c r="D958" s="79"/>
      <c r="E958" s="77"/>
      <c r="F958" s="77"/>
      <c r="G958" s="118">
        <f t="shared" si="3"/>
        <v>0</v>
      </c>
      <c r="H958" s="81" t="str">
        <f t="shared" si="1"/>
        <v>—</v>
      </c>
      <c r="I958" s="81" t="str">
        <f t="shared" si="2"/>
        <v/>
      </c>
    </row>
    <row r="959" ht="18.0" customHeight="1">
      <c r="A959" s="132"/>
      <c r="B959" s="72"/>
      <c r="C959" s="72"/>
      <c r="D959" s="74"/>
      <c r="E959" s="72"/>
      <c r="F959" s="72"/>
      <c r="G959" s="114">
        <f t="shared" si="3"/>
        <v>0</v>
      </c>
      <c r="H959" s="76" t="str">
        <f t="shared" si="1"/>
        <v>—</v>
      </c>
      <c r="I959" s="76" t="str">
        <f t="shared" si="2"/>
        <v/>
      </c>
    </row>
    <row r="960" ht="18.0" customHeight="1">
      <c r="A960" s="134"/>
      <c r="B960" s="77"/>
      <c r="C960" s="77"/>
      <c r="D960" s="79"/>
      <c r="E960" s="77"/>
      <c r="F960" s="77"/>
      <c r="G960" s="118">
        <f t="shared" si="3"/>
        <v>0</v>
      </c>
      <c r="H960" s="81" t="str">
        <f t="shared" si="1"/>
        <v>—</v>
      </c>
      <c r="I960" s="81" t="str">
        <f t="shared" si="2"/>
        <v/>
      </c>
    </row>
    <row r="961" ht="18.0" customHeight="1">
      <c r="A961" s="132"/>
      <c r="B961" s="72"/>
      <c r="C961" s="72"/>
      <c r="D961" s="74"/>
      <c r="E961" s="72"/>
      <c r="F961" s="72"/>
      <c r="G961" s="114">
        <f t="shared" si="3"/>
        <v>0</v>
      </c>
      <c r="H961" s="76" t="str">
        <f t="shared" si="1"/>
        <v>—</v>
      </c>
      <c r="I961" s="76" t="str">
        <f t="shared" si="2"/>
        <v/>
      </c>
    </row>
    <row r="962" ht="18.0" customHeight="1">
      <c r="A962" s="134"/>
      <c r="B962" s="77"/>
      <c r="C962" s="77"/>
      <c r="D962" s="79"/>
      <c r="E962" s="77"/>
      <c r="F962" s="77"/>
      <c r="G962" s="118">
        <f t="shared" si="3"/>
        <v>0</v>
      </c>
      <c r="H962" s="81" t="str">
        <f t="shared" si="1"/>
        <v>—</v>
      </c>
      <c r="I962" s="81" t="str">
        <f t="shared" si="2"/>
        <v/>
      </c>
    </row>
    <row r="963" ht="18.0" customHeight="1">
      <c r="A963" s="132"/>
      <c r="B963" s="72"/>
      <c r="C963" s="72"/>
      <c r="D963" s="74"/>
      <c r="E963" s="72"/>
      <c r="F963" s="72"/>
      <c r="G963" s="114">
        <f t="shared" si="3"/>
        <v>0</v>
      </c>
      <c r="H963" s="76" t="str">
        <f t="shared" si="1"/>
        <v>—</v>
      </c>
      <c r="I963" s="76" t="str">
        <f t="shared" si="2"/>
        <v/>
      </c>
    </row>
    <row r="964" ht="18.0" customHeight="1">
      <c r="A964" s="134"/>
      <c r="B964" s="77"/>
      <c r="C964" s="77"/>
      <c r="D964" s="79"/>
      <c r="E964" s="77"/>
      <c r="F964" s="77"/>
      <c r="G964" s="118">
        <f t="shared" si="3"/>
        <v>0</v>
      </c>
      <c r="H964" s="81" t="str">
        <f t="shared" si="1"/>
        <v>—</v>
      </c>
      <c r="I964" s="81" t="str">
        <f t="shared" si="2"/>
        <v/>
      </c>
    </row>
    <row r="965" ht="18.0" customHeight="1">
      <c r="A965" s="132"/>
      <c r="B965" s="72"/>
      <c r="C965" s="72"/>
      <c r="D965" s="74"/>
      <c r="E965" s="72"/>
      <c r="F965" s="72"/>
      <c r="G965" s="114">
        <f t="shared" si="3"/>
        <v>0</v>
      </c>
      <c r="H965" s="76" t="str">
        <f t="shared" si="1"/>
        <v>—</v>
      </c>
      <c r="I965" s="76" t="str">
        <f t="shared" si="2"/>
        <v/>
      </c>
    </row>
    <row r="966" ht="18.0" customHeight="1">
      <c r="A966" s="134"/>
      <c r="B966" s="77"/>
      <c r="C966" s="77"/>
      <c r="D966" s="79"/>
      <c r="E966" s="77"/>
      <c r="F966" s="77"/>
      <c r="G966" s="118">
        <f t="shared" si="3"/>
        <v>0</v>
      </c>
      <c r="H966" s="81" t="str">
        <f t="shared" si="1"/>
        <v>—</v>
      </c>
      <c r="I966" s="81" t="str">
        <f t="shared" si="2"/>
        <v/>
      </c>
    </row>
    <row r="967" ht="18.0" customHeight="1">
      <c r="A967" s="132"/>
      <c r="B967" s="72"/>
      <c r="C967" s="72"/>
      <c r="D967" s="74"/>
      <c r="E967" s="72"/>
      <c r="F967" s="72"/>
      <c r="G967" s="114">
        <f t="shared" si="3"/>
        <v>0</v>
      </c>
      <c r="H967" s="76" t="str">
        <f t="shared" si="1"/>
        <v>—</v>
      </c>
      <c r="I967" s="76" t="str">
        <f t="shared" si="2"/>
        <v/>
      </c>
    </row>
    <row r="968" ht="18.0" customHeight="1">
      <c r="A968" s="134"/>
      <c r="B968" s="77"/>
      <c r="C968" s="77"/>
      <c r="D968" s="79"/>
      <c r="E968" s="77"/>
      <c r="F968" s="77"/>
      <c r="G968" s="118">
        <f t="shared" si="3"/>
        <v>0</v>
      </c>
      <c r="H968" s="81" t="str">
        <f t="shared" si="1"/>
        <v>—</v>
      </c>
      <c r="I968" s="81" t="str">
        <f t="shared" si="2"/>
        <v/>
      </c>
    </row>
    <row r="969" ht="18.0" customHeight="1">
      <c r="A969" s="132"/>
      <c r="B969" s="72"/>
      <c r="C969" s="72"/>
      <c r="D969" s="74"/>
      <c r="E969" s="72"/>
      <c r="F969" s="72"/>
      <c r="G969" s="114">
        <f t="shared" si="3"/>
        <v>0</v>
      </c>
      <c r="H969" s="76" t="str">
        <f t="shared" si="1"/>
        <v>—</v>
      </c>
      <c r="I969" s="76" t="str">
        <f t="shared" si="2"/>
        <v/>
      </c>
    </row>
    <row r="970" ht="18.0" customHeight="1">
      <c r="A970" s="134"/>
      <c r="B970" s="77"/>
      <c r="C970" s="77"/>
      <c r="D970" s="79"/>
      <c r="E970" s="77"/>
      <c r="F970" s="77"/>
      <c r="G970" s="118">
        <f t="shared" si="3"/>
        <v>0</v>
      </c>
      <c r="H970" s="81" t="str">
        <f t="shared" si="1"/>
        <v>—</v>
      </c>
      <c r="I970" s="81" t="str">
        <f t="shared" si="2"/>
        <v/>
      </c>
    </row>
    <row r="971" ht="18.0" customHeight="1">
      <c r="A971" s="132"/>
      <c r="B971" s="72"/>
      <c r="C971" s="72"/>
      <c r="D971" s="74"/>
      <c r="E971" s="72"/>
      <c r="F971" s="72"/>
      <c r="G971" s="114">
        <f t="shared" si="3"/>
        <v>0</v>
      </c>
      <c r="H971" s="76" t="str">
        <f t="shared" si="1"/>
        <v>—</v>
      </c>
      <c r="I971" s="76" t="str">
        <f t="shared" si="2"/>
        <v/>
      </c>
    </row>
    <row r="972" ht="18.0" customHeight="1">
      <c r="A972" s="134"/>
      <c r="B972" s="77"/>
      <c r="C972" s="77"/>
      <c r="D972" s="79"/>
      <c r="E972" s="77"/>
      <c r="F972" s="77"/>
      <c r="G972" s="118">
        <f t="shared" si="3"/>
        <v>0</v>
      </c>
      <c r="H972" s="81" t="str">
        <f t="shared" si="1"/>
        <v>—</v>
      </c>
      <c r="I972" s="81" t="str">
        <f t="shared" si="2"/>
        <v/>
      </c>
    </row>
    <row r="973" ht="18.0" customHeight="1">
      <c r="A973" s="132"/>
      <c r="B973" s="72"/>
      <c r="C973" s="72"/>
      <c r="D973" s="74"/>
      <c r="E973" s="72"/>
      <c r="F973" s="72"/>
      <c r="G973" s="114">
        <f t="shared" si="3"/>
        <v>0</v>
      </c>
      <c r="H973" s="76" t="str">
        <f t="shared" si="1"/>
        <v>—</v>
      </c>
      <c r="I973" s="76" t="str">
        <f t="shared" si="2"/>
        <v/>
      </c>
    </row>
    <row r="974" ht="18.0" customHeight="1">
      <c r="A974" s="134"/>
      <c r="B974" s="77"/>
      <c r="C974" s="77"/>
      <c r="D974" s="79"/>
      <c r="E974" s="77"/>
      <c r="F974" s="77"/>
      <c r="G974" s="118">
        <f t="shared" si="3"/>
        <v>0</v>
      </c>
      <c r="H974" s="81" t="str">
        <f t="shared" si="1"/>
        <v>—</v>
      </c>
      <c r="I974" s="81" t="str">
        <f t="shared" si="2"/>
        <v/>
      </c>
    </row>
    <row r="975" ht="18.0" customHeight="1">
      <c r="A975" s="132"/>
      <c r="B975" s="72"/>
      <c r="C975" s="72"/>
      <c r="D975" s="74"/>
      <c r="E975" s="72"/>
      <c r="F975" s="72"/>
      <c r="G975" s="114">
        <f t="shared" si="3"/>
        <v>0</v>
      </c>
      <c r="H975" s="76" t="str">
        <f t="shared" si="1"/>
        <v>—</v>
      </c>
      <c r="I975" s="76" t="str">
        <f t="shared" si="2"/>
        <v/>
      </c>
    </row>
    <row r="976" ht="18.0" customHeight="1">
      <c r="A976" s="134"/>
      <c r="B976" s="77"/>
      <c r="C976" s="77"/>
      <c r="D976" s="79"/>
      <c r="E976" s="77"/>
      <c r="F976" s="77"/>
      <c r="G976" s="118">
        <f t="shared" si="3"/>
        <v>0</v>
      </c>
      <c r="H976" s="81" t="str">
        <f t="shared" si="1"/>
        <v>—</v>
      </c>
      <c r="I976" s="81" t="str">
        <f t="shared" si="2"/>
        <v/>
      </c>
    </row>
    <row r="977" ht="18.0" customHeight="1">
      <c r="A977" s="132"/>
      <c r="B977" s="72"/>
      <c r="C977" s="72"/>
      <c r="D977" s="74"/>
      <c r="E977" s="72"/>
      <c r="F977" s="72"/>
      <c r="G977" s="114">
        <f t="shared" si="3"/>
        <v>0</v>
      </c>
      <c r="H977" s="76" t="str">
        <f t="shared" si="1"/>
        <v>—</v>
      </c>
      <c r="I977" s="76" t="str">
        <f t="shared" si="2"/>
        <v/>
      </c>
    </row>
    <row r="978" ht="18.0" customHeight="1">
      <c r="A978" s="134"/>
      <c r="B978" s="77"/>
      <c r="C978" s="77"/>
      <c r="D978" s="79"/>
      <c r="E978" s="77"/>
      <c r="F978" s="77"/>
      <c r="G978" s="118">
        <f t="shared" si="3"/>
        <v>0</v>
      </c>
      <c r="H978" s="81" t="str">
        <f t="shared" si="1"/>
        <v>—</v>
      </c>
      <c r="I978" s="81" t="str">
        <f t="shared" si="2"/>
        <v/>
      </c>
    </row>
    <row r="979" ht="18.0" customHeight="1">
      <c r="A979" s="132"/>
      <c r="B979" s="72"/>
      <c r="C979" s="72"/>
      <c r="D979" s="74"/>
      <c r="E979" s="72"/>
      <c r="F979" s="72"/>
      <c r="G979" s="114">
        <f t="shared" si="3"/>
        <v>0</v>
      </c>
      <c r="H979" s="76" t="str">
        <f t="shared" si="1"/>
        <v>—</v>
      </c>
      <c r="I979" s="76" t="str">
        <f t="shared" si="2"/>
        <v/>
      </c>
    </row>
    <row r="980" ht="18.0" customHeight="1">
      <c r="A980" s="134"/>
      <c r="B980" s="77"/>
      <c r="C980" s="77"/>
      <c r="D980" s="79"/>
      <c r="E980" s="77"/>
      <c r="F980" s="77"/>
      <c r="G980" s="118">
        <f t="shared" si="3"/>
        <v>0</v>
      </c>
      <c r="H980" s="81" t="str">
        <f t="shared" si="1"/>
        <v>—</v>
      </c>
      <c r="I980" s="81" t="str">
        <f t="shared" si="2"/>
        <v/>
      </c>
    </row>
    <row r="981" ht="18.0" customHeight="1">
      <c r="A981" s="132"/>
      <c r="B981" s="72"/>
      <c r="C981" s="72"/>
      <c r="D981" s="74"/>
      <c r="E981" s="72"/>
      <c r="F981" s="72"/>
      <c r="G981" s="114">
        <f t="shared" si="3"/>
        <v>0</v>
      </c>
      <c r="H981" s="76" t="str">
        <f t="shared" si="1"/>
        <v>—</v>
      </c>
      <c r="I981" s="76" t="str">
        <f t="shared" si="2"/>
        <v/>
      </c>
    </row>
    <row r="982" ht="18.0" customHeight="1">
      <c r="A982" s="134"/>
      <c r="B982" s="77"/>
      <c r="C982" s="77"/>
      <c r="D982" s="79"/>
      <c r="E982" s="77"/>
      <c r="F982" s="77"/>
      <c r="G982" s="118">
        <f t="shared" si="3"/>
        <v>0</v>
      </c>
      <c r="H982" s="81" t="str">
        <f t="shared" si="1"/>
        <v>—</v>
      </c>
      <c r="I982" s="81" t="str">
        <f t="shared" si="2"/>
        <v/>
      </c>
    </row>
    <row r="983" ht="18.0" customHeight="1">
      <c r="A983" s="132"/>
      <c r="B983" s="72"/>
      <c r="C983" s="72"/>
      <c r="D983" s="74"/>
      <c r="E983" s="72"/>
      <c r="F983" s="72"/>
      <c r="G983" s="114">
        <f t="shared" si="3"/>
        <v>0</v>
      </c>
      <c r="H983" s="76" t="str">
        <f t="shared" si="1"/>
        <v>—</v>
      </c>
      <c r="I983" s="76" t="str">
        <f t="shared" si="2"/>
        <v/>
      </c>
    </row>
    <row r="984" ht="18.0" customHeight="1">
      <c r="A984" s="134"/>
      <c r="B984" s="77"/>
      <c r="C984" s="77"/>
      <c r="D984" s="79"/>
      <c r="E984" s="77"/>
      <c r="F984" s="77"/>
      <c r="G984" s="118">
        <f t="shared" si="3"/>
        <v>0</v>
      </c>
      <c r="H984" s="81" t="str">
        <f t="shared" si="1"/>
        <v>—</v>
      </c>
      <c r="I984" s="81" t="str">
        <f t="shared" si="2"/>
        <v/>
      </c>
    </row>
    <row r="985" ht="18.0" customHeight="1">
      <c r="A985" s="132"/>
      <c r="B985" s="72"/>
      <c r="C985" s="72"/>
      <c r="D985" s="74"/>
      <c r="E985" s="72"/>
      <c r="F985" s="72"/>
      <c r="G985" s="114">
        <f t="shared" si="3"/>
        <v>0</v>
      </c>
      <c r="H985" s="76" t="str">
        <f t="shared" si="1"/>
        <v>—</v>
      </c>
      <c r="I985" s="76" t="str">
        <f t="shared" si="2"/>
        <v/>
      </c>
    </row>
    <row r="986" ht="18.0" customHeight="1">
      <c r="A986" s="134"/>
      <c r="B986" s="77"/>
      <c r="C986" s="77"/>
      <c r="D986" s="79"/>
      <c r="E986" s="77"/>
      <c r="F986" s="77"/>
      <c r="G986" s="118">
        <f t="shared" si="3"/>
        <v>0</v>
      </c>
      <c r="H986" s="81" t="str">
        <f t="shared" si="1"/>
        <v>—</v>
      </c>
      <c r="I986" s="81" t="str">
        <f t="shared" si="2"/>
        <v/>
      </c>
    </row>
    <row r="987" ht="18.0" customHeight="1">
      <c r="A987" s="132"/>
      <c r="B987" s="72"/>
      <c r="C987" s="72"/>
      <c r="D987" s="74"/>
      <c r="E987" s="72"/>
      <c r="F987" s="72"/>
      <c r="G987" s="114">
        <f t="shared" si="3"/>
        <v>0</v>
      </c>
      <c r="H987" s="76" t="str">
        <f t="shared" si="1"/>
        <v>—</v>
      </c>
      <c r="I987" s="76" t="str">
        <f t="shared" si="2"/>
        <v/>
      </c>
    </row>
    <row r="988" ht="18.0" customHeight="1">
      <c r="A988" s="134"/>
      <c r="B988" s="77"/>
      <c r="C988" s="77"/>
      <c r="D988" s="79"/>
      <c r="E988" s="77"/>
      <c r="F988" s="77"/>
      <c r="G988" s="118">
        <f t="shared" si="3"/>
        <v>0</v>
      </c>
      <c r="H988" s="81" t="str">
        <f t="shared" si="1"/>
        <v>—</v>
      </c>
      <c r="I988" s="81" t="str">
        <f t="shared" si="2"/>
        <v/>
      </c>
    </row>
    <row r="989" ht="18.0" customHeight="1">
      <c r="A989" s="132"/>
      <c r="B989" s="72"/>
      <c r="C989" s="72"/>
      <c r="D989" s="74"/>
      <c r="E989" s="72"/>
      <c r="F989" s="72"/>
      <c r="G989" s="114">
        <f t="shared" si="3"/>
        <v>0</v>
      </c>
      <c r="H989" s="76" t="str">
        <f t="shared" si="1"/>
        <v>—</v>
      </c>
      <c r="I989" s="76" t="str">
        <f t="shared" si="2"/>
        <v/>
      </c>
    </row>
    <row r="990" ht="18.0" customHeight="1">
      <c r="A990" s="134"/>
      <c r="B990" s="77"/>
      <c r="C990" s="77"/>
      <c r="D990" s="79"/>
      <c r="E990" s="77"/>
      <c r="F990" s="77"/>
      <c r="G990" s="118">
        <f t="shared" si="3"/>
        <v>0</v>
      </c>
      <c r="H990" s="81" t="str">
        <f t="shared" si="1"/>
        <v>—</v>
      </c>
      <c r="I990" s="81" t="str">
        <f t="shared" si="2"/>
        <v/>
      </c>
    </row>
    <row r="991" ht="18.0" customHeight="1">
      <c r="A991" s="132"/>
      <c r="B991" s="72"/>
      <c r="C991" s="72"/>
      <c r="D991" s="74"/>
      <c r="E991" s="72"/>
      <c r="F991" s="72"/>
      <c r="G991" s="114">
        <f t="shared" si="3"/>
        <v>0</v>
      </c>
      <c r="H991" s="76" t="str">
        <f t="shared" si="1"/>
        <v>—</v>
      </c>
      <c r="I991" s="76" t="str">
        <f t="shared" si="2"/>
        <v/>
      </c>
    </row>
    <row r="992" ht="18.0" customHeight="1">
      <c r="A992" s="134"/>
      <c r="B992" s="77"/>
      <c r="C992" s="77"/>
      <c r="D992" s="79"/>
      <c r="E992" s="77"/>
      <c r="F992" s="77"/>
      <c r="G992" s="118">
        <f t="shared" si="3"/>
        <v>0</v>
      </c>
      <c r="H992" s="81" t="str">
        <f t="shared" si="1"/>
        <v>—</v>
      </c>
      <c r="I992" s="81" t="str">
        <f t="shared" si="2"/>
        <v/>
      </c>
    </row>
    <row r="993" ht="18.0" customHeight="1">
      <c r="A993" s="132"/>
      <c r="B993" s="72"/>
      <c r="C993" s="72"/>
      <c r="D993" s="74"/>
      <c r="E993" s="72"/>
      <c r="F993" s="72"/>
      <c r="G993" s="114">
        <f t="shared" si="3"/>
        <v>0</v>
      </c>
      <c r="H993" s="76" t="str">
        <f t="shared" si="1"/>
        <v>—</v>
      </c>
      <c r="I993" s="76" t="str">
        <f t="shared" si="2"/>
        <v/>
      </c>
    </row>
    <row r="994" ht="18.0" customHeight="1">
      <c r="A994" s="134"/>
      <c r="B994" s="77"/>
      <c r="C994" s="77"/>
      <c r="D994" s="79"/>
      <c r="E994" s="77"/>
      <c r="F994" s="77"/>
      <c r="G994" s="118">
        <f t="shared" si="3"/>
        <v>0</v>
      </c>
      <c r="H994" s="81" t="str">
        <f t="shared" si="1"/>
        <v>—</v>
      </c>
      <c r="I994" s="81" t="str">
        <f t="shared" si="2"/>
        <v/>
      </c>
    </row>
    <row r="995" ht="18.0" customHeight="1">
      <c r="A995" s="132"/>
      <c r="B995" s="72"/>
      <c r="C995" s="72"/>
      <c r="D995" s="74"/>
      <c r="E995" s="72"/>
      <c r="F995" s="72"/>
      <c r="G995" s="114">
        <f t="shared" si="3"/>
        <v>0</v>
      </c>
      <c r="H995" s="76" t="str">
        <f t="shared" si="1"/>
        <v>—</v>
      </c>
      <c r="I995" s="76" t="str">
        <f t="shared" si="2"/>
        <v/>
      </c>
    </row>
    <row r="996" ht="18.0" customHeight="1">
      <c r="A996" s="134"/>
      <c r="B996" s="77"/>
      <c r="C996" s="77"/>
      <c r="D996" s="79"/>
      <c r="E996" s="77"/>
      <c r="F996" s="77"/>
      <c r="G996" s="118">
        <f t="shared" si="3"/>
        <v>0</v>
      </c>
      <c r="H996" s="81" t="str">
        <f t="shared" si="1"/>
        <v>—</v>
      </c>
      <c r="I996" s="81" t="str">
        <f t="shared" si="2"/>
        <v/>
      </c>
    </row>
    <row r="997" ht="18.0" customHeight="1">
      <c r="A997" s="132"/>
      <c r="B997" s="72"/>
      <c r="C997" s="72"/>
      <c r="D997" s="74"/>
      <c r="E997" s="72"/>
      <c r="F997" s="72"/>
      <c r="G997" s="114">
        <f t="shared" si="3"/>
        <v>0</v>
      </c>
      <c r="H997" s="76" t="str">
        <f t="shared" si="1"/>
        <v>—</v>
      </c>
      <c r="I997" s="76" t="str">
        <f t="shared" si="2"/>
        <v/>
      </c>
    </row>
    <row r="998" ht="18.0" customHeight="1">
      <c r="A998" s="134"/>
      <c r="B998" s="77"/>
      <c r="C998" s="77"/>
      <c r="D998" s="79"/>
      <c r="E998" s="77"/>
      <c r="F998" s="77"/>
      <c r="G998" s="118">
        <f t="shared" si="3"/>
        <v>0</v>
      </c>
      <c r="H998" s="81" t="str">
        <f t="shared" si="1"/>
        <v>—</v>
      </c>
      <c r="I998" s="81" t="str">
        <f t="shared" si="2"/>
        <v/>
      </c>
    </row>
    <row r="999" ht="18.0" customHeight="1">
      <c r="A999" s="132"/>
      <c r="B999" s="72"/>
      <c r="C999" s="72"/>
      <c r="D999" s="74"/>
      <c r="E999" s="72"/>
      <c r="F999" s="72"/>
      <c r="G999" s="114">
        <f t="shared" si="3"/>
        <v>0</v>
      </c>
      <c r="H999" s="76" t="str">
        <f t="shared" si="1"/>
        <v>—</v>
      </c>
      <c r="I999" s="76" t="str">
        <f t="shared" si="2"/>
        <v/>
      </c>
    </row>
    <row r="1000" ht="18.0" customHeight="1">
      <c r="A1000" s="134"/>
      <c r="B1000" s="77"/>
      <c r="C1000" s="77"/>
      <c r="D1000" s="79"/>
      <c r="E1000" s="77"/>
      <c r="F1000" s="77"/>
      <c r="G1000" s="118">
        <f t="shared" si="3"/>
        <v>0</v>
      </c>
      <c r="H1000" s="81" t="str">
        <f t="shared" si="1"/>
        <v>—</v>
      </c>
      <c r="I1000" s="81" t="str">
        <f t="shared" si="2"/>
        <v/>
      </c>
    </row>
    <row r="1001" ht="18.0" customHeight="1">
      <c r="A1001" s="132"/>
      <c r="B1001" s="72"/>
      <c r="C1001" s="72"/>
      <c r="D1001" s="74"/>
      <c r="E1001" s="72"/>
      <c r="F1001" s="72"/>
      <c r="G1001" s="114">
        <f t="shared" si="3"/>
        <v>0</v>
      </c>
      <c r="H1001" s="76" t="str">
        <f t="shared" si="1"/>
        <v>—</v>
      </c>
      <c r="I1001" s="76" t="str">
        <f t="shared" si="2"/>
        <v/>
      </c>
    </row>
    <row r="1002" ht="18.0" customHeight="1">
      <c r="A1002" s="134"/>
      <c r="B1002" s="77"/>
      <c r="C1002" s="77"/>
      <c r="D1002" s="79"/>
      <c r="E1002" s="77"/>
      <c r="F1002" s="77"/>
      <c r="G1002" s="118">
        <f t="shared" si="3"/>
        <v>0</v>
      </c>
      <c r="H1002" s="81" t="str">
        <f t="shared" si="1"/>
        <v>—</v>
      </c>
      <c r="I1002" s="81" t="str">
        <f t="shared" si="2"/>
        <v/>
      </c>
    </row>
    <row r="1003" ht="18.0" customHeight="1">
      <c r="A1003" s="138"/>
      <c r="B1003" s="96"/>
      <c r="C1003" s="96"/>
      <c r="D1003" s="142"/>
      <c r="E1003" s="143"/>
      <c r="F1003" s="96"/>
      <c r="G1003" s="144">
        <f t="shared" si="3"/>
        <v>0</v>
      </c>
      <c r="H1003" s="131" t="str">
        <f t="shared" si="1"/>
        <v>—</v>
      </c>
      <c r="I1003" s="131" t="str">
        <f t="shared" si="2"/>
        <v/>
      </c>
    </row>
  </sheetData>
  <mergeCells count="2">
    <mergeCell ref="A1:I1"/>
    <mergeCell ref="A2:I2"/>
  </mergeCells>
  <conditionalFormatting sqref="H4:H1003">
    <cfRule type="expression" dxfId="0" priority="1">
      <formula>H4="✓ AMAN"</formula>
    </cfRule>
  </conditionalFormatting>
  <conditionalFormatting sqref="H4:H1003">
    <cfRule type="expression" dxfId="2" priority="2">
      <formula>H4="⚡ KRITIS"</formula>
    </cfRule>
  </conditionalFormatting>
  <conditionalFormatting sqref="H4:H1003">
    <cfRule type="expression" dxfId="3" priority="3">
      <formula>H4="🚨 NEGATIF"</formula>
    </cfRule>
  </conditionalFormatting>
  <conditionalFormatting sqref="C4:C1003">
    <cfRule type="expression" dxfId="0" priority="4">
      <formula>C4="Masuk"</formula>
    </cfRule>
  </conditionalFormatting>
  <conditionalFormatting sqref="C4:C1003">
    <cfRule type="expression" dxfId="3" priority="5">
      <formula>C4="Keluar"</formula>
    </cfRule>
  </conditionalFormatting>
  <dataValidations>
    <dataValidation type="date" operator="greaterThan" allowBlank="1" showInputMessage="1" showErrorMessage="1" prompt="Tanggal Tidak Valid - Masukkan tanggal yang valid (format: YYYY-MM-DD)" sqref="A3:A1002">
      <formula1>"2020-01-01"</formula1>
    </dataValidation>
    <dataValidation type="list" allowBlank="1" showInputMessage="1" showErrorMessage="1" prompt="Input Tidak Valid - TIPE harus &quot;Masuk&quot; atau &quot;Keluar&quot;" sqref="C4:C1002">
      <formula1>"Masuk,Keluar"</formula1>
    </dataValidation>
    <dataValidation type="decimal" allowBlank="1" showInputMessage="1" showErrorMessage="1" prompt="Nominal Tidak Valid - Nominal harus antara 1 - 10 Miliar" sqref="D3:D1002">
      <formula1>1.0</formula1>
      <formula2>1.0E10</formula2>
    </dataValidation>
    <dataValidation type="list" allowBlank="1" showInputMessage="1" showErrorMessage="1" prompt="Input Tidak Valid - Pilih kategori kas yang valid" sqref="F4:F1002">
      <formula1>"Revenue,Bahan,TK,Overhead,DP Klien,Pelunasan,Investasi,Lainnya"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35.0"/>
    <col customWidth="1" min="4" max="4" width="18.0"/>
    <col customWidth="1" min="5" max="5" width="35.0"/>
    <col customWidth="1" min="6" max="6" width="57.0"/>
    <col customWidth="1" min="7" max="18" width="8.71"/>
  </cols>
  <sheetData>
    <row r="1" ht="36.0" customHeight="1">
      <c r="A1" s="1" t="s">
        <v>448</v>
      </c>
      <c r="B1" s="2"/>
      <c r="C1" s="2"/>
      <c r="D1" s="2"/>
      <c r="E1" s="2"/>
      <c r="F1" s="3"/>
    </row>
    <row r="2" ht="19.5" customHeight="1">
      <c r="A2" s="5" t="s">
        <v>449</v>
      </c>
      <c r="B2" s="2"/>
      <c r="C2" s="2"/>
      <c r="D2" s="2"/>
      <c r="E2" s="2"/>
      <c r="F2" s="3"/>
    </row>
    <row r="3" ht="7.5" customHeight="1">
      <c r="A3" s="30"/>
      <c r="B3" s="30"/>
      <c r="C3" s="30"/>
      <c r="D3" s="30"/>
      <c r="E3" s="30"/>
      <c r="F3" s="30"/>
    </row>
    <row r="4" ht="21.75" customHeight="1">
      <c r="A4" s="6" t="s">
        <v>450</v>
      </c>
      <c r="B4" s="2"/>
      <c r="C4" s="2"/>
      <c r="D4" s="2"/>
      <c r="E4" s="2"/>
      <c r="F4" s="3"/>
    </row>
    <row r="5" ht="27.75" customHeight="1">
      <c r="A5" s="7" t="s">
        <v>451</v>
      </c>
      <c r="B5" s="7" t="s">
        <v>452</v>
      </c>
      <c r="C5" s="7" t="s">
        <v>453</v>
      </c>
      <c r="D5" s="7" t="s">
        <v>152</v>
      </c>
      <c r="E5" s="7" t="s">
        <v>454</v>
      </c>
      <c r="F5" s="7" t="s">
        <v>455</v>
      </c>
    </row>
    <row r="6" ht="27.75" customHeight="1">
      <c r="A6" s="145" t="s">
        <v>456</v>
      </c>
      <c r="B6" s="146">
        <f>IFERROR(SUMIFS(SUMMARY_ENGINE!$I:$I,SUMMARY_ENGINE!$A:$A,"HZN-*"),0)</f>
        <v>113800000</v>
      </c>
      <c r="C6" s="91" t="s">
        <v>457</v>
      </c>
      <c r="D6" s="147" t="str">
        <f>IF(B6&gt;=300000000,"✓ TERCAPAI","⚠ KURANG")</f>
        <v>⚠ KURANG</v>
      </c>
      <c r="E6" s="13" t="s">
        <v>458</v>
      </c>
      <c r="F6" s="148" t="s">
        <v>459</v>
      </c>
    </row>
    <row r="7" ht="27.75" customHeight="1">
      <c r="A7" s="149" t="s">
        <v>460</v>
      </c>
      <c r="B7" s="150">
        <f>IFERROR(SUMIFS(SUMMARY_ENGINE!$J:$J,SUMMARY_ENGINE!$A:$A,"HZN-*"),0)</f>
        <v>-102167000</v>
      </c>
      <c r="C7" s="85" t="s">
        <v>461</v>
      </c>
      <c r="D7" s="151" t="str">
        <f>IF(B7&gt;=0,"✓ POSITIF","⚠ NEGATIF")</f>
        <v>⚠ NEGATIF</v>
      </c>
      <c r="E7" s="10" t="s">
        <v>462</v>
      </c>
      <c r="F7" s="152" t="s">
        <v>463</v>
      </c>
    </row>
    <row r="8" ht="27.75" customHeight="1">
      <c r="A8" s="145" t="s">
        <v>464</v>
      </c>
      <c r="B8" s="153">
        <f>IFERROR(IF(B6=0,0,B7/B6),0)</f>
        <v>-0.8977768014</v>
      </c>
      <c r="C8" s="91" t="s">
        <v>465</v>
      </c>
      <c r="D8" s="147" t="str">
        <f>IF(B8&gt;=PARAM_MARGIN_TARGET,"✓ SEHAT",IF(B8&gt;=PARAM_MARGIN_WARNING,"⚠ REVIEW","🚨 KRITIS"))</f>
        <v>🚨 KRITIS</v>
      </c>
      <c r="E8" s="13" t="s">
        <v>466</v>
      </c>
      <c r="F8" s="148" t="s">
        <v>467</v>
      </c>
    </row>
    <row r="9" ht="27.75" customHeight="1">
      <c r="A9" s="149" t="s">
        <v>468</v>
      </c>
      <c r="B9" s="146">
        <f>IFERROR(COUNTIF(SUMMARY_ENGINE!$N$4:$N$203,"SOLD OUT"),0)</f>
        <v>2</v>
      </c>
      <c r="C9" s="85" t="s">
        <v>469</v>
      </c>
      <c r="D9" s="151" t="str">
        <f>IF(B9&gt;=3,"✓ BAGUS",IF(B9&gt;=1,"⚠ PERLU LEBIH","⚠ NIHIL"))</f>
        <v>⚠ PERLU LEBIH</v>
      </c>
      <c r="E9" s="10" t="s">
        <v>470</v>
      </c>
      <c r="F9" s="152" t="s">
        <v>471</v>
      </c>
    </row>
    <row r="10" ht="27.75" customHeight="1">
      <c r="A10" s="145" t="s">
        <v>472</v>
      </c>
      <c r="B10" s="146">
        <f>IFERROR(COUNTIF(SUMMARY_ENGINE!$N$4:$N$203,"BELUM TERJUAL")+COUNTIF(SUMMARY_ENGINE!$N$4:$N$203,"SLOW MOVE")+COUNTIF(SUMMARY_ENGINE!$N$4:$N$203,"STUCK"),0)</f>
        <v>5</v>
      </c>
      <c r="C10" s="91" t="s">
        <v>473</v>
      </c>
      <c r="D10" s="147" t="str">
        <f>IF(B10=0,"✓ NIHIL",IF(B10&lt;=2,"⚠ PERHATIAN","🚨 "&amp;B10&amp;" ORDER"))</f>
        <v>🚨 5 ORDER</v>
      </c>
      <c r="E10" s="13" t="s">
        <v>474</v>
      </c>
      <c r="F10" s="148" t="s">
        <v>475</v>
      </c>
    </row>
    <row r="11" ht="27.75" customHeight="1">
      <c r="A11" s="149" t="s">
        <v>476</v>
      </c>
      <c r="B11" s="146">
        <f t="array" ref="B11">IFERROR(INDEX(CASHFLOW!$G:$G,MATCH(2,1/(CASHFLOW!$A:$A&lt;&gt;""),1)),0)</f>
        <v>111300000</v>
      </c>
      <c r="C11" s="85" t="s">
        <v>477</v>
      </c>
      <c r="D11" s="151" t="str">
        <f>IF(B11&gt;=50000000,"✓ AMAN",IF(B11&gt;=0,"⚡ KRITIS","🚨 NEGATIF"))</f>
        <v>✓ AMAN</v>
      </c>
      <c r="E11" s="10" t="s">
        <v>478</v>
      </c>
      <c r="F11" s="152" t="s">
        <v>479</v>
      </c>
    </row>
    <row r="12" ht="27.75" customHeight="1">
      <c r="A12" s="145" t="s">
        <v>480</v>
      </c>
      <c r="B12" s="153">
        <f>IFERROR(AVERAGEIFS(PRODUCTION_PLAN!$J$4:$J$203,PRODUCTION_PLAN!$A$4:$A$203,"HZN-*",PRODUCTION_PLAN!$E$4:$E$203,"&gt;"&amp;0),0)</f>
        <v>0.03910685896</v>
      </c>
      <c r="C12" s="91" t="s">
        <v>481</v>
      </c>
      <c r="D12" s="147" t="str">
        <f>IF(B12&lt;PARAM_REJECT_MAX,"✓ OK",IF(B12&lt;0.1,"⚠ PERHATIAN","🚨 ESKALASI"))</f>
        <v>✓ OK</v>
      </c>
      <c r="E12" s="13" t="s">
        <v>482</v>
      </c>
      <c r="F12" s="148" t="s">
        <v>483</v>
      </c>
    </row>
    <row r="13" ht="27.75" customHeight="1">
      <c r="A13" s="149" t="s">
        <v>484</v>
      </c>
      <c r="B13" s="153">
        <f>IFERROR(IF(SUMIFS(SUMMARY_ENGINE!$E:$E,SUMMARY_ENGINE!$A:$A,"HZN-*")=0,0,SUMIFS(SUMMARY_ENGINE!$F:$F,SUMMARY_ENGINE!$A:$A,"HZN-*")/SUMIFS(SUMMARY_ENGINE!$E:$E,SUMMARY_ENGINE!$A:$A,"HZN-*")),0)</f>
        <v>0.3705941591</v>
      </c>
      <c r="C13" s="85" t="s">
        <v>485</v>
      </c>
      <c r="D13" s="151" t="str">
        <f>IF(B13&gt;=0.7,"✓ SEHAT",IF(B13&gt;=0.5,"⚠ REVIEW","🚨 RENDAH"))</f>
        <v>🚨 RENDAH</v>
      </c>
      <c r="E13" s="10" t="s">
        <v>486</v>
      </c>
      <c r="F13" s="152" t="s">
        <v>487</v>
      </c>
    </row>
    <row r="14">
      <c r="A14" s="30"/>
      <c r="B14" s="30"/>
      <c r="C14" s="30"/>
      <c r="D14" s="30"/>
      <c r="E14" s="30"/>
      <c r="F14" s="30"/>
    </row>
    <row r="15" ht="7.5" customHeight="1">
      <c r="A15" s="30"/>
      <c r="B15" s="30"/>
      <c r="C15" s="30"/>
      <c r="D15" s="30"/>
      <c r="E15" s="30"/>
      <c r="F15" s="30"/>
    </row>
    <row r="16" ht="21.75" customHeight="1">
      <c r="A16" s="6" t="s">
        <v>488</v>
      </c>
      <c r="B16" s="2"/>
      <c r="C16" s="2"/>
      <c r="D16" s="2"/>
      <c r="E16" s="2"/>
      <c r="F16" s="3"/>
    </row>
    <row r="17" ht="27.75" customHeight="1">
      <c r="A17" s="7" t="s">
        <v>489</v>
      </c>
      <c r="B17" s="7" t="s">
        <v>490</v>
      </c>
      <c r="C17" s="7" t="s">
        <v>491</v>
      </c>
      <c r="D17" s="7" t="s">
        <v>152</v>
      </c>
      <c r="E17" s="7" t="s">
        <v>424</v>
      </c>
      <c r="F17" s="7" t="s">
        <v>492</v>
      </c>
    </row>
    <row r="18" ht="21.75" customHeight="1">
      <c r="A18" s="151" t="s">
        <v>493</v>
      </c>
      <c r="B18" s="154">
        <f>PARAM_PCT_JEEHANA</f>
        <v>0.4</v>
      </c>
      <c r="C18" s="155">
        <f>IFERROR(PARAM_PCT_JEEHANA*B7,0)</f>
        <v>-40866800</v>
      </c>
      <c r="D18" s="85" t="str">
        <f t="shared" ref="D18:D20" si="1">IF(C18&gt;0,"✓ "&amp;TEXT(C18,"#,##0"),"⚠ "&amp;TEXT(C18,"#,##0"))</f>
        <v>⚠ -40.866.800</v>
      </c>
      <c r="E18" s="84" t="s">
        <v>494</v>
      </c>
      <c r="F18" s="84" t="s">
        <v>495</v>
      </c>
    </row>
    <row r="19" ht="21.75" customHeight="1">
      <c r="A19" s="147" t="s">
        <v>496</v>
      </c>
      <c r="B19" s="156">
        <f>PARAM_PCT_HASAN</f>
        <v>0.3</v>
      </c>
      <c r="C19" s="155">
        <f>IFERROR(PARAM_PCT_HASAN*B7,0)</f>
        <v>-30650100</v>
      </c>
      <c r="D19" s="91" t="str">
        <f t="shared" si="1"/>
        <v>⚠ -30.650.100</v>
      </c>
      <c r="E19" s="90" t="s">
        <v>497</v>
      </c>
      <c r="F19" s="90" t="s">
        <v>498</v>
      </c>
    </row>
    <row r="20" ht="21.75" customHeight="1">
      <c r="A20" s="151" t="s">
        <v>499</v>
      </c>
      <c r="B20" s="154">
        <f>PARAM_PCT_KAS</f>
        <v>0.3</v>
      </c>
      <c r="C20" s="155">
        <f>IFERROR(PARAM_PCT_KAS*B7,0)</f>
        <v>-30650100</v>
      </c>
      <c r="D20" s="85" t="str">
        <f t="shared" si="1"/>
        <v>⚠ -30.650.100</v>
      </c>
      <c r="E20" s="84" t="s">
        <v>500</v>
      </c>
      <c r="F20" s="84" t="s">
        <v>501</v>
      </c>
    </row>
    <row r="21" ht="25.5" customHeight="1">
      <c r="A21" s="157" t="s">
        <v>502</v>
      </c>
      <c r="B21" s="158"/>
      <c r="C21" s="159">
        <f>IFERROR(C18+C19+C20,0)</f>
        <v>-102167000</v>
      </c>
      <c r="D21" s="160" t="str">
        <f>IF(ABS(B18+B19+B20-1)&lt;0.001,"✓  DISTRIBUSI 100% — VALID","⚠  ERROR: Total "&amp;TEXT(B18+B19+B20,"0%")&amp;" — Harus 100%!")</f>
        <v>✓  DISTRIBUSI 100% — VALID</v>
      </c>
      <c r="E21" s="108"/>
      <c r="F21" s="109"/>
    </row>
    <row r="22" ht="15.75" customHeight="1">
      <c r="A22" s="30"/>
      <c r="B22" s="30"/>
      <c r="C22" s="30"/>
      <c r="D22" s="30"/>
      <c r="E22" s="30"/>
      <c r="F22" s="30"/>
    </row>
    <row r="23" ht="15.75" customHeight="1">
      <c r="A23" s="30"/>
      <c r="B23" s="30"/>
      <c r="C23" s="30"/>
      <c r="D23" s="30"/>
      <c r="E23" s="30"/>
      <c r="F23" s="30"/>
    </row>
    <row r="24" ht="15.75" customHeight="1">
      <c r="A24" s="30"/>
      <c r="B24" s="30"/>
      <c r="C24" s="30"/>
      <c r="D24" s="30"/>
      <c r="E24" s="30"/>
      <c r="F24" s="30"/>
    </row>
    <row r="25" ht="15.75" customHeight="1">
      <c r="A25" s="30"/>
      <c r="B25" s="30"/>
      <c r="C25" s="30"/>
      <c r="D25" s="30"/>
      <c r="E25" s="30"/>
      <c r="F25" s="30"/>
    </row>
    <row r="26" ht="15.75" customHeight="1">
      <c r="A26" s="30"/>
      <c r="B26" s="30"/>
      <c r="C26" s="30"/>
      <c r="D26" s="30"/>
      <c r="E26" s="30"/>
      <c r="F26" s="30"/>
    </row>
    <row r="27" ht="15.75" customHeight="1">
      <c r="A27" s="30"/>
      <c r="B27" s="30"/>
      <c r="C27" s="30"/>
      <c r="D27" s="30"/>
      <c r="E27" s="30"/>
      <c r="F27" s="30"/>
    </row>
    <row r="28" ht="15.75" customHeight="1">
      <c r="A28" s="30"/>
      <c r="B28" s="30"/>
      <c r="C28" s="30"/>
      <c r="D28" s="30"/>
      <c r="E28" s="30"/>
      <c r="F28" s="30"/>
    </row>
    <row r="29" ht="15.75" customHeight="1">
      <c r="A29" s="30"/>
      <c r="B29" s="30"/>
      <c r="C29" s="30"/>
      <c r="D29" s="30"/>
      <c r="E29" s="30"/>
      <c r="F29" s="30"/>
    </row>
    <row r="30" ht="15.75" customHeight="1">
      <c r="A30" s="30"/>
      <c r="B30" s="30"/>
      <c r="C30" s="30"/>
      <c r="D30" s="30"/>
      <c r="E30" s="30"/>
      <c r="F30" s="30"/>
    </row>
    <row r="31" ht="15.75" customHeight="1">
      <c r="A31" s="30"/>
      <c r="B31" s="30"/>
      <c r="C31" s="30"/>
      <c r="D31" s="30"/>
      <c r="E31" s="30"/>
      <c r="F31" s="30"/>
    </row>
    <row r="32" ht="15.75" customHeight="1">
      <c r="A32" s="30"/>
      <c r="B32" s="30"/>
      <c r="C32" s="30"/>
      <c r="D32" s="30"/>
      <c r="E32" s="30"/>
      <c r="F32" s="30"/>
    </row>
    <row r="33" ht="15.75" customHeight="1">
      <c r="A33" s="30"/>
      <c r="B33" s="30"/>
      <c r="C33" s="30"/>
      <c r="D33" s="30"/>
      <c r="E33" s="30"/>
      <c r="F33" s="30"/>
    </row>
    <row r="34" ht="15.75" customHeight="1">
      <c r="A34" s="30"/>
      <c r="B34" s="30"/>
      <c r="C34" s="30"/>
      <c r="D34" s="30"/>
      <c r="E34" s="30"/>
      <c r="F34" s="30"/>
    </row>
    <row r="35" ht="15.75" customHeight="1">
      <c r="A35" s="30"/>
      <c r="B35" s="30"/>
      <c r="C35" s="30"/>
      <c r="D35" s="30"/>
      <c r="E35" s="30"/>
      <c r="F35" s="30"/>
    </row>
    <row r="36" ht="15.75" customHeight="1">
      <c r="A36" s="30"/>
      <c r="B36" s="30"/>
      <c r="C36" s="30"/>
      <c r="D36" s="30"/>
      <c r="E36" s="30"/>
      <c r="F36" s="30"/>
    </row>
    <row r="37" ht="15.75" customHeight="1">
      <c r="A37" s="30"/>
      <c r="B37" s="30"/>
      <c r="C37" s="30"/>
      <c r="D37" s="30"/>
      <c r="E37" s="30"/>
      <c r="F37" s="30"/>
    </row>
    <row r="38" ht="15.75" customHeight="1">
      <c r="A38" s="30"/>
      <c r="B38" s="30"/>
      <c r="C38" s="30"/>
      <c r="D38" s="30"/>
      <c r="E38" s="30"/>
      <c r="F38" s="30"/>
    </row>
    <row r="39" ht="15.75" customHeight="1">
      <c r="A39" s="30"/>
      <c r="B39" s="30"/>
      <c r="C39" s="30"/>
      <c r="D39" s="30"/>
      <c r="E39" s="30"/>
      <c r="F39" s="30"/>
    </row>
    <row r="40" ht="15.75" customHeight="1">
      <c r="A40" s="30"/>
      <c r="B40" s="30"/>
      <c r="C40" s="30"/>
      <c r="D40" s="30"/>
      <c r="E40" s="30"/>
      <c r="F40" s="30"/>
    </row>
    <row r="41" ht="15.75" customHeight="1">
      <c r="A41" s="30"/>
      <c r="B41" s="30"/>
      <c r="C41" s="30"/>
      <c r="D41" s="30"/>
      <c r="E41" s="30"/>
      <c r="F41" s="30"/>
    </row>
    <row r="42" ht="15.75" customHeight="1">
      <c r="A42" s="30"/>
      <c r="B42" s="30"/>
      <c r="C42" s="30"/>
      <c r="D42" s="30"/>
      <c r="E42" s="30"/>
      <c r="F42" s="30"/>
    </row>
    <row r="43" ht="15.75" customHeight="1">
      <c r="A43" s="30"/>
      <c r="B43" s="30"/>
      <c r="C43" s="30"/>
      <c r="D43" s="30"/>
      <c r="E43" s="30"/>
      <c r="F43" s="30"/>
    </row>
    <row r="44" ht="15.75" customHeight="1">
      <c r="A44" s="30"/>
      <c r="B44" s="30"/>
      <c r="C44" s="30"/>
      <c r="D44" s="30"/>
      <c r="E44" s="30"/>
      <c r="F44" s="30"/>
    </row>
    <row r="45" ht="15.75" customHeight="1">
      <c r="A45" s="30"/>
      <c r="B45" s="30"/>
      <c r="C45" s="30"/>
      <c r="D45" s="30"/>
      <c r="E45" s="30"/>
      <c r="F45" s="30"/>
    </row>
    <row r="46" ht="15.75" customHeight="1">
      <c r="A46" s="30"/>
      <c r="B46" s="30"/>
      <c r="C46" s="30"/>
      <c r="D46" s="30"/>
      <c r="E46" s="30"/>
      <c r="F46" s="30"/>
    </row>
    <row r="47" ht="15.75" customHeight="1">
      <c r="A47" s="30"/>
      <c r="B47" s="30"/>
      <c r="C47" s="30"/>
      <c r="D47" s="30"/>
      <c r="E47" s="30"/>
      <c r="F47" s="30"/>
    </row>
    <row r="48" ht="15.75" customHeight="1">
      <c r="A48" s="30"/>
      <c r="B48" s="30"/>
      <c r="C48" s="30"/>
      <c r="D48" s="30"/>
      <c r="E48" s="30"/>
      <c r="F48" s="30"/>
    </row>
    <row r="49" ht="15.75" customHeight="1">
      <c r="A49" s="30"/>
      <c r="B49" s="30"/>
      <c r="C49" s="30"/>
      <c r="D49" s="30"/>
      <c r="E49" s="30"/>
      <c r="F49" s="30"/>
    </row>
    <row r="50" ht="15.75" customHeight="1">
      <c r="A50" s="30"/>
      <c r="B50" s="30"/>
      <c r="C50" s="30"/>
      <c r="D50" s="30"/>
      <c r="E50" s="30"/>
      <c r="F50" s="30"/>
    </row>
    <row r="51" ht="15.75" customHeight="1">
      <c r="A51" s="30"/>
      <c r="B51" s="30"/>
      <c r="C51" s="30"/>
      <c r="D51" s="30"/>
      <c r="E51" s="30"/>
      <c r="F51" s="30"/>
    </row>
    <row r="52" ht="15.75" customHeight="1">
      <c r="A52" s="30"/>
      <c r="B52" s="30"/>
      <c r="C52" s="30"/>
      <c r="D52" s="30"/>
      <c r="E52" s="30"/>
      <c r="F52" s="30"/>
    </row>
    <row r="53" ht="15.75" customHeight="1">
      <c r="A53" s="30"/>
      <c r="B53" s="30"/>
      <c r="C53" s="30"/>
      <c r="D53" s="30"/>
      <c r="E53" s="30"/>
      <c r="F53" s="30"/>
    </row>
    <row r="54" ht="15.75" customHeight="1">
      <c r="A54" s="30"/>
      <c r="B54" s="30"/>
      <c r="C54" s="30"/>
      <c r="D54" s="30"/>
      <c r="E54" s="30"/>
      <c r="F54" s="30"/>
    </row>
    <row r="55" ht="15.75" customHeight="1">
      <c r="A55" s="30"/>
      <c r="B55" s="30"/>
      <c r="C55" s="30"/>
      <c r="D55" s="30"/>
      <c r="E55" s="30"/>
      <c r="F55" s="30"/>
    </row>
    <row r="56" ht="15.75" customHeight="1">
      <c r="A56" s="30"/>
      <c r="B56" s="30"/>
      <c r="C56" s="30"/>
      <c r="D56" s="30"/>
      <c r="E56" s="30"/>
      <c r="F56" s="30"/>
    </row>
    <row r="57" ht="15.75" customHeight="1">
      <c r="A57" s="30"/>
      <c r="B57" s="30"/>
      <c r="C57" s="30"/>
      <c r="D57" s="30"/>
      <c r="E57" s="30"/>
      <c r="F57" s="30"/>
    </row>
    <row r="58" ht="15.75" customHeight="1">
      <c r="A58" s="30"/>
      <c r="B58" s="30"/>
      <c r="C58" s="30"/>
      <c r="D58" s="30"/>
      <c r="E58" s="30"/>
      <c r="F58" s="30"/>
    </row>
    <row r="59" ht="15.75" customHeight="1">
      <c r="A59" s="30"/>
      <c r="B59" s="30"/>
      <c r="C59" s="30"/>
      <c r="D59" s="30"/>
      <c r="E59" s="30"/>
      <c r="F59" s="30"/>
    </row>
    <row r="60" ht="15.75" customHeight="1">
      <c r="A60" s="30"/>
      <c r="B60" s="30"/>
      <c r="C60" s="30"/>
      <c r="D60" s="30"/>
      <c r="E60" s="30"/>
      <c r="F60" s="30"/>
    </row>
    <row r="61" ht="15.75" customHeight="1">
      <c r="A61" s="30"/>
      <c r="B61" s="30"/>
      <c r="C61" s="30"/>
      <c r="D61" s="30"/>
      <c r="E61" s="30"/>
      <c r="F61" s="30"/>
    </row>
    <row r="62" ht="15.75" customHeight="1">
      <c r="A62" s="30"/>
      <c r="B62" s="30"/>
      <c r="C62" s="30"/>
      <c r="D62" s="30"/>
      <c r="E62" s="30"/>
      <c r="F62" s="30"/>
    </row>
    <row r="63" ht="15.75" customHeight="1">
      <c r="A63" s="30"/>
      <c r="B63" s="30"/>
      <c r="C63" s="30"/>
      <c r="D63" s="30"/>
      <c r="E63" s="30"/>
      <c r="F63" s="30"/>
    </row>
    <row r="64" ht="15.75" customHeight="1">
      <c r="A64" s="30"/>
      <c r="B64" s="30"/>
      <c r="C64" s="30"/>
      <c r="D64" s="30"/>
      <c r="E64" s="30"/>
      <c r="F64" s="30"/>
    </row>
    <row r="65" ht="15.75" customHeight="1">
      <c r="A65" s="30"/>
      <c r="B65" s="30"/>
      <c r="C65" s="30"/>
      <c r="D65" s="30"/>
      <c r="E65" s="30"/>
      <c r="F65" s="30"/>
    </row>
    <row r="66" ht="15.75" customHeight="1">
      <c r="A66" s="30"/>
      <c r="B66" s="30"/>
      <c r="C66" s="30"/>
      <c r="D66" s="30"/>
      <c r="E66" s="30"/>
      <c r="F66" s="30"/>
    </row>
    <row r="67" ht="15.75" customHeight="1">
      <c r="A67" s="30"/>
      <c r="B67" s="30"/>
      <c r="C67" s="30"/>
      <c r="D67" s="30"/>
      <c r="E67" s="30"/>
      <c r="F67" s="30"/>
    </row>
    <row r="68" ht="15.75" customHeight="1">
      <c r="A68" s="30"/>
      <c r="B68" s="30"/>
      <c r="C68" s="30"/>
      <c r="D68" s="30"/>
      <c r="E68" s="30"/>
      <c r="F68" s="30"/>
    </row>
    <row r="69" ht="15.75" customHeight="1">
      <c r="A69" s="30"/>
      <c r="B69" s="30"/>
      <c r="C69" s="30"/>
      <c r="D69" s="30"/>
      <c r="E69" s="30"/>
      <c r="F69" s="30"/>
    </row>
    <row r="70" ht="15.75" customHeight="1">
      <c r="A70" s="30"/>
      <c r="B70" s="30"/>
      <c r="C70" s="30"/>
      <c r="D70" s="30"/>
      <c r="E70" s="30"/>
      <c r="F70" s="30"/>
    </row>
    <row r="71" ht="15.75" customHeight="1">
      <c r="A71" s="30"/>
      <c r="B71" s="30"/>
      <c r="C71" s="30"/>
      <c r="D71" s="30"/>
      <c r="E71" s="30"/>
      <c r="F71" s="30"/>
    </row>
    <row r="72" ht="15.75" customHeight="1">
      <c r="A72" s="30"/>
      <c r="B72" s="30"/>
      <c r="C72" s="30"/>
      <c r="D72" s="30"/>
      <c r="E72" s="30"/>
      <c r="F72" s="30"/>
    </row>
    <row r="73" ht="15.75" customHeight="1">
      <c r="A73" s="30"/>
      <c r="B73" s="30"/>
      <c r="C73" s="30"/>
      <c r="D73" s="30"/>
      <c r="E73" s="30"/>
      <c r="F73" s="30"/>
    </row>
    <row r="74" ht="15.75" customHeight="1">
      <c r="A74" s="30"/>
      <c r="B74" s="30"/>
      <c r="C74" s="30"/>
      <c r="D74" s="30"/>
      <c r="E74" s="30"/>
      <c r="F74" s="30"/>
    </row>
    <row r="75" ht="15.75" customHeight="1">
      <c r="A75" s="30"/>
      <c r="B75" s="30"/>
      <c r="C75" s="30"/>
      <c r="D75" s="30"/>
      <c r="E75" s="30"/>
      <c r="F75" s="30"/>
    </row>
    <row r="76" ht="15.75" customHeight="1">
      <c r="A76" s="30"/>
      <c r="B76" s="30"/>
      <c r="C76" s="30"/>
      <c r="D76" s="30"/>
      <c r="E76" s="30"/>
      <c r="F76" s="30"/>
    </row>
    <row r="77" ht="15.75" customHeight="1">
      <c r="A77" s="30"/>
      <c r="B77" s="30"/>
      <c r="C77" s="30"/>
      <c r="D77" s="30"/>
      <c r="E77" s="30"/>
      <c r="F77" s="30"/>
    </row>
    <row r="78" ht="15.75" customHeight="1">
      <c r="A78" s="30"/>
      <c r="B78" s="30"/>
      <c r="C78" s="30"/>
      <c r="D78" s="30"/>
      <c r="E78" s="30"/>
      <c r="F78" s="30"/>
    </row>
    <row r="79" ht="15.75" customHeight="1">
      <c r="A79" s="30"/>
      <c r="B79" s="30"/>
      <c r="C79" s="30"/>
      <c r="D79" s="30"/>
      <c r="E79" s="30"/>
      <c r="F79" s="30"/>
    </row>
    <row r="80" ht="15.75" customHeight="1">
      <c r="A80" s="30"/>
      <c r="B80" s="30"/>
      <c r="C80" s="30"/>
      <c r="D80" s="30"/>
      <c r="E80" s="30"/>
      <c r="F80" s="30"/>
    </row>
    <row r="81" ht="15.75" customHeight="1">
      <c r="A81" s="30"/>
      <c r="B81" s="30"/>
      <c r="C81" s="30"/>
      <c r="D81" s="30"/>
      <c r="E81" s="30"/>
      <c r="F81" s="30"/>
    </row>
    <row r="82" ht="15.75" customHeight="1">
      <c r="A82" s="30"/>
      <c r="B82" s="30"/>
      <c r="C82" s="30"/>
      <c r="D82" s="30"/>
      <c r="E82" s="30"/>
      <c r="F82" s="30"/>
    </row>
    <row r="83" ht="15.75" customHeight="1">
      <c r="A83" s="30"/>
      <c r="B83" s="30"/>
      <c r="C83" s="30"/>
      <c r="D83" s="30"/>
      <c r="E83" s="30"/>
      <c r="F83" s="30"/>
    </row>
    <row r="84" ht="15.75" customHeight="1">
      <c r="A84" s="30"/>
      <c r="B84" s="30"/>
      <c r="C84" s="30"/>
      <c r="D84" s="30"/>
      <c r="E84" s="30"/>
      <c r="F84" s="30"/>
    </row>
    <row r="85" ht="15.75" customHeight="1">
      <c r="A85" s="30"/>
      <c r="B85" s="30"/>
      <c r="C85" s="30"/>
      <c r="D85" s="30"/>
      <c r="E85" s="30"/>
      <c r="F85" s="30"/>
    </row>
    <row r="86" ht="15.75" customHeight="1">
      <c r="A86" s="30"/>
      <c r="B86" s="30"/>
      <c r="C86" s="30"/>
      <c r="D86" s="30"/>
      <c r="E86" s="30"/>
      <c r="F86" s="30"/>
    </row>
    <row r="87" ht="15.75" customHeight="1">
      <c r="A87" s="30"/>
      <c r="B87" s="30"/>
      <c r="C87" s="30"/>
      <c r="D87" s="30"/>
      <c r="E87" s="30"/>
      <c r="F87" s="30"/>
    </row>
    <row r="88" ht="15.75" customHeight="1">
      <c r="A88" s="30"/>
      <c r="B88" s="30"/>
      <c r="C88" s="30"/>
      <c r="D88" s="30"/>
      <c r="E88" s="30"/>
      <c r="F88" s="30"/>
    </row>
    <row r="89" ht="15.75" customHeight="1">
      <c r="A89" s="30"/>
      <c r="B89" s="30"/>
      <c r="C89" s="30"/>
      <c r="D89" s="30"/>
      <c r="E89" s="30"/>
      <c r="F89" s="30"/>
    </row>
    <row r="90" ht="15.75" customHeight="1">
      <c r="A90" s="30"/>
      <c r="B90" s="30"/>
      <c r="C90" s="30"/>
      <c r="D90" s="30"/>
      <c r="E90" s="30"/>
      <c r="F90" s="30"/>
    </row>
    <row r="91" ht="15.75" customHeight="1">
      <c r="A91" s="30"/>
      <c r="B91" s="30"/>
      <c r="C91" s="30"/>
      <c r="D91" s="30"/>
      <c r="E91" s="30"/>
      <c r="F91" s="30"/>
    </row>
    <row r="92" ht="15.75" customHeight="1">
      <c r="A92" s="30"/>
      <c r="B92" s="30"/>
      <c r="C92" s="30"/>
      <c r="D92" s="30"/>
      <c r="E92" s="30"/>
      <c r="F92" s="30"/>
    </row>
    <row r="93" ht="15.75" customHeight="1">
      <c r="A93" s="30"/>
      <c r="B93" s="30"/>
      <c r="C93" s="30"/>
      <c r="D93" s="30"/>
      <c r="E93" s="30"/>
      <c r="F93" s="30"/>
    </row>
    <row r="94" ht="15.75" customHeight="1">
      <c r="A94" s="30"/>
      <c r="B94" s="30"/>
      <c r="C94" s="30"/>
      <c r="D94" s="30"/>
      <c r="E94" s="30"/>
      <c r="F94" s="30"/>
    </row>
    <row r="95" ht="15.75" customHeight="1">
      <c r="A95" s="30"/>
      <c r="B95" s="30"/>
      <c r="C95" s="30"/>
      <c r="D95" s="30"/>
      <c r="E95" s="30"/>
      <c r="F95" s="30"/>
    </row>
    <row r="96" ht="15.75" customHeight="1">
      <c r="A96" s="30"/>
      <c r="B96" s="30"/>
      <c r="C96" s="30"/>
      <c r="D96" s="30"/>
      <c r="E96" s="30"/>
      <c r="F96" s="30"/>
    </row>
    <row r="97" ht="15.75" customHeight="1">
      <c r="A97" s="30"/>
      <c r="B97" s="30"/>
      <c r="C97" s="30"/>
      <c r="D97" s="30"/>
      <c r="E97" s="30"/>
      <c r="F97" s="30"/>
    </row>
    <row r="98" ht="15.75" customHeight="1">
      <c r="A98" s="30"/>
      <c r="B98" s="30"/>
      <c r="C98" s="30"/>
      <c r="D98" s="30"/>
      <c r="E98" s="30"/>
      <c r="F98" s="30"/>
    </row>
    <row r="99" ht="15.75" customHeight="1">
      <c r="A99" s="30"/>
      <c r="B99" s="30"/>
      <c r="C99" s="30"/>
      <c r="D99" s="30"/>
      <c r="E99" s="30"/>
      <c r="F99" s="30"/>
    </row>
    <row r="100" ht="15.75" customHeight="1">
      <c r="A100" s="30"/>
      <c r="B100" s="30"/>
      <c r="C100" s="30"/>
      <c r="D100" s="30"/>
      <c r="E100" s="30"/>
      <c r="F100" s="30"/>
    </row>
    <row r="101" ht="15.75" customHeight="1">
      <c r="A101" s="30"/>
      <c r="B101" s="30"/>
      <c r="C101" s="30"/>
      <c r="D101" s="30"/>
      <c r="E101" s="30"/>
      <c r="F101" s="30"/>
    </row>
    <row r="102" ht="15.75" customHeight="1">
      <c r="A102" s="30"/>
      <c r="B102" s="30"/>
      <c r="C102" s="30"/>
      <c r="D102" s="30"/>
      <c r="E102" s="30"/>
      <c r="F102" s="30"/>
    </row>
    <row r="103" ht="15.75" customHeight="1">
      <c r="A103" s="30"/>
      <c r="B103" s="30"/>
      <c r="C103" s="30"/>
      <c r="D103" s="30"/>
      <c r="E103" s="30"/>
      <c r="F103" s="30"/>
    </row>
    <row r="104" ht="15.75" customHeight="1">
      <c r="A104" s="30"/>
      <c r="B104" s="30"/>
      <c r="C104" s="30"/>
      <c r="D104" s="30"/>
      <c r="E104" s="30"/>
      <c r="F104" s="30"/>
    </row>
    <row r="105" ht="15.75" customHeight="1">
      <c r="A105" s="30"/>
      <c r="B105" s="30"/>
      <c r="C105" s="30"/>
      <c r="D105" s="30"/>
      <c r="E105" s="30"/>
      <c r="F105" s="30"/>
    </row>
    <row r="106" ht="15.75" customHeight="1">
      <c r="A106" s="30"/>
      <c r="B106" s="30"/>
      <c r="C106" s="30"/>
      <c r="D106" s="30"/>
      <c r="E106" s="30"/>
      <c r="F106" s="30"/>
    </row>
    <row r="107" ht="15.75" customHeight="1">
      <c r="A107" s="30"/>
      <c r="B107" s="30"/>
      <c r="C107" s="30"/>
      <c r="D107" s="30"/>
      <c r="E107" s="30"/>
      <c r="F107" s="30"/>
    </row>
    <row r="108" ht="15.75" customHeight="1">
      <c r="A108" s="30"/>
      <c r="B108" s="30"/>
      <c r="C108" s="30"/>
      <c r="D108" s="30"/>
      <c r="E108" s="30"/>
      <c r="F108" s="30"/>
    </row>
    <row r="109" ht="15.75" customHeight="1">
      <c r="A109" s="30"/>
      <c r="B109" s="30"/>
      <c r="C109" s="30"/>
      <c r="D109" s="30"/>
      <c r="E109" s="30"/>
      <c r="F109" s="30"/>
    </row>
    <row r="110" ht="15.75" customHeight="1">
      <c r="A110" s="30"/>
      <c r="B110" s="30"/>
      <c r="C110" s="30"/>
      <c r="D110" s="30"/>
      <c r="E110" s="30"/>
      <c r="F110" s="30"/>
    </row>
    <row r="111" ht="15.75" customHeight="1">
      <c r="A111" s="30"/>
      <c r="B111" s="30"/>
      <c r="C111" s="30"/>
      <c r="D111" s="30"/>
      <c r="E111" s="30"/>
      <c r="F111" s="30"/>
    </row>
    <row r="112" ht="15.75" customHeight="1">
      <c r="A112" s="30"/>
      <c r="B112" s="30"/>
      <c r="C112" s="30"/>
      <c r="D112" s="30"/>
      <c r="E112" s="30"/>
      <c r="F112" s="30"/>
    </row>
    <row r="113" ht="15.75" customHeight="1">
      <c r="A113" s="30"/>
      <c r="B113" s="30"/>
      <c r="C113" s="30"/>
      <c r="D113" s="30"/>
      <c r="E113" s="30"/>
      <c r="F113" s="30"/>
    </row>
    <row r="114" ht="15.75" customHeight="1">
      <c r="A114" s="30"/>
      <c r="B114" s="30"/>
      <c r="C114" s="30"/>
      <c r="D114" s="30"/>
      <c r="E114" s="30"/>
      <c r="F114" s="30"/>
    </row>
    <row r="115" ht="15.75" customHeight="1">
      <c r="A115" s="30"/>
      <c r="B115" s="30"/>
      <c r="C115" s="30"/>
      <c r="D115" s="30"/>
      <c r="E115" s="30"/>
      <c r="F115" s="30"/>
    </row>
    <row r="116" ht="15.75" customHeight="1">
      <c r="A116" s="30"/>
      <c r="B116" s="30"/>
      <c r="C116" s="30"/>
      <c r="D116" s="30"/>
      <c r="E116" s="30"/>
      <c r="F116" s="30"/>
    </row>
    <row r="117" ht="15.75" customHeight="1">
      <c r="A117" s="30"/>
      <c r="B117" s="30"/>
      <c r="C117" s="30"/>
      <c r="D117" s="30"/>
      <c r="E117" s="30"/>
      <c r="F117" s="30"/>
    </row>
    <row r="118" ht="15.75" customHeight="1">
      <c r="A118" s="30"/>
      <c r="B118" s="30"/>
      <c r="C118" s="30"/>
      <c r="D118" s="30"/>
      <c r="E118" s="30"/>
      <c r="F118" s="30"/>
    </row>
    <row r="119" ht="15.75" customHeight="1">
      <c r="A119" s="30"/>
      <c r="B119" s="30"/>
      <c r="C119" s="30"/>
      <c r="D119" s="30"/>
      <c r="E119" s="30"/>
      <c r="F119" s="30"/>
    </row>
    <row r="120" ht="15.75" customHeight="1">
      <c r="A120" s="30"/>
      <c r="B120" s="30"/>
      <c r="C120" s="30"/>
      <c r="D120" s="30"/>
      <c r="E120" s="30"/>
      <c r="F120" s="30"/>
    </row>
    <row r="121" ht="15.75" customHeight="1">
      <c r="A121" s="30"/>
      <c r="B121" s="30"/>
      <c r="C121" s="30"/>
      <c r="D121" s="30"/>
      <c r="E121" s="30"/>
      <c r="F121" s="30"/>
    </row>
    <row r="122" ht="15.75" customHeight="1">
      <c r="A122" s="30"/>
      <c r="B122" s="30"/>
      <c r="C122" s="30"/>
      <c r="D122" s="30"/>
      <c r="E122" s="30"/>
      <c r="F122" s="30"/>
    </row>
    <row r="123" ht="15.75" customHeight="1">
      <c r="A123" s="30"/>
      <c r="B123" s="30"/>
      <c r="C123" s="30"/>
      <c r="D123" s="30"/>
      <c r="E123" s="30"/>
      <c r="F123" s="30"/>
    </row>
    <row r="124" ht="15.75" customHeight="1">
      <c r="A124" s="30"/>
      <c r="B124" s="30"/>
      <c r="C124" s="30"/>
      <c r="D124" s="30"/>
      <c r="E124" s="30"/>
      <c r="F124" s="30"/>
    </row>
    <row r="125" ht="15.75" customHeight="1">
      <c r="A125" s="30"/>
      <c r="B125" s="30"/>
      <c r="C125" s="30"/>
      <c r="D125" s="30"/>
      <c r="E125" s="30"/>
      <c r="F125" s="30"/>
    </row>
    <row r="126" ht="15.75" customHeight="1">
      <c r="A126" s="30"/>
      <c r="B126" s="30"/>
      <c r="C126" s="30"/>
      <c r="D126" s="30"/>
      <c r="E126" s="30"/>
      <c r="F126" s="30"/>
    </row>
    <row r="127" ht="15.75" customHeight="1">
      <c r="A127" s="30"/>
      <c r="B127" s="30"/>
      <c r="C127" s="30"/>
      <c r="D127" s="30"/>
      <c r="E127" s="30"/>
      <c r="F127" s="30"/>
    </row>
    <row r="128" ht="15.75" customHeight="1">
      <c r="A128" s="30"/>
      <c r="B128" s="30"/>
      <c r="C128" s="30"/>
      <c r="D128" s="30"/>
      <c r="E128" s="30"/>
      <c r="F128" s="30"/>
    </row>
    <row r="129" ht="15.75" customHeight="1">
      <c r="A129" s="30"/>
      <c r="B129" s="30"/>
      <c r="C129" s="30"/>
      <c r="D129" s="30"/>
      <c r="E129" s="30"/>
      <c r="F129" s="30"/>
    </row>
    <row r="130" ht="15.75" customHeight="1">
      <c r="A130" s="30"/>
      <c r="B130" s="30"/>
      <c r="C130" s="30"/>
      <c r="D130" s="30"/>
      <c r="E130" s="30"/>
      <c r="F130" s="30"/>
    </row>
    <row r="131" ht="15.75" customHeight="1">
      <c r="A131" s="30"/>
      <c r="B131" s="30"/>
      <c r="C131" s="30"/>
      <c r="D131" s="30"/>
      <c r="E131" s="30"/>
      <c r="F131" s="30"/>
    </row>
    <row r="132" ht="15.75" customHeight="1">
      <c r="A132" s="30"/>
      <c r="B132" s="30"/>
      <c r="C132" s="30"/>
      <c r="D132" s="30"/>
      <c r="E132" s="30"/>
      <c r="F132" s="30"/>
    </row>
    <row r="133" ht="15.75" customHeight="1">
      <c r="A133" s="30"/>
      <c r="B133" s="30"/>
      <c r="C133" s="30"/>
      <c r="D133" s="30"/>
      <c r="E133" s="30"/>
      <c r="F133" s="30"/>
    </row>
    <row r="134" ht="15.75" customHeight="1">
      <c r="A134" s="30"/>
      <c r="B134" s="30"/>
      <c r="C134" s="30"/>
      <c r="D134" s="30"/>
      <c r="E134" s="30"/>
      <c r="F134" s="30"/>
    </row>
    <row r="135" ht="15.75" customHeight="1">
      <c r="A135" s="30"/>
      <c r="B135" s="30"/>
      <c r="C135" s="30"/>
      <c r="D135" s="30"/>
      <c r="E135" s="30"/>
      <c r="F135" s="30"/>
    </row>
    <row r="136" ht="15.75" customHeight="1">
      <c r="A136" s="30"/>
      <c r="B136" s="30"/>
      <c r="C136" s="30"/>
      <c r="D136" s="30"/>
      <c r="E136" s="30"/>
      <c r="F136" s="30"/>
    </row>
    <row r="137" ht="15.75" customHeight="1">
      <c r="A137" s="30"/>
      <c r="B137" s="30"/>
      <c r="C137" s="30"/>
      <c r="D137" s="30"/>
      <c r="E137" s="30"/>
      <c r="F137" s="30"/>
    </row>
    <row r="138" ht="15.75" customHeight="1">
      <c r="A138" s="30"/>
      <c r="B138" s="30"/>
      <c r="C138" s="30"/>
      <c r="D138" s="30"/>
      <c r="E138" s="30"/>
      <c r="F138" s="30"/>
    </row>
    <row r="139" ht="15.75" customHeight="1">
      <c r="A139" s="30"/>
      <c r="B139" s="30"/>
      <c r="C139" s="30"/>
      <c r="D139" s="30"/>
      <c r="E139" s="30"/>
      <c r="F139" s="30"/>
    </row>
    <row r="140" ht="15.75" customHeight="1">
      <c r="A140" s="30"/>
      <c r="B140" s="30"/>
      <c r="C140" s="30"/>
      <c r="D140" s="30"/>
      <c r="E140" s="30"/>
      <c r="F140" s="30"/>
    </row>
    <row r="141" ht="15.75" customHeight="1">
      <c r="A141" s="30"/>
      <c r="B141" s="30"/>
      <c r="C141" s="30"/>
      <c r="D141" s="30"/>
      <c r="E141" s="30"/>
      <c r="F141" s="30"/>
    </row>
    <row r="142" ht="15.75" customHeight="1">
      <c r="A142" s="30"/>
      <c r="B142" s="30"/>
      <c r="C142" s="30"/>
      <c r="D142" s="30"/>
      <c r="E142" s="30"/>
      <c r="F142" s="30"/>
    </row>
    <row r="143" ht="15.75" customHeight="1">
      <c r="A143" s="30"/>
      <c r="B143" s="30"/>
      <c r="C143" s="30"/>
      <c r="D143" s="30"/>
      <c r="E143" s="30"/>
      <c r="F143" s="30"/>
    </row>
    <row r="144" ht="15.75" customHeight="1">
      <c r="A144" s="30"/>
      <c r="B144" s="30"/>
      <c r="C144" s="30"/>
      <c r="D144" s="30"/>
      <c r="E144" s="30"/>
      <c r="F144" s="30"/>
    </row>
    <row r="145" ht="15.75" customHeight="1">
      <c r="A145" s="30"/>
      <c r="B145" s="30"/>
      <c r="C145" s="30"/>
      <c r="D145" s="30"/>
      <c r="E145" s="30"/>
      <c r="F145" s="30"/>
    </row>
    <row r="146" ht="15.75" customHeight="1">
      <c r="A146" s="30"/>
      <c r="B146" s="30"/>
      <c r="C146" s="30"/>
      <c r="D146" s="30"/>
      <c r="E146" s="30"/>
      <c r="F146" s="30"/>
    </row>
    <row r="147" ht="15.75" customHeight="1">
      <c r="A147" s="30"/>
      <c r="B147" s="30"/>
      <c r="C147" s="30"/>
      <c r="D147" s="30"/>
      <c r="E147" s="30"/>
      <c r="F147" s="30"/>
    </row>
    <row r="148" ht="15.75" customHeight="1">
      <c r="A148" s="30"/>
      <c r="B148" s="30"/>
      <c r="C148" s="30"/>
      <c r="D148" s="30"/>
      <c r="E148" s="30"/>
      <c r="F148" s="30"/>
    </row>
    <row r="149" ht="15.75" customHeight="1">
      <c r="A149" s="30"/>
      <c r="B149" s="30"/>
      <c r="C149" s="30"/>
      <c r="D149" s="30"/>
      <c r="E149" s="30"/>
      <c r="F149" s="30"/>
    </row>
    <row r="150" ht="15.75" customHeight="1">
      <c r="A150" s="30"/>
      <c r="B150" s="30"/>
      <c r="C150" s="30"/>
      <c r="D150" s="30"/>
      <c r="E150" s="30"/>
      <c r="F150" s="30"/>
    </row>
    <row r="151" ht="15.75" customHeight="1">
      <c r="A151" s="30"/>
      <c r="B151" s="30"/>
      <c r="C151" s="30"/>
      <c r="D151" s="30"/>
      <c r="E151" s="30"/>
      <c r="F151" s="30"/>
    </row>
    <row r="152" ht="15.75" customHeight="1">
      <c r="A152" s="30"/>
      <c r="B152" s="30"/>
      <c r="C152" s="30"/>
      <c r="D152" s="30"/>
      <c r="E152" s="30"/>
      <c r="F152" s="30"/>
    </row>
    <row r="153" ht="15.75" customHeight="1">
      <c r="A153" s="30"/>
      <c r="B153" s="30"/>
      <c r="C153" s="30"/>
      <c r="D153" s="30"/>
      <c r="E153" s="30"/>
      <c r="F153" s="30"/>
    </row>
    <row r="154" ht="15.75" customHeight="1">
      <c r="A154" s="30"/>
      <c r="B154" s="30"/>
      <c r="C154" s="30"/>
      <c r="D154" s="30"/>
      <c r="E154" s="30"/>
      <c r="F154" s="30"/>
    </row>
    <row r="155" ht="15.75" customHeight="1">
      <c r="A155" s="30"/>
      <c r="B155" s="30"/>
      <c r="C155" s="30"/>
      <c r="D155" s="30"/>
      <c r="E155" s="30"/>
      <c r="F155" s="30"/>
    </row>
    <row r="156" ht="15.75" customHeight="1">
      <c r="A156" s="30"/>
      <c r="B156" s="30"/>
      <c r="C156" s="30"/>
      <c r="D156" s="30"/>
      <c r="E156" s="30"/>
      <c r="F156" s="30"/>
    </row>
    <row r="157" ht="15.75" customHeight="1">
      <c r="A157" s="30"/>
      <c r="B157" s="30"/>
      <c r="C157" s="30"/>
      <c r="D157" s="30"/>
      <c r="E157" s="30"/>
      <c r="F157" s="30"/>
    </row>
    <row r="158" ht="15.75" customHeight="1">
      <c r="A158" s="30"/>
      <c r="B158" s="30"/>
      <c r="C158" s="30"/>
      <c r="D158" s="30"/>
      <c r="E158" s="30"/>
      <c r="F158" s="30"/>
    </row>
    <row r="159" ht="15.75" customHeight="1">
      <c r="A159" s="30"/>
      <c r="B159" s="30"/>
      <c r="C159" s="30"/>
      <c r="D159" s="30"/>
      <c r="E159" s="30"/>
      <c r="F159" s="30"/>
    </row>
    <row r="160" ht="15.75" customHeight="1">
      <c r="A160" s="30"/>
      <c r="B160" s="30"/>
      <c r="C160" s="30"/>
      <c r="D160" s="30"/>
      <c r="E160" s="30"/>
      <c r="F160" s="30"/>
    </row>
    <row r="161" ht="15.75" customHeight="1">
      <c r="A161" s="30"/>
      <c r="B161" s="30"/>
      <c r="C161" s="30"/>
      <c r="D161" s="30"/>
      <c r="E161" s="30"/>
      <c r="F161" s="30"/>
    </row>
    <row r="162" ht="15.75" customHeight="1">
      <c r="A162" s="30"/>
      <c r="B162" s="30"/>
      <c r="C162" s="30"/>
      <c r="D162" s="30"/>
      <c r="E162" s="30"/>
      <c r="F162" s="30"/>
    </row>
    <row r="163" ht="15.75" customHeight="1">
      <c r="A163" s="30"/>
      <c r="B163" s="30"/>
      <c r="C163" s="30"/>
      <c r="D163" s="30"/>
      <c r="E163" s="30"/>
      <c r="F163" s="30"/>
    </row>
    <row r="164" ht="15.75" customHeight="1">
      <c r="A164" s="30"/>
      <c r="B164" s="30"/>
      <c r="C164" s="30"/>
      <c r="D164" s="30"/>
      <c r="E164" s="30"/>
      <c r="F164" s="30"/>
    </row>
    <row r="165" ht="15.75" customHeight="1">
      <c r="A165" s="30"/>
      <c r="B165" s="30"/>
      <c r="C165" s="30"/>
      <c r="D165" s="30"/>
      <c r="E165" s="30"/>
      <c r="F165" s="30"/>
    </row>
    <row r="166" ht="15.75" customHeight="1">
      <c r="A166" s="30"/>
      <c r="B166" s="30"/>
      <c r="C166" s="30"/>
      <c r="D166" s="30"/>
      <c r="E166" s="30"/>
      <c r="F166" s="30"/>
    </row>
    <row r="167" ht="15.75" customHeight="1">
      <c r="A167" s="30"/>
      <c r="B167" s="30"/>
      <c r="C167" s="30"/>
      <c r="D167" s="30"/>
      <c r="E167" s="30"/>
      <c r="F167" s="30"/>
    </row>
    <row r="168" ht="15.75" customHeight="1">
      <c r="A168" s="30"/>
      <c r="B168" s="30"/>
      <c r="C168" s="30"/>
      <c r="D168" s="30"/>
      <c r="E168" s="30"/>
      <c r="F168" s="30"/>
    </row>
    <row r="169" ht="15.75" customHeight="1">
      <c r="A169" s="30"/>
      <c r="B169" s="30"/>
      <c r="C169" s="30"/>
      <c r="D169" s="30"/>
      <c r="E169" s="30"/>
      <c r="F169" s="30"/>
    </row>
    <row r="170" ht="15.75" customHeight="1">
      <c r="A170" s="30"/>
      <c r="B170" s="30"/>
      <c r="C170" s="30"/>
      <c r="D170" s="30"/>
      <c r="E170" s="30"/>
      <c r="F170" s="30"/>
    </row>
    <row r="171" ht="15.75" customHeight="1">
      <c r="A171" s="30"/>
      <c r="B171" s="30"/>
      <c r="C171" s="30"/>
      <c r="D171" s="30"/>
      <c r="E171" s="30"/>
      <c r="F171" s="30"/>
    </row>
    <row r="172" ht="15.75" customHeight="1">
      <c r="A172" s="30"/>
      <c r="B172" s="30"/>
      <c r="C172" s="30"/>
      <c r="D172" s="30"/>
      <c r="E172" s="30"/>
      <c r="F172" s="30"/>
    </row>
    <row r="173" ht="15.75" customHeight="1">
      <c r="A173" s="30"/>
      <c r="B173" s="30"/>
      <c r="C173" s="30"/>
      <c r="D173" s="30"/>
      <c r="E173" s="30"/>
      <c r="F173" s="30"/>
    </row>
    <row r="174" ht="15.75" customHeight="1">
      <c r="A174" s="30"/>
      <c r="B174" s="30"/>
      <c r="C174" s="30"/>
      <c r="D174" s="30"/>
      <c r="E174" s="30"/>
      <c r="F174" s="30"/>
    </row>
    <row r="175" ht="15.75" customHeight="1">
      <c r="A175" s="30"/>
      <c r="B175" s="30"/>
      <c r="C175" s="30"/>
      <c r="D175" s="30"/>
      <c r="E175" s="30"/>
      <c r="F175" s="30"/>
    </row>
    <row r="176" ht="15.75" customHeight="1">
      <c r="A176" s="30"/>
      <c r="B176" s="30"/>
      <c r="C176" s="30"/>
      <c r="D176" s="30"/>
      <c r="E176" s="30"/>
      <c r="F176" s="30"/>
    </row>
    <row r="177" ht="15.75" customHeight="1">
      <c r="A177" s="30"/>
      <c r="B177" s="30"/>
      <c r="C177" s="30"/>
      <c r="D177" s="30"/>
      <c r="E177" s="30"/>
      <c r="F177" s="30"/>
    </row>
    <row r="178" ht="15.75" customHeight="1">
      <c r="A178" s="30"/>
      <c r="B178" s="30"/>
      <c r="C178" s="30"/>
      <c r="D178" s="30"/>
      <c r="E178" s="30"/>
      <c r="F178" s="30"/>
    </row>
    <row r="179" ht="15.75" customHeight="1">
      <c r="A179" s="30"/>
      <c r="B179" s="30"/>
      <c r="C179" s="30"/>
      <c r="D179" s="30"/>
      <c r="E179" s="30"/>
      <c r="F179" s="30"/>
    </row>
    <row r="180" ht="15.75" customHeight="1">
      <c r="A180" s="30"/>
      <c r="B180" s="30"/>
      <c r="C180" s="30"/>
      <c r="D180" s="30"/>
      <c r="E180" s="30"/>
      <c r="F180" s="30"/>
    </row>
    <row r="181" ht="15.75" customHeight="1">
      <c r="A181" s="30"/>
      <c r="B181" s="30"/>
      <c r="C181" s="30"/>
      <c r="D181" s="30"/>
      <c r="E181" s="30"/>
      <c r="F181" s="30"/>
    </row>
    <row r="182" ht="15.75" customHeight="1">
      <c r="A182" s="30"/>
      <c r="B182" s="30"/>
      <c r="C182" s="30"/>
      <c r="D182" s="30"/>
      <c r="E182" s="30"/>
      <c r="F182" s="30"/>
    </row>
    <row r="183" ht="15.75" customHeight="1">
      <c r="A183" s="30"/>
      <c r="B183" s="30"/>
      <c r="C183" s="30"/>
      <c r="D183" s="30"/>
      <c r="E183" s="30"/>
      <c r="F183" s="30"/>
    </row>
    <row r="184" ht="15.75" customHeight="1">
      <c r="A184" s="30"/>
      <c r="B184" s="30"/>
      <c r="C184" s="30"/>
      <c r="D184" s="30"/>
      <c r="E184" s="30"/>
      <c r="F184" s="30"/>
    </row>
    <row r="185" ht="15.75" customHeight="1">
      <c r="A185" s="30"/>
      <c r="B185" s="30"/>
      <c r="C185" s="30"/>
      <c r="D185" s="30"/>
      <c r="E185" s="30"/>
      <c r="F185" s="30"/>
    </row>
    <row r="186" ht="15.75" customHeight="1">
      <c r="A186" s="30"/>
      <c r="B186" s="30"/>
      <c r="C186" s="30"/>
      <c r="D186" s="30"/>
      <c r="E186" s="30"/>
      <c r="F186" s="30"/>
    </row>
    <row r="187" ht="15.75" customHeight="1">
      <c r="A187" s="30"/>
      <c r="B187" s="30"/>
      <c r="C187" s="30"/>
      <c r="D187" s="30"/>
      <c r="E187" s="30"/>
      <c r="F187" s="30"/>
    </row>
    <row r="188" ht="15.75" customHeight="1">
      <c r="A188" s="30"/>
      <c r="B188" s="30"/>
      <c r="C188" s="30"/>
      <c r="D188" s="30"/>
      <c r="E188" s="30"/>
      <c r="F188" s="30"/>
    </row>
    <row r="189" ht="15.75" customHeight="1">
      <c r="A189" s="30"/>
      <c r="B189" s="30"/>
      <c r="C189" s="30"/>
      <c r="D189" s="30"/>
      <c r="E189" s="30"/>
      <c r="F189" s="30"/>
    </row>
    <row r="190" ht="15.75" customHeight="1">
      <c r="A190" s="30"/>
      <c r="B190" s="30"/>
      <c r="C190" s="30"/>
      <c r="D190" s="30"/>
      <c r="E190" s="30"/>
      <c r="F190" s="30"/>
    </row>
    <row r="191" ht="15.75" customHeight="1">
      <c r="A191" s="30"/>
      <c r="B191" s="30"/>
      <c r="C191" s="30"/>
      <c r="D191" s="30"/>
      <c r="E191" s="30"/>
      <c r="F191" s="30"/>
    </row>
    <row r="192" ht="15.75" customHeight="1">
      <c r="A192" s="30"/>
      <c r="B192" s="30"/>
      <c r="C192" s="30"/>
      <c r="D192" s="30"/>
      <c r="E192" s="30"/>
      <c r="F192" s="30"/>
    </row>
    <row r="193" ht="15.75" customHeight="1">
      <c r="A193" s="30"/>
      <c r="B193" s="30"/>
      <c r="C193" s="30"/>
      <c r="D193" s="30"/>
      <c r="E193" s="30"/>
      <c r="F193" s="30"/>
    </row>
    <row r="194" ht="15.75" customHeight="1">
      <c r="A194" s="30"/>
      <c r="B194" s="30"/>
      <c r="C194" s="30"/>
      <c r="D194" s="30"/>
      <c r="E194" s="30"/>
      <c r="F194" s="30"/>
    </row>
    <row r="195" ht="15.75" customHeight="1">
      <c r="A195" s="30"/>
      <c r="B195" s="30"/>
      <c r="C195" s="30"/>
      <c r="D195" s="30"/>
      <c r="E195" s="30"/>
      <c r="F195" s="30"/>
    </row>
    <row r="196" ht="15.75" customHeight="1">
      <c r="A196" s="30"/>
      <c r="B196" s="30"/>
      <c r="C196" s="30"/>
      <c r="D196" s="30"/>
      <c r="E196" s="30"/>
      <c r="F196" s="30"/>
    </row>
    <row r="197" ht="15.75" customHeight="1">
      <c r="A197" s="30"/>
      <c r="B197" s="30"/>
      <c r="C197" s="30"/>
      <c r="D197" s="30"/>
      <c r="E197" s="30"/>
      <c r="F197" s="30"/>
    </row>
    <row r="198" ht="15.75" customHeight="1">
      <c r="A198" s="30"/>
      <c r="B198" s="30"/>
      <c r="C198" s="30"/>
      <c r="D198" s="30"/>
      <c r="E198" s="30"/>
      <c r="F198" s="30"/>
    </row>
    <row r="199" ht="15.75" customHeight="1">
      <c r="A199" s="30"/>
      <c r="B199" s="30"/>
      <c r="C199" s="30"/>
      <c r="D199" s="30"/>
      <c r="E199" s="30"/>
      <c r="F199" s="30"/>
    </row>
    <row r="200" ht="15.75" customHeight="1">
      <c r="A200" s="30"/>
      <c r="B200" s="30"/>
      <c r="C200" s="30"/>
      <c r="D200" s="30"/>
      <c r="E200" s="30"/>
      <c r="F200" s="30"/>
    </row>
    <row r="201" ht="15.75" customHeight="1">
      <c r="A201" s="30"/>
      <c r="B201" s="30"/>
      <c r="C201" s="30"/>
      <c r="D201" s="30"/>
      <c r="E201" s="30"/>
      <c r="F201" s="30"/>
    </row>
    <row r="202" ht="15.75" customHeight="1">
      <c r="A202" s="30"/>
      <c r="B202" s="30"/>
      <c r="C202" s="30"/>
      <c r="D202" s="30"/>
      <c r="E202" s="30"/>
      <c r="F202" s="30"/>
    </row>
    <row r="203" ht="15.75" customHeight="1">
      <c r="A203" s="30"/>
      <c r="B203" s="30"/>
      <c r="C203" s="30"/>
      <c r="D203" s="30"/>
      <c r="E203" s="30"/>
      <c r="F203" s="30"/>
    </row>
    <row r="204" ht="15.75" customHeight="1">
      <c r="A204" s="30"/>
      <c r="B204" s="30"/>
      <c r="C204" s="30"/>
      <c r="D204" s="30"/>
      <c r="E204" s="30"/>
      <c r="F204" s="30"/>
    </row>
    <row r="205" ht="15.75" customHeight="1">
      <c r="A205" s="30"/>
      <c r="B205" s="30"/>
      <c r="C205" s="30"/>
      <c r="D205" s="30"/>
      <c r="E205" s="30"/>
      <c r="F205" s="30"/>
    </row>
    <row r="206" ht="15.75" customHeight="1">
      <c r="A206" s="30"/>
      <c r="B206" s="30"/>
      <c r="C206" s="30"/>
      <c r="D206" s="30"/>
      <c r="E206" s="30"/>
      <c r="F206" s="30"/>
    </row>
    <row r="207" ht="15.75" customHeight="1">
      <c r="A207" s="30"/>
      <c r="B207" s="30"/>
      <c r="C207" s="30"/>
      <c r="D207" s="30"/>
      <c r="E207" s="30"/>
      <c r="F207" s="30"/>
    </row>
    <row r="208" ht="15.75" customHeight="1">
      <c r="A208" s="30"/>
      <c r="B208" s="30"/>
      <c r="C208" s="30"/>
      <c r="D208" s="30"/>
      <c r="E208" s="30"/>
      <c r="F208" s="30"/>
    </row>
    <row r="209" ht="15.75" customHeight="1">
      <c r="A209" s="30"/>
      <c r="B209" s="30"/>
      <c r="C209" s="30"/>
      <c r="D209" s="30"/>
      <c r="E209" s="30"/>
      <c r="F209" s="30"/>
    </row>
    <row r="210" ht="15.75" customHeight="1">
      <c r="A210" s="30"/>
      <c r="B210" s="30"/>
      <c r="C210" s="30"/>
      <c r="D210" s="30"/>
      <c r="E210" s="30"/>
      <c r="F210" s="30"/>
    </row>
    <row r="211" ht="15.75" customHeight="1">
      <c r="A211" s="30"/>
      <c r="B211" s="30"/>
      <c r="C211" s="30"/>
      <c r="D211" s="30"/>
      <c r="E211" s="30"/>
      <c r="F211" s="30"/>
    </row>
    <row r="212" ht="15.75" customHeight="1">
      <c r="A212" s="30"/>
      <c r="B212" s="30"/>
      <c r="C212" s="30"/>
      <c r="D212" s="30"/>
      <c r="E212" s="30"/>
      <c r="F212" s="30"/>
    </row>
    <row r="213" ht="15.75" customHeight="1">
      <c r="A213" s="30"/>
      <c r="B213" s="30"/>
      <c r="C213" s="30"/>
      <c r="D213" s="30"/>
      <c r="E213" s="30"/>
      <c r="F213" s="30"/>
    </row>
    <row r="214" ht="15.75" customHeight="1">
      <c r="A214" s="30"/>
      <c r="B214" s="30"/>
      <c r="C214" s="30"/>
      <c r="D214" s="30"/>
      <c r="E214" s="30"/>
      <c r="F214" s="30"/>
    </row>
    <row r="215" ht="15.75" customHeight="1">
      <c r="A215" s="30"/>
      <c r="B215" s="30"/>
      <c r="C215" s="30"/>
      <c r="D215" s="30"/>
      <c r="E215" s="30"/>
      <c r="F215" s="30"/>
    </row>
    <row r="216" ht="15.75" customHeight="1">
      <c r="A216" s="30"/>
      <c r="B216" s="30"/>
      <c r="C216" s="30"/>
      <c r="D216" s="30"/>
      <c r="E216" s="30"/>
      <c r="F216" s="30"/>
    </row>
    <row r="217" ht="15.75" customHeight="1">
      <c r="A217" s="30"/>
      <c r="B217" s="30"/>
      <c r="C217" s="30"/>
      <c r="D217" s="30"/>
      <c r="E217" s="30"/>
      <c r="F217" s="30"/>
    </row>
    <row r="218" ht="15.75" customHeight="1">
      <c r="A218" s="30"/>
      <c r="B218" s="30"/>
      <c r="C218" s="30"/>
      <c r="D218" s="30"/>
      <c r="E218" s="30"/>
      <c r="F218" s="30"/>
    </row>
    <row r="219" ht="15.75" customHeight="1">
      <c r="A219" s="30"/>
      <c r="B219" s="30"/>
      <c r="C219" s="30"/>
      <c r="D219" s="30"/>
      <c r="E219" s="30"/>
      <c r="F219" s="30"/>
    </row>
    <row r="220" ht="15.75" customHeight="1">
      <c r="A220" s="30"/>
      <c r="B220" s="30"/>
      <c r="C220" s="30"/>
      <c r="D220" s="30"/>
      <c r="E220" s="30"/>
      <c r="F220" s="30"/>
    </row>
    <row r="221" ht="15.75" customHeight="1">
      <c r="A221" s="30"/>
      <c r="B221" s="30"/>
      <c r="C221" s="30"/>
      <c r="D221" s="30"/>
      <c r="E221" s="30"/>
      <c r="F221" s="30"/>
    </row>
    <row r="222" ht="15.75" customHeight="1">
      <c r="A222" s="30"/>
      <c r="B222" s="30"/>
      <c r="C222" s="30"/>
      <c r="D222" s="30"/>
      <c r="E222" s="30"/>
      <c r="F222" s="30"/>
    </row>
    <row r="223" ht="15.75" customHeight="1">
      <c r="A223" s="30"/>
      <c r="B223" s="30"/>
      <c r="C223" s="30"/>
      <c r="D223" s="30"/>
      <c r="E223" s="30"/>
      <c r="F223" s="30"/>
    </row>
    <row r="224" ht="15.75" customHeight="1">
      <c r="A224" s="30"/>
      <c r="B224" s="30"/>
      <c r="C224" s="30"/>
      <c r="D224" s="30"/>
      <c r="E224" s="30"/>
      <c r="F224" s="30"/>
    </row>
    <row r="225" ht="15.75" customHeight="1">
      <c r="A225" s="30"/>
      <c r="B225" s="30"/>
      <c r="C225" s="30"/>
      <c r="D225" s="30"/>
      <c r="E225" s="30"/>
      <c r="F225" s="30"/>
    </row>
    <row r="226" ht="15.75" customHeight="1">
      <c r="A226" s="30"/>
      <c r="B226" s="30"/>
      <c r="C226" s="30"/>
      <c r="D226" s="30"/>
      <c r="E226" s="30"/>
      <c r="F226" s="30"/>
    </row>
    <row r="227" ht="15.75" customHeight="1">
      <c r="A227" s="30"/>
      <c r="B227" s="30"/>
      <c r="C227" s="30"/>
      <c r="D227" s="30"/>
      <c r="E227" s="30"/>
      <c r="F227" s="30"/>
    </row>
    <row r="228" ht="15.75" customHeight="1">
      <c r="A228" s="30"/>
      <c r="B228" s="30"/>
      <c r="C228" s="30"/>
      <c r="D228" s="30"/>
      <c r="E228" s="30"/>
      <c r="F228" s="30"/>
    </row>
    <row r="229" ht="15.75" customHeight="1">
      <c r="A229" s="30"/>
      <c r="B229" s="30"/>
      <c r="C229" s="30"/>
      <c r="D229" s="30"/>
      <c r="E229" s="30"/>
      <c r="F229" s="30"/>
    </row>
    <row r="230" ht="15.75" customHeight="1">
      <c r="A230" s="30"/>
      <c r="B230" s="30"/>
      <c r="C230" s="30"/>
      <c r="D230" s="30"/>
      <c r="E230" s="30"/>
      <c r="F230" s="30"/>
    </row>
    <row r="231" ht="15.75" customHeight="1">
      <c r="A231" s="30"/>
      <c r="B231" s="30"/>
      <c r="C231" s="30"/>
      <c r="D231" s="30"/>
      <c r="E231" s="30"/>
      <c r="F231" s="30"/>
    </row>
    <row r="232" ht="15.75" customHeight="1">
      <c r="A232" s="30"/>
      <c r="B232" s="30"/>
      <c r="C232" s="30"/>
      <c r="D232" s="30"/>
      <c r="E232" s="30"/>
      <c r="F232" s="30"/>
    </row>
    <row r="233" ht="15.75" customHeight="1">
      <c r="A233" s="30"/>
      <c r="B233" s="30"/>
      <c r="C233" s="30"/>
      <c r="D233" s="30"/>
      <c r="E233" s="30"/>
      <c r="F233" s="30"/>
    </row>
    <row r="234" ht="15.75" customHeight="1">
      <c r="A234" s="30"/>
      <c r="B234" s="30"/>
      <c r="C234" s="30"/>
      <c r="D234" s="30"/>
      <c r="E234" s="30"/>
      <c r="F234" s="30"/>
    </row>
    <row r="235" ht="15.75" customHeight="1">
      <c r="A235" s="30"/>
      <c r="B235" s="30"/>
      <c r="C235" s="30"/>
      <c r="D235" s="30"/>
      <c r="E235" s="30"/>
      <c r="F235" s="30"/>
    </row>
    <row r="236" ht="15.75" customHeight="1">
      <c r="A236" s="30"/>
      <c r="B236" s="30"/>
      <c r="C236" s="30"/>
      <c r="D236" s="30"/>
      <c r="E236" s="30"/>
      <c r="F236" s="30"/>
    </row>
    <row r="237" ht="15.75" customHeight="1">
      <c r="A237" s="30"/>
      <c r="B237" s="30"/>
      <c r="C237" s="30"/>
      <c r="D237" s="30"/>
      <c r="E237" s="30"/>
      <c r="F237" s="30"/>
    </row>
    <row r="238" ht="15.75" customHeight="1">
      <c r="A238" s="30"/>
      <c r="B238" s="30"/>
      <c r="C238" s="30"/>
      <c r="D238" s="30"/>
      <c r="E238" s="30"/>
      <c r="F238" s="30"/>
    </row>
    <row r="239" ht="15.75" customHeight="1">
      <c r="A239" s="30"/>
      <c r="B239" s="30"/>
      <c r="C239" s="30"/>
      <c r="D239" s="30"/>
      <c r="E239" s="30"/>
      <c r="F239" s="30"/>
    </row>
    <row r="240" ht="15.75" customHeight="1">
      <c r="A240" s="30"/>
      <c r="B240" s="30"/>
      <c r="C240" s="30"/>
      <c r="D240" s="30"/>
      <c r="E240" s="30"/>
      <c r="F240" s="30"/>
    </row>
    <row r="241" ht="15.75" customHeight="1">
      <c r="A241" s="30"/>
      <c r="B241" s="30"/>
      <c r="C241" s="30"/>
      <c r="D241" s="30"/>
      <c r="E241" s="30"/>
      <c r="F241" s="30"/>
    </row>
    <row r="242" ht="15.75" customHeight="1">
      <c r="A242" s="30"/>
      <c r="B242" s="30"/>
      <c r="C242" s="30"/>
      <c r="D242" s="30"/>
      <c r="E242" s="30"/>
      <c r="F242" s="30"/>
    </row>
    <row r="243" ht="15.75" customHeight="1">
      <c r="A243" s="30"/>
      <c r="B243" s="30"/>
      <c r="C243" s="30"/>
      <c r="D243" s="30"/>
      <c r="E243" s="30"/>
      <c r="F243" s="30"/>
    </row>
    <row r="244" ht="15.75" customHeight="1">
      <c r="A244" s="30"/>
      <c r="B244" s="30"/>
      <c r="C244" s="30"/>
      <c r="D244" s="30"/>
      <c r="E244" s="30"/>
      <c r="F244" s="30"/>
    </row>
    <row r="245" ht="15.75" customHeight="1">
      <c r="A245" s="30"/>
      <c r="B245" s="30"/>
      <c r="C245" s="30"/>
      <c r="D245" s="30"/>
      <c r="E245" s="30"/>
      <c r="F245" s="30"/>
    </row>
    <row r="246" ht="15.75" customHeight="1">
      <c r="A246" s="30"/>
      <c r="B246" s="30"/>
      <c r="C246" s="30"/>
      <c r="D246" s="30"/>
      <c r="E246" s="30"/>
      <c r="F246" s="30"/>
    </row>
    <row r="247" ht="15.75" customHeight="1">
      <c r="A247" s="30"/>
      <c r="B247" s="30"/>
      <c r="C247" s="30"/>
      <c r="D247" s="30"/>
      <c r="E247" s="30"/>
      <c r="F247" s="30"/>
    </row>
    <row r="248" ht="15.75" customHeight="1">
      <c r="A248" s="30"/>
      <c r="B248" s="30"/>
      <c r="C248" s="30"/>
      <c r="D248" s="30"/>
      <c r="E248" s="30"/>
      <c r="F248" s="30"/>
    </row>
    <row r="249" ht="15.75" customHeight="1">
      <c r="A249" s="30"/>
      <c r="B249" s="30"/>
      <c r="C249" s="30"/>
      <c r="D249" s="30"/>
      <c r="E249" s="30"/>
      <c r="F249" s="30"/>
    </row>
    <row r="250" ht="15.75" customHeight="1">
      <c r="A250" s="30"/>
      <c r="B250" s="30"/>
      <c r="C250" s="30"/>
      <c r="D250" s="30"/>
      <c r="E250" s="30"/>
      <c r="F250" s="30"/>
    </row>
    <row r="251" ht="15.75" customHeight="1">
      <c r="A251" s="30"/>
      <c r="B251" s="30"/>
      <c r="C251" s="30"/>
      <c r="D251" s="30"/>
      <c r="E251" s="30"/>
      <c r="F251" s="30"/>
    </row>
    <row r="252" ht="15.75" customHeight="1">
      <c r="A252" s="30"/>
      <c r="B252" s="30"/>
      <c r="C252" s="30"/>
      <c r="D252" s="30"/>
      <c r="E252" s="30"/>
      <c r="F252" s="30"/>
    </row>
    <row r="253" ht="15.75" customHeight="1">
      <c r="A253" s="30"/>
      <c r="B253" s="30"/>
      <c r="C253" s="30"/>
      <c r="D253" s="30"/>
      <c r="E253" s="30"/>
      <c r="F253" s="30"/>
    </row>
    <row r="254" ht="15.75" customHeight="1">
      <c r="A254" s="30"/>
      <c r="B254" s="30"/>
      <c r="C254" s="30"/>
      <c r="D254" s="30"/>
      <c r="E254" s="30"/>
      <c r="F254" s="30"/>
    </row>
    <row r="255" ht="15.75" customHeight="1">
      <c r="A255" s="30"/>
      <c r="B255" s="30"/>
      <c r="C255" s="30"/>
      <c r="D255" s="30"/>
      <c r="E255" s="30"/>
      <c r="F255" s="30"/>
    </row>
    <row r="256" ht="15.75" customHeight="1">
      <c r="A256" s="30"/>
      <c r="B256" s="30"/>
      <c r="C256" s="30"/>
      <c r="D256" s="30"/>
      <c r="E256" s="30"/>
      <c r="F256" s="30"/>
    </row>
    <row r="257" ht="15.75" customHeight="1">
      <c r="A257" s="30"/>
      <c r="B257" s="30"/>
      <c r="C257" s="30"/>
      <c r="D257" s="30"/>
      <c r="E257" s="30"/>
      <c r="F257" s="30"/>
    </row>
    <row r="258" ht="15.75" customHeight="1">
      <c r="A258" s="30"/>
      <c r="B258" s="30"/>
      <c r="C258" s="30"/>
      <c r="D258" s="30"/>
      <c r="E258" s="30"/>
      <c r="F258" s="30"/>
    </row>
    <row r="259" ht="15.75" customHeight="1">
      <c r="A259" s="30"/>
      <c r="B259" s="30"/>
      <c r="C259" s="30"/>
      <c r="D259" s="30"/>
      <c r="E259" s="30"/>
      <c r="F259" s="30"/>
    </row>
    <row r="260" ht="15.75" customHeight="1">
      <c r="A260" s="30"/>
      <c r="B260" s="30"/>
      <c r="C260" s="30"/>
      <c r="D260" s="30"/>
      <c r="E260" s="30"/>
      <c r="F260" s="30"/>
    </row>
    <row r="261" ht="15.75" customHeight="1">
      <c r="A261" s="30"/>
      <c r="B261" s="30"/>
      <c r="C261" s="30"/>
      <c r="D261" s="30"/>
      <c r="E261" s="30"/>
      <c r="F261" s="30"/>
    </row>
    <row r="262" ht="15.75" customHeight="1">
      <c r="A262" s="30"/>
      <c r="B262" s="30"/>
      <c r="C262" s="30"/>
      <c r="D262" s="30"/>
      <c r="E262" s="30"/>
      <c r="F262" s="30"/>
    </row>
    <row r="263" ht="15.75" customHeight="1">
      <c r="A263" s="30"/>
      <c r="B263" s="30"/>
      <c r="C263" s="30"/>
      <c r="D263" s="30"/>
      <c r="E263" s="30"/>
      <c r="F263" s="30"/>
    </row>
    <row r="264" ht="15.75" customHeight="1">
      <c r="A264" s="30"/>
      <c r="B264" s="30"/>
      <c r="C264" s="30"/>
      <c r="D264" s="30"/>
      <c r="E264" s="30"/>
      <c r="F264" s="30"/>
    </row>
    <row r="265" ht="15.75" customHeight="1">
      <c r="A265" s="30"/>
      <c r="B265" s="30"/>
      <c r="C265" s="30"/>
      <c r="D265" s="30"/>
      <c r="E265" s="30"/>
      <c r="F265" s="30"/>
    </row>
    <row r="266" ht="15.75" customHeight="1">
      <c r="A266" s="30"/>
      <c r="B266" s="30"/>
      <c r="C266" s="30"/>
      <c r="D266" s="30"/>
      <c r="E266" s="30"/>
      <c r="F266" s="30"/>
    </row>
    <row r="267" ht="15.75" customHeight="1">
      <c r="A267" s="30"/>
      <c r="B267" s="30"/>
      <c r="C267" s="30"/>
      <c r="D267" s="30"/>
      <c r="E267" s="30"/>
      <c r="F267" s="30"/>
    </row>
    <row r="268" ht="15.75" customHeight="1">
      <c r="A268" s="30"/>
      <c r="B268" s="30"/>
      <c r="C268" s="30"/>
      <c r="D268" s="30"/>
      <c r="E268" s="30"/>
      <c r="F268" s="30"/>
    </row>
    <row r="269" ht="15.75" customHeight="1">
      <c r="A269" s="30"/>
      <c r="B269" s="30"/>
      <c r="C269" s="30"/>
      <c r="D269" s="30"/>
      <c r="E269" s="30"/>
      <c r="F269" s="30"/>
    </row>
    <row r="270" ht="15.75" customHeight="1">
      <c r="A270" s="30"/>
      <c r="B270" s="30"/>
      <c r="C270" s="30"/>
      <c r="D270" s="30"/>
      <c r="E270" s="30"/>
      <c r="F270" s="30"/>
    </row>
    <row r="271" ht="15.75" customHeight="1">
      <c r="A271" s="30"/>
      <c r="B271" s="30"/>
      <c r="C271" s="30"/>
      <c r="D271" s="30"/>
      <c r="E271" s="30"/>
      <c r="F271" s="30"/>
    </row>
    <row r="272" ht="15.75" customHeight="1">
      <c r="A272" s="30"/>
      <c r="B272" s="30"/>
      <c r="C272" s="30"/>
      <c r="D272" s="30"/>
      <c r="E272" s="30"/>
      <c r="F272" s="30"/>
    </row>
    <row r="273" ht="15.75" customHeight="1">
      <c r="A273" s="30"/>
      <c r="B273" s="30"/>
      <c r="C273" s="30"/>
      <c r="D273" s="30"/>
      <c r="E273" s="30"/>
      <c r="F273" s="30"/>
    </row>
    <row r="274" ht="15.75" customHeight="1">
      <c r="A274" s="30"/>
      <c r="B274" s="30"/>
      <c r="C274" s="30"/>
      <c r="D274" s="30"/>
      <c r="E274" s="30"/>
      <c r="F274" s="30"/>
    </row>
    <row r="275" ht="15.75" customHeight="1">
      <c r="A275" s="30"/>
      <c r="B275" s="30"/>
      <c r="C275" s="30"/>
      <c r="D275" s="30"/>
      <c r="E275" s="30"/>
      <c r="F275" s="30"/>
    </row>
    <row r="276" ht="15.75" customHeight="1">
      <c r="A276" s="30"/>
      <c r="B276" s="30"/>
      <c r="C276" s="30"/>
      <c r="D276" s="30"/>
      <c r="E276" s="30"/>
      <c r="F276" s="30"/>
    </row>
    <row r="277" ht="15.75" customHeight="1">
      <c r="A277" s="30"/>
      <c r="B277" s="30"/>
      <c r="C277" s="30"/>
      <c r="D277" s="30"/>
      <c r="E277" s="30"/>
      <c r="F277" s="30"/>
    </row>
    <row r="278" ht="15.75" customHeight="1">
      <c r="A278" s="30"/>
      <c r="B278" s="30"/>
      <c r="C278" s="30"/>
      <c r="D278" s="30"/>
      <c r="E278" s="30"/>
      <c r="F278" s="30"/>
    </row>
    <row r="279" ht="15.75" customHeight="1">
      <c r="A279" s="30"/>
      <c r="B279" s="30"/>
      <c r="C279" s="30"/>
      <c r="D279" s="30"/>
      <c r="E279" s="30"/>
      <c r="F279" s="30"/>
    </row>
    <row r="280" ht="15.75" customHeight="1">
      <c r="A280" s="30"/>
      <c r="B280" s="30"/>
      <c r="C280" s="30"/>
      <c r="D280" s="30"/>
      <c r="E280" s="30"/>
      <c r="F280" s="30"/>
    </row>
    <row r="281" ht="15.75" customHeight="1">
      <c r="A281" s="30"/>
      <c r="B281" s="30"/>
      <c r="C281" s="30"/>
      <c r="D281" s="30"/>
      <c r="E281" s="30"/>
      <c r="F281" s="30"/>
    </row>
    <row r="282" ht="15.75" customHeight="1">
      <c r="A282" s="30"/>
      <c r="B282" s="30"/>
      <c r="C282" s="30"/>
      <c r="D282" s="30"/>
      <c r="E282" s="30"/>
      <c r="F282" s="30"/>
    </row>
    <row r="283" ht="15.75" customHeight="1">
      <c r="A283" s="30"/>
      <c r="B283" s="30"/>
      <c r="C283" s="30"/>
      <c r="D283" s="30"/>
      <c r="E283" s="30"/>
      <c r="F283" s="30"/>
    </row>
    <row r="284" ht="15.75" customHeight="1">
      <c r="A284" s="30"/>
      <c r="B284" s="30"/>
      <c r="C284" s="30"/>
      <c r="D284" s="30"/>
      <c r="E284" s="30"/>
      <c r="F284" s="30"/>
    </row>
    <row r="285" ht="15.75" customHeight="1">
      <c r="A285" s="30"/>
      <c r="B285" s="30"/>
      <c r="C285" s="30"/>
      <c r="D285" s="30"/>
      <c r="E285" s="30"/>
      <c r="F285" s="30"/>
    </row>
    <row r="286" ht="15.75" customHeight="1">
      <c r="A286" s="30"/>
      <c r="B286" s="30"/>
      <c r="C286" s="30"/>
      <c r="D286" s="30"/>
      <c r="E286" s="30"/>
      <c r="F286" s="30"/>
    </row>
    <row r="287" ht="15.75" customHeight="1">
      <c r="A287" s="30"/>
      <c r="B287" s="30"/>
      <c r="C287" s="30"/>
      <c r="D287" s="30"/>
      <c r="E287" s="30"/>
      <c r="F287" s="30"/>
    </row>
    <row r="288" ht="15.75" customHeight="1">
      <c r="A288" s="30"/>
      <c r="B288" s="30"/>
      <c r="C288" s="30"/>
      <c r="D288" s="30"/>
      <c r="E288" s="30"/>
      <c r="F288" s="30"/>
    </row>
    <row r="289" ht="15.75" customHeight="1">
      <c r="A289" s="30"/>
      <c r="B289" s="30"/>
      <c r="C289" s="30"/>
      <c r="D289" s="30"/>
      <c r="E289" s="30"/>
      <c r="F289" s="30"/>
    </row>
    <row r="290" ht="15.75" customHeight="1">
      <c r="A290" s="30"/>
      <c r="B290" s="30"/>
      <c r="C290" s="30"/>
      <c r="D290" s="30"/>
      <c r="E290" s="30"/>
      <c r="F290" s="30"/>
    </row>
    <row r="291" ht="15.75" customHeight="1">
      <c r="A291" s="30"/>
      <c r="B291" s="30"/>
      <c r="C291" s="30"/>
      <c r="D291" s="30"/>
      <c r="E291" s="30"/>
      <c r="F291" s="30"/>
    </row>
    <row r="292" ht="15.75" customHeight="1">
      <c r="A292" s="30"/>
      <c r="B292" s="30"/>
      <c r="C292" s="30"/>
      <c r="D292" s="30"/>
      <c r="E292" s="30"/>
      <c r="F292" s="30"/>
    </row>
    <row r="293" ht="15.75" customHeight="1">
      <c r="A293" s="30"/>
      <c r="B293" s="30"/>
      <c r="C293" s="30"/>
      <c r="D293" s="30"/>
      <c r="E293" s="30"/>
      <c r="F293" s="30"/>
    </row>
    <row r="294" ht="15.75" customHeight="1">
      <c r="A294" s="30"/>
      <c r="B294" s="30"/>
      <c r="C294" s="30"/>
      <c r="D294" s="30"/>
      <c r="E294" s="30"/>
      <c r="F294" s="30"/>
    </row>
    <row r="295" ht="15.75" customHeight="1">
      <c r="A295" s="30"/>
      <c r="B295" s="30"/>
      <c r="C295" s="30"/>
      <c r="D295" s="30"/>
      <c r="E295" s="30"/>
      <c r="F295" s="30"/>
    </row>
    <row r="296" ht="15.75" customHeight="1">
      <c r="A296" s="30"/>
      <c r="B296" s="30"/>
      <c r="C296" s="30"/>
      <c r="D296" s="30"/>
      <c r="E296" s="30"/>
      <c r="F296" s="30"/>
    </row>
    <row r="297" ht="15.75" customHeight="1">
      <c r="A297" s="30"/>
      <c r="B297" s="30"/>
      <c r="C297" s="30"/>
      <c r="D297" s="30"/>
      <c r="E297" s="30"/>
      <c r="F297" s="30"/>
    </row>
    <row r="298" ht="15.75" customHeight="1">
      <c r="A298" s="30"/>
      <c r="B298" s="30"/>
      <c r="C298" s="30"/>
      <c r="D298" s="30"/>
      <c r="E298" s="30"/>
      <c r="F298" s="30"/>
    </row>
    <row r="299" ht="15.75" customHeight="1">
      <c r="A299" s="30"/>
      <c r="B299" s="30"/>
      <c r="C299" s="30"/>
      <c r="D299" s="30"/>
      <c r="E299" s="30"/>
      <c r="F299" s="30"/>
    </row>
    <row r="300" ht="15.75" customHeight="1">
      <c r="A300" s="30"/>
      <c r="B300" s="30"/>
      <c r="C300" s="30"/>
      <c r="D300" s="30"/>
      <c r="E300" s="30"/>
      <c r="F300" s="30"/>
    </row>
    <row r="301" ht="15.75" customHeight="1">
      <c r="A301" s="30"/>
      <c r="B301" s="30"/>
      <c r="C301" s="30"/>
      <c r="D301" s="30"/>
      <c r="E301" s="30"/>
      <c r="F301" s="30"/>
    </row>
    <row r="302" ht="15.75" customHeight="1">
      <c r="A302" s="30"/>
      <c r="B302" s="30"/>
      <c r="C302" s="30"/>
      <c r="D302" s="30"/>
      <c r="E302" s="30"/>
      <c r="F302" s="30"/>
    </row>
    <row r="303" ht="15.75" customHeight="1">
      <c r="A303" s="30"/>
      <c r="B303" s="30"/>
      <c r="C303" s="30"/>
      <c r="D303" s="30"/>
      <c r="E303" s="30"/>
      <c r="F303" s="30"/>
    </row>
    <row r="304" ht="15.75" customHeight="1">
      <c r="A304" s="30"/>
      <c r="B304" s="30"/>
      <c r="C304" s="30"/>
      <c r="D304" s="30"/>
      <c r="E304" s="30"/>
      <c r="F304" s="30"/>
    </row>
    <row r="305" ht="15.75" customHeight="1">
      <c r="A305" s="30"/>
      <c r="B305" s="30"/>
      <c r="C305" s="30"/>
      <c r="D305" s="30"/>
      <c r="E305" s="30"/>
      <c r="F305" s="30"/>
    </row>
    <row r="306" ht="15.75" customHeight="1">
      <c r="A306" s="30"/>
      <c r="B306" s="30"/>
      <c r="C306" s="30"/>
      <c r="D306" s="30"/>
      <c r="E306" s="30"/>
      <c r="F306" s="30"/>
    </row>
    <row r="307" ht="15.75" customHeight="1">
      <c r="A307" s="30"/>
      <c r="B307" s="30"/>
      <c r="C307" s="30"/>
      <c r="D307" s="30"/>
      <c r="E307" s="30"/>
      <c r="F307" s="30"/>
    </row>
    <row r="308" ht="15.75" customHeight="1">
      <c r="A308" s="30"/>
      <c r="B308" s="30"/>
      <c r="C308" s="30"/>
      <c r="D308" s="30"/>
      <c r="E308" s="30"/>
      <c r="F308" s="30"/>
    </row>
    <row r="309" ht="15.75" customHeight="1">
      <c r="A309" s="30"/>
      <c r="B309" s="30"/>
      <c r="C309" s="30"/>
      <c r="D309" s="30"/>
      <c r="E309" s="30"/>
      <c r="F309" s="30"/>
    </row>
    <row r="310" ht="15.75" customHeight="1">
      <c r="A310" s="30"/>
      <c r="B310" s="30"/>
      <c r="C310" s="30"/>
      <c r="D310" s="30"/>
      <c r="E310" s="30"/>
      <c r="F310" s="30"/>
    </row>
    <row r="311" ht="15.75" customHeight="1">
      <c r="A311" s="30"/>
      <c r="B311" s="30"/>
      <c r="C311" s="30"/>
      <c r="D311" s="30"/>
      <c r="E311" s="30"/>
      <c r="F311" s="30"/>
    </row>
    <row r="312" ht="15.75" customHeight="1">
      <c r="A312" s="30"/>
      <c r="B312" s="30"/>
      <c r="C312" s="30"/>
      <c r="D312" s="30"/>
      <c r="E312" s="30"/>
      <c r="F312" s="30"/>
    </row>
    <row r="313" ht="15.75" customHeight="1">
      <c r="A313" s="30"/>
      <c r="B313" s="30"/>
      <c r="C313" s="30"/>
      <c r="D313" s="30"/>
      <c r="E313" s="30"/>
      <c r="F313" s="30"/>
    </row>
    <row r="314" ht="15.75" customHeight="1">
      <c r="A314" s="30"/>
      <c r="B314" s="30"/>
      <c r="C314" s="30"/>
      <c r="D314" s="30"/>
      <c r="E314" s="30"/>
      <c r="F314" s="30"/>
    </row>
    <row r="315" ht="15.75" customHeight="1">
      <c r="A315" s="30"/>
      <c r="B315" s="30"/>
      <c r="C315" s="30"/>
      <c r="D315" s="30"/>
      <c r="E315" s="30"/>
      <c r="F315" s="30"/>
    </row>
    <row r="316" ht="15.75" customHeight="1">
      <c r="A316" s="30"/>
      <c r="B316" s="30"/>
      <c r="C316" s="30"/>
      <c r="D316" s="30"/>
      <c r="E316" s="30"/>
      <c r="F316" s="30"/>
    </row>
    <row r="317" ht="15.75" customHeight="1">
      <c r="A317" s="30"/>
      <c r="B317" s="30"/>
      <c r="C317" s="30"/>
      <c r="D317" s="30"/>
      <c r="E317" s="30"/>
      <c r="F317" s="30"/>
    </row>
    <row r="318" ht="15.75" customHeight="1">
      <c r="A318" s="30"/>
      <c r="B318" s="30"/>
      <c r="C318" s="30"/>
      <c r="D318" s="30"/>
      <c r="E318" s="30"/>
      <c r="F318" s="30"/>
    </row>
    <row r="319" ht="15.75" customHeight="1">
      <c r="A319" s="30"/>
      <c r="B319" s="30"/>
      <c r="C319" s="30"/>
      <c r="D319" s="30"/>
      <c r="E319" s="30"/>
      <c r="F319" s="30"/>
    </row>
    <row r="320" ht="15.75" customHeight="1">
      <c r="A320" s="30"/>
      <c r="B320" s="30"/>
      <c r="C320" s="30"/>
      <c r="D320" s="30"/>
      <c r="E320" s="30"/>
      <c r="F320" s="30"/>
    </row>
    <row r="321" ht="15.75" customHeight="1">
      <c r="A321" s="30"/>
      <c r="B321" s="30"/>
      <c r="C321" s="30"/>
      <c r="D321" s="30"/>
      <c r="E321" s="30"/>
      <c r="F321" s="30"/>
    </row>
    <row r="322" ht="15.75" customHeight="1">
      <c r="A322" s="30"/>
      <c r="B322" s="30"/>
      <c r="C322" s="30"/>
      <c r="D322" s="30"/>
      <c r="E322" s="30"/>
      <c r="F322" s="30"/>
    </row>
    <row r="323" ht="15.75" customHeight="1">
      <c r="A323" s="30"/>
      <c r="B323" s="30"/>
      <c r="C323" s="30"/>
      <c r="D323" s="30"/>
      <c r="E323" s="30"/>
      <c r="F323" s="30"/>
    </row>
    <row r="324" ht="15.75" customHeight="1">
      <c r="A324" s="30"/>
      <c r="B324" s="30"/>
      <c r="C324" s="30"/>
      <c r="D324" s="30"/>
      <c r="E324" s="30"/>
      <c r="F324" s="30"/>
    </row>
    <row r="325" ht="15.75" customHeight="1">
      <c r="A325" s="30"/>
      <c r="B325" s="30"/>
      <c r="C325" s="30"/>
      <c r="D325" s="30"/>
      <c r="E325" s="30"/>
      <c r="F325" s="30"/>
    </row>
    <row r="326" ht="15.75" customHeight="1">
      <c r="A326" s="30"/>
      <c r="B326" s="30"/>
      <c r="C326" s="30"/>
      <c r="D326" s="30"/>
      <c r="E326" s="30"/>
      <c r="F326" s="30"/>
    </row>
    <row r="327" ht="15.75" customHeight="1">
      <c r="A327" s="30"/>
      <c r="B327" s="30"/>
      <c r="C327" s="30"/>
      <c r="D327" s="30"/>
      <c r="E327" s="30"/>
      <c r="F327" s="30"/>
    </row>
    <row r="328" ht="15.75" customHeight="1">
      <c r="A328" s="30"/>
      <c r="B328" s="30"/>
      <c r="C328" s="30"/>
      <c r="D328" s="30"/>
      <c r="E328" s="30"/>
      <c r="F328" s="30"/>
    </row>
    <row r="329" ht="15.75" customHeight="1">
      <c r="A329" s="30"/>
      <c r="B329" s="30"/>
      <c r="C329" s="30"/>
      <c r="D329" s="30"/>
      <c r="E329" s="30"/>
      <c r="F329" s="30"/>
    </row>
    <row r="330" ht="15.75" customHeight="1">
      <c r="A330" s="30"/>
      <c r="B330" s="30"/>
      <c r="C330" s="30"/>
      <c r="D330" s="30"/>
      <c r="E330" s="30"/>
      <c r="F330" s="30"/>
    </row>
    <row r="331" ht="15.75" customHeight="1">
      <c r="A331" s="30"/>
      <c r="B331" s="30"/>
      <c r="C331" s="30"/>
      <c r="D331" s="30"/>
      <c r="E331" s="30"/>
      <c r="F331" s="30"/>
    </row>
    <row r="332" ht="15.75" customHeight="1">
      <c r="A332" s="30"/>
      <c r="B332" s="30"/>
      <c r="C332" s="30"/>
      <c r="D332" s="30"/>
      <c r="E332" s="30"/>
      <c r="F332" s="30"/>
    </row>
    <row r="333" ht="15.75" customHeight="1">
      <c r="A333" s="30"/>
      <c r="B333" s="30"/>
      <c r="C333" s="30"/>
      <c r="D333" s="30"/>
      <c r="E333" s="30"/>
      <c r="F333" s="30"/>
    </row>
    <row r="334" ht="15.75" customHeight="1">
      <c r="A334" s="30"/>
      <c r="B334" s="30"/>
      <c r="C334" s="30"/>
      <c r="D334" s="30"/>
      <c r="E334" s="30"/>
      <c r="F334" s="30"/>
    </row>
    <row r="335" ht="15.75" customHeight="1">
      <c r="A335" s="30"/>
      <c r="B335" s="30"/>
      <c r="C335" s="30"/>
      <c r="D335" s="30"/>
      <c r="E335" s="30"/>
      <c r="F335" s="30"/>
    </row>
    <row r="336" ht="15.75" customHeight="1">
      <c r="A336" s="30"/>
      <c r="B336" s="30"/>
      <c r="C336" s="30"/>
      <c r="D336" s="30"/>
      <c r="E336" s="30"/>
      <c r="F336" s="30"/>
    </row>
    <row r="337" ht="15.75" customHeight="1">
      <c r="A337" s="30"/>
      <c r="B337" s="30"/>
      <c r="C337" s="30"/>
      <c r="D337" s="30"/>
      <c r="E337" s="30"/>
      <c r="F337" s="30"/>
    </row>
    <row r="338" ht="15.75" customHeight="1">
      <c r="A338" s="30"/>
      <c r="B338" s="30"/>
      <c r="C338" s="30"/>
      <c r="D338" s="30"/>
      <c r="E338" s="30"/>
      <c r="F338" s="30"/>
    </row>
    <row r="339" ht="15.75" customHeight="1">
      <c r="A339" s="30"/>
      <c r="B339" s="30"/>
      <c r="C339" s="30"/>
      <c r="D339" s="30"/>
      <c r="E339" s="30"/>
      <c r="F339" s="30"/>
    </row>
    <row r="340" ht="15.75" customHeight="1">
      <c r="A340" s="30"/>
      <c r="B340" s="30"/>
      <c r="C340" s="30"/>
      <c r="D340" s="30"/>
      <c r="E340" s="30"/>
      <c r="F340" s="30"/>
    </row>
    <row r="341" ht="15.75" customHeight="1">
      <c r="A341" s="30"/>
      <c r="B341" s="30"/>
      <c r="C341" s="30"/>
      <c r="D341" s="30"/>
      <c r="E341" s="30"/>
      <c r="F341" s="30"/>
    </row>
    <row r="342" ht="15.75" customHeight="1">
      <c r="A342" s="30"/>
      <c r="B342" s="30"/>
      <c r="C342" s="30"/>
      <c r="D342" s="30"/>
      <c r="E342" s="30"/>
      <c r="F342" s="30"/>
    </row>
    <row r="343" ht="15.75" customHeight="1">
      <c r="A343" s="30"/>
      <c r="B343" s="30"/>
      <c r="C343" s="30"/>
      <c r="D343" s="30"/>
      <c r="E343" s="30"/>
      <c r="F343" s="30"/>
    </row>
    <row r="344" ht="15.75" customHeight="1">
      <c r="A344" s="30"/>
      <c r="B344" s="30"/>
      <c r="C344" s="30"/>
      <c r="D344" s="30"/>
      <c r="E344" s="30"/>
      <c r="F344" s="30"/>
    </row>
    <row r="345" ht="15.75" customHeight="1">
      <c r="A345" s="30"/>
      <c r="B345" s="30"/>
      <c r="C345" s="30"/>
      <c r="D345" s="30"/>
      <c r="E345" s="30"/>
      <c r="F345" s="30"/>
    </row>
    <row r="346" ht="15.75" customHeight="1">
      <c r="A346" s="30"/>
      <c r="B346" s="30"/>
      <c r="C346" s="30"/>
      <c r="D346" s="30"/>
      <c r="E346" s="30"/>
      <c r="F346" s="30"/>
    </row>
    <row r="347" ht="15.75" customHeight="1">
      <c r="A347" s="30"/>
      <c r="B347" s="30"/>
      <c r="C347" s="30"/>
      <c r="D347" s="30"/>
      <c r="E347" s="30"/>
      <c r="F347" s="30"/>
    </row>
    <row r="348" ht="15.75" customHeight="1">
      <c r="A348" s="30"/>
      <c r="B348" s="30"/>
      <c r="C348" s="30"/>
      <c r="D348" s="30"/>
      <c r="E348" s="30"/>
      <c r="F348" s="30"/>
    </row>
    <row r="349" ht="15.75" customHeight="1">
      <c r="A349" s="30"/>
      <c r="B349" s="30"/>
      <c r="C349" s="30"/>
      <c r="D349" s="30"/>
      <c r="E349" s="30"/>
      <c r="F349" s="30"/>
    </row>
    <row r="350" ht="15.75" customHeight="1">
      <c r="A350" s="30"/>
      <c r="B350" s="30"/>
      <c r="C350" s="30"/>
      <c r="D350" s="30"/>
      <c r="E350" s="30"/>
      <c r="F350" s="30"/>
    </row>
    <row r="351" ht="15.75" customHeight="1">
      <c r="A351" s="30"/>
      <c r="B351" s="30"/>
      <c r="C351" s="30"/>
      <c r="D351" s="30"/>
      <c r="E351" s="30"/>
      <c r="F351" s="30"/>
    </row>
    <row r="352" ht="15.75" customHeight="1">
      <c r="A352" s="30"/>
      <c r="B352" s="30"/>
      <c r="C352" s="30"/>
      <c r="D352" s="30"/>
      <c r="E352" s="30"/>
      <c r="F352" s="30"/>
    </row>
    <row r="353" ht="15.75" customHeight="1">
      <c r="A353" s="30"/>
      <c r="B353" s="30"/>
      <c r="C353" s="30"/>
      <c r="D353" s="30"/>
      <c r="E353" s="30"/>
      <c r="F353" s="30"/>
    </row>
    <row r="354" ht="15.75" customHeight="1">
      <c r="A354" s="30"/>
      <c r="B354" s="30"/>
      <c r="C354" s="30"/>
      <c r="D354" s="30"/>
      <c r="E354" s="30"/>
      <c r="F354" s="30"/>
    </row>
    <row r="355" ht="15.75" customHeight="1">
      <c r="A355" s="30"/>
      <c r="B355" s="30"/>
      <c r="C355" s="30"/>
      <c r="D355" s="30"/>
      <c r="E355" s="30"/>
      <c r="F355" s="30"/>
    </row>
    <row r="356" ht="15.75" customHeight="1">
      <c r="A356" s="30"/>
      <c r="B356" s="30"/>
      <c r="C356" s="30"/>
      <c r="D356" s="30"/>
      <c r="E356" s="30"/>
      <c r="F356" s="30"/>
    </row>
    <row r="357" ht="15.75" customHeight="1">
      <c r="A357" s="30"/>
      <c r="B357" s="30"/>
      <c r="C357" s="30"/>
      <c r="D357" s="30"/>
      <c r="E357" s="30"/>
      <c r="F357" s="30"/>
    </row>
    <row r="358" ht="15.75" customHeight="1">
      <c r="A358" s="30"/>
      <c r="B358" s="30"/>
      <c r="C358" s="30"/>
      <c r="D358" s="30"/>
      <c r="E358" s="30"/>
      <c r="F358" s="30"/>
    </row>
    <row r="359" ht="15.75" customHeight="1">
      <c r="A359" s="30"/>
      <c r="B359" s="30"/>
      <c r="C359" s="30"/>
      <c r="D359" s="30"/>
      <c r="E359" s="30"/>
      <c r="F359" s="30"/>
    </row>
    <row r="360" ht="15.75" customHeight="1">
      <c r="A360" s="30"/>
      <c r="B360" s="30"/>
      <c r="C360" s="30"/>
      <c r="D360" s="30"/>
      <c r="E360" s="30"/>
      <c r="F360" s="30"/>
    </row>
    <row r="361" ht="15.75" customHeight="1">
      <c r="A361" s="30"/>
      <c r="B361" s="30"/>
      <c r="C361" s="30"/>
      <c r="D361" s="30"/>
      <c r="E361" s="30"/>
      <c r="F361" s="30"/>
    </row>
    <row r="362" ht="15.75" customHeight="1">
      <c r="A362" s="30"/>
      <c r="B362" s="30"/>
      <c r="C362" s="30"/>
      <c r="D362" s="30"/>
      <c r="E362" s="30"/>
      <c r="F362" s="30"/>
    </row>
    <row r="363" ht="15.75" customHeight="1">
      <c r="A363" s="30"/>
      <c r="B363" s="30"/>
      <c r="C363" s="30"/>
      <c r="D363" s="30"/>
      <c r="E363" s="30"/>
      <c r="F363" s="30"/>
    </row>
    <row r="364" ht="15.75" customHeight="1">
      <c r="A364" s="30"/>
      <c r="B364" s="30"/>
      <c r="C364" s="30"/>
      <c r="D364" s="30"/>
      <c r="E364" s="30"/>
      <c r="F364" s="30"/>
    </row>
    <row r="365" ht="15.75" customHeight="1">
      <c r="A365" s="30"/>
      <c r="B365" s="30"/>
      <c r="C365" s="30"/>
      <c r="D365" s="30"/>
      <c r="E365" s="30"/>
      <c r="F365" s="30"/>
    </row>
    <row r="366" ht="15.75" customHeight="1">
      <c r="A366" s="30"/>
      <c r="B366" s="30"/>
      <c r="C366" s="30"/>
      <c r="D366" s="30"/>
      <c r="E366" s="30"/>
      <c r="F366" s="30"/>
    </row>
    <row r="367" ht="15.75" customHeight="1">
      <c r="A367" s="30"/>
      <c r="B367" s="30"/>
      <c r="C367" s="30"/>
      <c r="D367" s="30"/>
      <c r="E367" s="30"/>
      <c r="F367" s="30"/>
    </row>
    <row r="368" ht="15.75" customHeight="1">
      <c r="A368" s="30"/>
      <c r="B368" s="30"/>
      <c r="C368" s="30"/>
      <c r="D368" s="30"/>
      <c r="E368" s="30"/>
      <c r="F368" s="30"/>
    </row>
    <row r="369" ht="15.75" customHeight="1">
      <c r="A369" s="30"/>
      <c r="B369" s="30"/>
      <c r="C369" s="30"/>
      <c r="D369" s="30"/>
      <c r="E369" s="30"/>
      <c r="F369" s="30"/>
    </row>
    <row r="370" ht="15.75" customHeight="1">
      <c r="A370" s="30"/>
      <c r="B370" s="30"/>
      <c r="C370" s="30"/>
      <c r="D370" s="30"/>
      <c r="E370" s="30"/>
      <c r="F370" s="30"/>
    </row>
    <row r="371" ht="15.75" customHeight="1">
      <c r="A371" s="30"/>
      <c r="B371" s="30"/>
      <c r="C371" s="30"/>
      <c r="D371" s="30"/>
      <c r="E371" s="30"/>
      <c r="F371" s="30"/>
    </row>
    <row r="372" ht="15.75" customHeight="1">
      <c r="A372" s="30"/>
      <c r="B372" s="30"/>
      <c r="C372" s="30"/>
      <c r="D372" s="30"/>
      <c r="E372" s="30"/>
      <c r="F372" s="30"/>
    </row>
    <row r="373" ht="15.75" customHeight="1">
      <c r="A373" s="30"/>
      <c r="B373" s="30"/>
      <c r="C373" s="30"/>
      <c r="D373" s="30"/>
      <c r="E373" s="30"/>
      <c r="F373" s="30"/>
    </row>
    <row r="374" ht="15.75" customHeight="1">
      <c r="A374" s="30"/>
      <c r="B374" s="30"/>
      <c r="C374" s="30"/>
      <c r="D374" s="30"/>
      <c r="E374" s="30"/>
      <c r="F374" s="30"/>
    </row>
    <row r="375" ht="15.75" customHeight="1">
      <c r="A375" s="30"/>
      <c r="B375" s="30"/>
      <c r="C375" s="30"/>
      <c r="D375" s="30"/>
      <c r="E375" s="30"/>
      <c r="F375" s="30"/>
    </row>
    <row r="376" ht="15.75" customHeight="1">
      <c r="A376" s="30"/>
      <c r="B376" s="30"/>
      <c r="C376" s="30"/>
      <c r="D376" s="30"/>
      <c r="E376" s="30"/>
      <c r="F376" s="30"/>
    </row>
    <row r="377" ht="15.75" customHeight="1">
      <c r="A377" s="30"/>
      <c r="B377" s="30"/>
      <c r="C377" s="30"/>
      <c r="D377" s="30"/>
      <c r="E377" s="30"/>
      <c r="F377" s="30"/>
    </row>
    <row r="378" ht="15.75" customHeight="1">
      <c r="A378" s="30"/>
      <c r="B378" s="30"/>
      <c r="C378" s="30"/>
      <c r="D378" s="30"/>
      <c r="E378" s="30"/>
      <c r="F378" s="30"/>
    </row>
    <row r="379" ht="15.75" customHeight="1">
      <c r="A379" s="30"/>
      <c r="B379" s="30"/>
      <c r="C379" s="30"/>
      <c r="D379" s="30"/>
      <c r="E379" s="30"/>
      <c r="F379" s="30"/>
    </row>
    <row r="380" ht="15.75" customHeight="1">
      <c r="A380" s="30"/>
      <c r="B380" s="30"/>
      <c r="C380" s="30"/>
      <c r="D380" s="30"/>
      <c r="E380" s="30"/>
      <c r="F380" s="30"/>
    </row>
    <row r="381" ht="15.75" customHeight="1">
      <c r="A381" s="30"/>
      <c r="B381" s="30"/>
      <c r="C381" s="30"/>
      <c r="D381" s="30"/>
      <c r="E381" s="30"/>
      <c r="F381" s="30"/>
    </row>
    <row r="382" ht="15.75" customHeight="1">
      <c r="A382" s="30"/>
      <c r="B382" s="30"/>
      <c r="C382" s="30"/>
      <c r="D382" s="30"/>
      <c r="E382" s="30"/>
      <c r="F382" s="30"/>
    </row>
    <row r="383" ht="15.75" customHeight="1">
      <c r="A383" s="30"/>
      <c r="B383" s="30"/>
      <c r="C383" s="30"/>
      <c r="D383" s="30"/>
      <c r="E383" s="30"/>
      <c r="F383" s="30"/>
    </row>
    <row r="384" ht="15.75" customHeight="1">
      <c r="A384" s="30"/>
      <c r="B384" s="30"/>
      <c r="C384" s="30"/>
      <c r="D384" s="30"/>
      <c r="E384" s="30"/>
      <c r="F384" s="30"/>
    </row>
    <row r="385" ht="15.75" customHeight="1">
      <c r="A385" s="30"/>
      <c r="B385" s="30"/>
      <c r="C385" s="30"/>
      <c r="D385" s="30"/>
      <c r="E385" s="30"/>
      <c r="F385" s="30"/>
    </row>
    <row r="386" ht="15.75" customHeight="1">
      <c r="A386" s="30"/>
      <c r="B386" s="30"/>
      <c r="C386" s="30"/>
      <c r="D386" s="30"/>
      <c r="E386" s="30"/>
      <c r="F386" s="30"/>
    </row>
    <row r="387" ht="15.75" customHeight="1">
      <c r="A387" s="30"/>
      <c r="B387" s="30"/>
      <c r="C387" s="30"/>
      <c r="D387" s="30"/>
      <c r="E387" s="30"/>
      <c r="F387" s="30"/>
    </row>
    <row r="388" ht="15.75" customHeight="1">
      <c r="A388" s="30"/>
      <c r="B388" s="30"/>
      <c r="C388" s="30"/>
      <c r="D388" s="30"/>
      <c r="E388" s="30"/>
      <c r="F388" s="30"/>
    </row>
    <row r="389" ht="15.75" customHeight="1">
      <c r="A389" s="30"/>
      <c r="B389" s="30"/>
      <c r="C389" s="30"/>
      <c r="D389" s="30"/>
      <c r="E389" s="30"/>
      <c r="F389" s="30"/>
    </row>
    <row r="390" ht="15.75" customHeight="1">
      <c r="A390" s="30"/>
      <c r="B390" s="30"/>
      <c r="C390" s="30"/>
      <c r="D390" s="30"/>
      <c r="E390" s="30"/>
      <c r="F390" s="30"/>
    </row>
    <row r="391" ht="15.75" customHeight="1">
      <c r="A391" s="30"/>
      <c r="B391" s="30"/>
      <c r="C391" s="30"/>
      <c r="D391" s="30"/>
      <c r="E391" s="30"/>
      <c r="F391" s="30"/>
    </row>
    <row r="392" ht="15.75" customHeight="1">
      <c r="A392" s="30"/>
      <c r="B392" s="30"/>
      <c r="C392" s="30"/>
      <c r="D392" s="30"/>
      <c r="E392" s="30"/>
      <c r="F392" s="30"/>
    </row>
    <row r="393" ht="15.75" customHeight="1">
      <c r="A393" s="30"/>
      <c r="B393" s="30"/>
      <c r="C393" s="30"/>
      <c r="D393" s="30"/>
      <c r="E393" s="30"/>
      <c r="F393" s="30"/>
    </row>
    <row r="394" ht="15.75" customHeight="1">
      <c r="A394" s="30"/>
      <c r="B394" s="30"/>
      <c r="C394" s="30"/>
      <c r="D394" s="30"/>
      <c r="E394" s="30"/>
      <c r="F394" s="30"/>
    </row>
    <row r="395" ht="15.75" customHeight="1">
      <c r="A395" s="30"/>
      <c r="B395" s="30"/>
      <c r="C395" s="30"/>
      <c r="D395" s="30"/>
      <c r="E395" s="30"/>
      <c r="F395" s="30"/>
    </row>
    <row r="396" ht="15.75" customHeight="1">
      <c r="A396" s="30"/>
      <c r="B396" s="30"/>
      <c r="C396" s="30"/>
      <c r="D396" s="30"/>
      <c r="E396" s="30"/>
      <c r="F396" s="30"/>
    </row>
    <row r="397" ht="15.75" customHeight="1">
      <c r="A397" s="30"/>
      <c r="B397" s="30"/>
      <c r="C397" s="30"/>
      <c r="D397" s="30"/>
      <c r="E397" s="30"/>
      <c r="F397" s="30"/>
    </row>
    <row r="398" ht="15.75" customHeight="1">
      <c r="A398" s="30"/>
      <c r="B398" s="30"/>
      <c r="C398" s="30"/>
      <c r="D398" s="30"/>
      <c r="E398" s="30"/>
      <c r="F398" s="30"/>
    </row>
    <row r="399" ht="15.75" customHeight="1">
      <c r="A399" s="30"/>
      <c r="B399" s="30"/>
      <c r="C399" s="30"/>
      <c r="D399" s="30"/>
      <c r="E399" s="30"/>
      <c r="F399" s="30"/>
    </row>
    <row r="400" ht="15.75" customHeight="1">
      <c r="A400" s="30"/>
      <c r="B400" s="30"/>
      <c r="C400" s="30"/>
      <c r="D400" s="30"/>
      <c r="E400" s="30"/>
      <c r="F400" s="30"/>
    </row>
    <row r="401" ht="15.75" customHeight="1">
      <c r="A401" s="30"/>
      <c r="B401" s="30"/>
      <c r="C401" s="30"/>
      <c r="D401" s="30"/>
      <c r="E401" s="30"/>
      <c r="F401" s="30"/>
    </row>
    <row r="402" ht="15.75" customHeight="1">
      <c r="A402" s="30"/>
      <c r="B402" s="30"/>
      <c r="C402" s="30"/>
      <c r="D402" s="30"/>
      <c r="E402" s="30"/>
      <c r="F402" s="30"/>
    </row>
    <row r="403" ht="15.75" customHeight="1">
      <c r="A403" s="30"/>
      <c r="B403" s="30"/>
      <c r="C403" s="30"/>
      <c r="D403" s="30"/>
      <c r="E403" s="30"/>
      <c r="F403" s="30"/>
    </row>
    <row r="404" ht="15.75" customHeight="1">
      <c r="A404" s="30"/>
      <c r="B404" s="30"/>
      <c r="C404" s="30"/>
      <c r="D404" s="30"/>
      <c r="E404" s="30"/>
      <c r="F404" s="30"/>
    </row>
    <row r="405" ht="15.75" customHeight="1">
      <c r="A405" s="30"/>
      <c r="B405" s="30"/>
      <c r="C405" s="30"/>
      <c r="D405" s="30"/>
      <c r="E405" s="30"/>
      <c r="F405" s="30"/>
    </row>
    <row r="406" ht="15.75" customHeight="1">
      <c r="A406" s="30"/>
      <c r="B406" s="30"/>
      <c r="C406" s="30"/>
      <c r="D406" s="30"/>
      <c r="E406" s="30"/>
      <c r="F406" s="30"/>
    </row>
    <row r="407" ht="15.75" customHeight="1">
      <c r="A407" s="30"/>
      <c r="B407" s="30"/>
      <c r="C407" s="30"/>
      <c r="D407" s="30"/>
      <c r="E407" s="30"/>
      <c r="F407" s="30"/>
    </row>
    <row r="408" ht="15.75" customHeight="1">
      <c r="A408" s="30"/>
      <c r="B408" s="30"/>
      <c r="C408" s="30"/>
      <c r="D408" s="30"/>
      <c r="E408" s="30"/>
      <c r="F408" s="30"/>
    </row>
    <row r="409" ht="15.75" customHeight="1">
      <c r="A409" s="30"/>
      <c r="B409" s="30"/>
      <c r="C409" s="30"/>
      <c r="D409" s="30"/>
      <c r="E409" s="30"/>
      <c r="F409" s="30"/>
    </row>
    <row r="410" ht="15.75" customHeight="1">
      <c r="A410" s="30"/>
      <c r="B410" s="30"/>
      <c r="C410" s="30"/>
      <c r="D410" s="30"/>
      <c r="E410" s="30"/>
      <c r="F410" s="30"/>
    </row>
    <row r="411" ht="15.75" customHeight="1">
      <c r="A411" s="30"/>
      <c r="B411" s="30"/>
      <c r="C411" s="30"/>
      <c r="D411" s="30"/>
      <c r="E411" s="30"/>
      <c r="F411" s="30"/>
    </row>
    <row r="412" ht="15.75" customHeight="1">
      <c r="A412" s="30"/>
      <c r="B412" s="30"/>
      <c r="C412" s="30"/>
      <c r="D412" s="30"/>
      <c r="E412" s="30"/>
      <c r="F412" s="30"/>
    </row>
    <row r="413" ht="15.75" customHeight="1">
      <c r="A413" s="30"/>
      <c r="B413" s="30"/>
      <c r="C413" s="30"/>
      <c r="D413" s="30"/>
      <c r="E413" s="30"/>
      <c r="F413" s="30"/>
    </row>
    <row r="414" ht="15.75" customHeight="1">
      <c r="A414" s="30"/>
      <c r="B414" s="30"/>
      <c r="C414" s="30"/>
      <c r="D414" s="30"/>
      <c r="E414" s="30"/>
      <c r="F414" s="30"/>
    </row>
    <row r="415" ht="15.75" customHeight="1">
      <c r="A415" s="30"/>
      <c r="B415" s="30"/>
      <c r="C415" s="30"/>
      <c r="D415" s="30"/>
      <c r="E415" s="30"/>
      <c r="F415" s="30"/>
    </row>
    <row r="416" ht="15.75" customHeight="1">
      <c r="A416" s="30"/>
      <c r="B416" s="30"/>
      <c r="C416" s="30"/>
      <c r="D416" s="30"/>
      <c r="E416" s="30"/>
      <c r="F416" s="30"/>
    </row>
    <row r="417" ht="15.75" customHeight="1">
      <c r="A417" s="30"/>
      <c r="B417" s="30"/>
      <c r="C417" s="30"/>
      <c r="D417" s="30"/>
      <c r="E417" s="30"/>
      <c r="F417" s="30"/>
    </row>
    <row r="418" ht="15.75" customHeight="1">
      <c r="A418" s="30"/>
      <c r="B418" s="30"/>
      <c r="C418" s="30"/>
      <c r="D418" s="30"/>
      <c r="E418" s="30"/>
      <c r="F418" s="30"/>
    </row>
    <row r="419" ht="15.75" customHeight="1">
      <c r="A419" s="30"/>
      <c r="B419" s="30"/>
      <c r="C419" s="30"/>
      <c r="D419" s="30"/>
      <c r="E419" s="30"/>
      <c r="F419" s="30"/>
    </row>
    <row r="420" ht="15.75" customHeight="1">
      <c r="A420" s="30"/>
      <c r="B420" s="30"/>
      <c r="C420" s="30"/>
      <c r="D420" s="30"/>
      <c r="E420" s="30"/>
      <c r="F420" s="30"/>
    </row>
    <row r="421" ht="15.75" customHeight="1">
      <c r="A421" s="30"/>
      <c r="B421" s="30"/>
      <c r="C421" s="30"/>
      <c r="D421" s="30"/>
      <c r="E421" s="30"/>
      <c r="F421" s="30"/>
    </row>
    <row r="422" ht="15.75" customHeight="1">
      <c r="A422" s="30"/>
      <c r="B422" s="30"/>
      <c r="C422" s="30"/>
      <c r="D422" s="30"/>
      <c r="E422" s="30"/>
      <c r="F422" s="30"/>
    </row>
    <row r="423" ht="15.75" customHeight="1">
      <c r="A423" s="30"/>
      <c r="B423" s="30"/>
      <c r="C423" s="30"/>
      <c r="D423" s="30"/>
      <c r="E423" s="30"/>
      <c r="F423" s="30"/>
    </row>
    <row r="424" ht="15.75" customHeight="1">
      <c r="A424" s="30"/>
      <c r="B424" s="30"/>
      <c r="C424" s="30"/>
      <c r="D424" s="30"/>
      <c r="E424" s="30"/>
      <c r="F424" s="30"/>
    </row>
    <row r="425" ht="15.75" customHeight="1">
      <c r="A425" s="30"/>
      <c r="B425" s="30"/>
      <c r="C425" s="30"/>
      <c r="D425" s="30"/>
      <c r="E425" s="30"/>
      <c r="F425" s="30"/>
    </row>
    <row r="426" ht="15.75" customHeight="1">
      <c r="A426" s="30"/>
      <c r="B426" s="30"/>
      <c r="C426" s="30"/>
      <c r="D426" s="30"/>
      <c r="E426" s="30"/>
      <c r="F426" s="30"/>
    </row>
    <row r="427" ht="15.75" customHeight="1">
      <c r="A427" s="30"/>
      <c r="B427" s="30"/>
      <c r="C427" s="30"/>
      <c r="D427" s="30"/>
      <c r="E427" s="30"/>
      <c r="F427" s="30"/>
    </row>
    <row r="428" ht="15.75" customHeight="1">
      <c r="A428" s="30"/>
      <c r="B428" s="30"/>
      <c r="C428" s="30"/>
      <c r="D428" s="30"/>
      <c r="E428" s="30"/>
      <c r="F428" s="30"/>
    </row>
    <row r="429" ht="15.75" customHeight="1">
      <c r="A429" s="30"/>
      <c r="B429" s="30"/>
      <c r="C429" s="30"/>
      <c r="D429" s="30"/>
      <c r="E429" s="30"/>
      <c r="F429" s="30"/>
    </row>
    <row r="430" ht="15.75" customHeight="1">
      <c r="A430" s="30"/>
      <c r="B430" s="30"/>
      <c r="C430" s="30"/>
      <c r="D430" s="30"/>
      <c r="E430" s="30"/>
      <c r="F430" s="30"/>
    </row>
    <row r="431" ht="15.75" customHeight="1">
      <c r="A431" s="30"/>
      <c r="B431" s="30"/>
      <c r="C431" s="30"/>
      <c r="D431" s="30"/>
      <c r="E431" s="30"/>
      <c r="F431" s="30"/>
    </row>
    <row r="432" ht="15.75" customHeight="1">
      <c r="A432" s="30"/>
      <c r="B432" s="30"/>
      <c r="C432" s="30"/>
      <c r="D432" s="30"/>
      <c r="E432" s="30"/>
      <c r="F432" s="30"/>
    </row>
    <row r="433" ht="15.75" customHeight="1">
      <c r="A433" s="30"/>
      <c r="B433" s="30"/>
      <c r="C433" s="30"/>
      <c r="D433" s="30"/>
      <c r="E433" s="30"/>
      <c r="F433" s="30"/>
    </row>
    <row r="434" ht="15.75" customHeight="1">
      <c r="A434" s="30"/>
      <c r="B434" s="30"/>
      <c r="C434" s="30"/>
      <c r="D434" s="30"/>
      <c r="E434" s="30"/>
      <c r="F434" s="30"/>
    </row>
    <row r="435" ht="15.75" customHeight="1">
      <c r="A435" s="30"/>
      <c r="B435" s="30"/>
      <c r="C435" s="30"/>
      <c r="D435" s="30"/>
      <c r="E435" s="30"/>
      <c r="F435" s="30"/>
    </row>
    <row r="436" ht="15.75" customHeight="1">
      <c r="A436" s="30"/>
      <c r="B436" s="30"/>
      <c r="C436" s="30"/>
      <c r="D436" s="30"/>
      <c r="E436" s="30"/>
      <c r="F436" s="30"/>
    </row>
    <row r="437" ht="15.75" customHeight="1">
      <c r="A437" s="30"/>
      <c r="B437" s="30"/>
      <c r="C437" s="30"/>
      <c r="D437" s="30"/>
      <c r="E437" s="30"/>
      <c r="F437" s="30"/>
    </row>
    <row r="438" ht="15.75" customHeight="1">
      <c r="A438" s="30"/>
      <c r="B438" s="30"/>
      <c r="C438" s="30"/>
      <c r="D438" s="30"/>
      <c r="E438" s="30"/>
      <c r="F438" s="30"/>
    </row>
    <row r="439" ht="15.75" customHeight="1">
      <c r="A439" s="30"/>
      <c r="B439" s="30"/>
      <c r="C439" s="30"/>
      <c r="D439" s="30"/>
      <c r="E439" s="30"/>
      <c r="F439" s="30"/>
    </row>
    <row r="440" ht="15.75" customHeight="1">
      <c r="A440" s="30"/>
      <c r="B440" s="30"/>
      <c r="C440" s="30"/>
      <c r="D440" s="30"/>
      <c r="E440" s="30"/>
      <c r="F440" s="30"/>
    </row>
    <row r="441" ht="15.75" customHeight="1">
      <c r="A441" s="30"/>
      <c r="B441" s="30"/>
      <c r="C441" s="30"/>
      <c r="D441" s="30"/>
      <c r="E441" s="30"/>
      <c r="F441" s="30"/>
    </row>
    <row r="442" ht="15.75" customHeight="1">
      <c r="A442" s="30"/>
      <c r="B442" s="30"/>
      <c r="C442" s="30"/>
      <c r="D442" s="30"/>
      <c r="E442" s="30"/>
      <c r="F442" s="30"/>
    </row>
    <row r="443" ht="15.75" customHeight="1">
      <c r="A443" s="30"/>
      <c r="B443" s="30"/>
      <c r="C443" s="30"/>
      <c r="D443" s="30"/>
      <c r="E443" s="30"/>
      <c r="F443" s="30"/>
    </row>
    <row r="444" ht="15.75" customHeight="1">
      <c r="A444" s="30"/>
      <c r="B444" s="30"/>
      <c r="C444" s="30"/>
      <c r="D444" s="30"/>
      <c r="E444" s="30"/>
      <c r="F444" s="30"/>
    </row>
    <row r="445" ht="15.75" customHeight="1">
      <c r="A445" s="30"/>
      <c r="B445" s="30"/>
      <c r="C445" s="30"/>
      <c r="D445" s="30"/>
      <c r="E445" s="30"/>
      <c r="F445" s="30"/>
    </row>
    <row r="446" ht="15.75" customHeight="1">
      <c r="A446" s="30"/>
      <c r="B446" s="30"/>
      <c r="C446" s="30"/>
      <c r="D446" s="30"/>
      <c r="E446" s="30"/>
      <c r="F446" s="30"/>
    </row>
    <row r="447" ht="15.75" customHeight="1">
      <c r="A447" s="30"/>
      <c r="B447" s="30"/>
      <c r="C447" s="30"/>
      <c r="D447" s="30"/>
      <c r="E447" s="30"/>
      <c r="F447" s="30"/>
    </row>
    <row r="448" ht="15.75" customHeight="1">
      <c r="A448" s="30"/>
      <c r="B448" s="30"/>
      <c r="C448" s="30"/>
      <c r="D448" s="30"/>
      <c r="E448" s="30"/>
      <c r="F448" s="30"/>
    </row>
    <row r="449" ht="15.75" customHeight="1">
      <c r="A449" s="30"/>
      <c r="B449" s="30"/>
      <c r="C449" s="30"/>
      <c r="D449" s="30"/>
      <c r="E449" s="30"/>
      <c r="F449" s="30"/>
    </row>
    <row r="450" ht="15.75" customHeight="1">
      <c r="A450" s="30"/>
      <c r="B450" s="30"/>
      <c r="C450" s="30"/>
      <c r="D450" s="30"/>
      <c r="E450" s="30"/>
      <c r="F450" s="30"/>
    </row>
    <row r="451" ht="15.75" customHeight="1">
      <c r="A451" s="30"/>
      <c r="B451" s="30"/>
      <c r="C451" s="30"/>
      <c r="D451" s="30"/>
      <c r="E451" s="30"/>
      <c r="F451" s="30"/>
    </row>
    <row r="452" ht="15.75" customHeight="1">
      <c r="A452" s="30"/>
      <c r="B452" s="30"/>
      <c r="C452" s="30"/>
      <c r="D452" s="30"/>
      <c r="E452" s="30"/>
      <c r="F452" s="30"/>
    </row>
    <row r="453" ht="15.75" customHeight="1">
      <c r="A453" s="30"/>
      <c r="B453" s="30"/>
      <c r="C453" s="30"/>
      <c r="D453" s="30"/>
      <c r="E453" s="30"/>
      <c r="F453" s="30"/>
    </row>
    <row r="454" ht="15.75" customHeight="1">
      <c r="A454" s="30"/>
      <c r="B454" s="30"/>
      <c r="C454" s="30"/>
      <c r="D454" s="30"/>
      <c r="E454" s="30"/>
      <c r="F454" s="30"/>
    </row>
    <row r="455" ht="15.75" customHeight="1">
      <c r="A455" s="30"/>
      <c r="B455" s="30"/>
      <c r="C455" s="30"/>
      <c r="D455" s="30"/>
      <c r="E455" s="30"/>
      <c r="F455" s="30"/>
    </row>
    <row r="456" ht="15.75" customHeight="1">
      <c r="A456" s="30"/>
      <c r="B456" s="30"/>
      <c r="C456" s="30"/>
      <c r="D456" s="30"/>
      <c r="E456" s="30"/>
      <c r="F456" s="30"/>
    </row>
    <row r="457" ht="15.75" customHeight="1">
      <c r="A457" s="30"/>
      <c r="B457" s="30"/>
      <c r="C457" s="30"/>
      <c r="D457" s="30"/>
      <c r="E457" s="30"/>
      <c r="F457" s="30"/>
    </row>
    <row r="458" ht="15.75" customHeight="1">
      <c r="A458" s="30"/>
      <c r="B458" s="30"/>
      <c r="C458" s="30"/>
      <c r="D458" s="30"/>
      <c r="E458" s="30"/>
      <c r="F458" s="30"/>
    </row>
    <row r="459" ht="15.75" customHeight="1">
      <c r="A459" s="30"/>
      <c r="B459" s="30"/>
      <c r="C459" s="30"/>
      <c r="D459" s="30"/>
      <c r="E459" s="30"/>
      <c r="F459" s="30"/>
    </row>
    <row r="460" ht="15.75" customHeight="1">
      <c r="A460" s="30"/>
      <c r="B460" s="30"/>
      <c r="C460" s="30"/>
      <c r="D460" s="30"/>
      <c r="E460" s="30"/>
      <c r="F460" s="30"/>
    </row>
    <row r="461" ht="15.75" customHeight="1">
      <c r="A461" s="30"/>
      <c r="B461" s="30"/>
      <c r="C461" s="30"/>
      <c r="D461" s="30"/>
      <c r="E461" s="30"/>
      <c r="F461" s="30"/>
    </row>
    <row r="462" ht="15.75" customHeight="1">
      <c r="A462" s="30"/>
      <c r="B462" s="30"/>
      <c r="C462" s="30"/>
      <c r="D462" s="30"/>
      <c r="E462" s="30"/>
      <c r="F462" s="30"/>
    </row>
    <row r="463" ht="15.75" customHeight="1">
      <c r="A463" s="30"/>
      <c r="B463" s="30"/>
      <c r="C463" s="30"/>
      <c r="D463" s="30"/>
      <c r="E463" s="30"/>
      <c r="F463" s="30"/>
    </row>
    <row r="464" ht="15.75" customHeight="1">
      <c r="A464" s="30"/>
      <c r="B464" s="30"/>
      <c r="C464" s="30"/>
      <c r="D464" s="30"/>
      <c r="E464" s="30"/>
      <c r="F464" s="30"/>
    </row>
    <row r="465" ht="15.75" customHeight="1">
      <c r="A465" s="30"/>
      <c r="B465" s="30"/>
      <c r="C465" s="30"/>
      <c r="D465" s="30"/>
      <c r="E465" s="30"/>
      <c r="F465" s="30"/>
    </row>
    <row r="466" ht="15.75" customHeight="1">
      <c r="A466" s="30"/>
      <c r="B466" s="30"/>
      <c r="C466" s="30"/>
      <c r="D466" s="30"/>
      <c r="E466" s="30"/>
      <c r="F466" s="30"/>
    </row>
    <row r="467" ht="15.75" customHeight="1">
      <c r="A467" s="30"/>
      <c r="B467" s="30"/>
      <c r="C467" s="30"/>
      <c r="D467" s="30"/>
      <c r="E467" s="30"/>
      <c r="F467" s="30"/>
    </row>
    <row r="468" ht="15.75" customHeight="1">
      <c r="A468" s="30"/>
      <c r="B468" s="30"/>
      <c r="C468" s="30"/>
      <c r="D468" s="30"/>
      <c r="E468" s="30"/>
      <c r="F468" s="30"/>
    </row>
    <row r="469" ht="15.75" customHeight="1">
      <c r="A469" s="30"/>
      <c r="B469" s="30"/>
      <c r="C469" s="30"/>
      <c r="D469" s="30"/>
      <c r="E469" s="30"/>
      <c r="F469" s="30"/>
    </row>
    <row r="470" ht="15.75" customHeight="1">
      <c r="A470" s="30"/>
      <c r="B470" s="30"/>
      <c r="C470" s="30"/>
      <c r="D470" s="30"/>
      <c r="E470" s="30"/>
      <c r="F470" s="30"/>
    </row>
    <row r="471" ht="15.75" customHeight="1">
      <c r="A471" s="30"/>
      <c r="B471" s="30"/>
      <c r="C471" s="30"/>
      <c r="D471" s="30"/>
      <c r="E471" s="30"/>
      <c r="F471" s="30"/>
    </row>
    <row r="472" ht="15.75" customHeight="1">
      <c r="A472" s="30"/>
      <c r="B472" s="30"/>
      <c r="C472" s="30"/>
      <c r="D472" s="30"/>
      <c r="E472" s="30"/>
      <c r="F472" s="30"/>
    </row>
    <row r="473" ht="15.75" customHeight="1">
      <c r="A473" s="30"/>
      <c r="B473" s="30"/>
      <c r="C473" s="30"/>
      <c r="D473" s="30"/>
      <c r="E473" s="30"/>
      <c r="F473" s="30"/>
    </row>
    <row r="474" ht="15.75" customHeight="1">
      <c r="A474" s="30"/>
      <c r="B474" s="30"/>
      <c r="C474" s="30"/>
      <c r="D474" s="30"/>
      <c r="E474" s="30"/>
      <c r="F474" s="30"/>
    </row>
    <row r="475" ht="15.75" customHeight="1">
      <c r="A475" s="30"/>
      <c r="B475" s="30"/>
      <c r="C475" s="30"/>
      <c r="D475" s="30"/>
      <c r="E475" s="30"/>
      <c r="F475" s="30"/>
    </row>
    <row r="476" ht="15.75" customHeight="1">
      <c r="A476" s="30"/>
      <c r="B476" s="30"/>
      <c r="C476" s="30"/>
      <c r="D476" s="30"/>
      <c r="E476" s="30"/>
      <c r="F476" s="30"/>
    </row>
    <row r="477" ht="15.75" customHeight="1">
      <c r="A477" s="30"/>
      <c r="B477" s="30"/>
      <c r="C477" s="30"/>
      <c r="D477" s="30"/>
      <c r="E477" s="30"/>
      <c r="F477" s="30"/>
    </row>
    <row r="478" ht="15.75" customHeight="1">
      <c r="A478" s="30"/>
      <c r="B478" s="30"/>
      <c r="C478" s="30"/>
      <c r="D478" s="30"/>
      <c r="E478" s="30"/>
      <c r="F478" s="30"/>
    </row>
    <row r="479" ht="15.75" customHeight="1">
      <c r="A479" s="30"/>
      <c r="B479" s="30"/>
      <c r="C479" s="30"/>
      <c r="D479" s="30"/>
      <c r="E479" s="30"/>
      <c r="F479" s="30"/>
    </row>
    <row r="480" ht="15.75" customHeight="1">
      <c r="A480" s="30"/>
      <c r="B480" s="30"/>
      <c r="C480" s="30"/>
      <c r="D480" s="30"/>
      <c r="E480" s="30"/>
      <c r="F480" s="30"/>
    </row>
    <row r="481" ht="15.75" customHeight="1">
      <c r="A481" s="30"/>
      <c r="B481" s="30"/>
      <c r="C481" s="30"/>
      <c r="D481" s="30"/>
      <c r="E481" s="30"/>
      <c r="F481" s="30"/>
    </row>
    <row r="482" ht="15.75" customHeight="1">
      <c r="A482" s="30"/>
      <c r="B482" s="30"/>
      <c r="C482" s="30"/>
      <c r="D482" s="30"/>
      <c r="E482" s="30"/>
      <c r="F482" s="30"/>
    </row>
    <row r="483" ht="15.75" customHeight="1">
      <c r="A483" s="30"/>
      <c r="B483" s="30"/>
      <c r="C483" s="30"/>
      <c r="D483" s="30"/>
      <c r="E483" s="30"/>
      <c r="F483" s="30"/>
    </row>
    <row r="484" ht="15.75" customHeight="1">
      <c r="A484" s="30"/>
      <c r="B484" s="30"/>
      <c r="C484" s="30"/>
      <c r="D484" s="30"/>
      <c r="E484" s="30"/>
      <c r="F484" s="30"/>
    </row>
    <row r="485" ht="15.75" customHeight="1">
      <c r="A485" s="30"/>
      <c r="B485" s="30"/>
      <c r="C485" s="30"/>
      <c r="D485" s="30"/>
      <c r="E485" s="30"/>
      <c r="F485" s="30"/>
    </row>
    <row r="486" ht="15.75" customHeight="1">
      <c r="A486" s="30"/>
      <c r="B486" s="30"/>
      <c r="C486" s="30"/>
      <c r="D486" s="30"/>
      <c r="E486" s="30"/>
      <c r="F486" s="30"/>
    </row>
    <row r="487" ht="15.75" customHeight="1">
      <c r="A487" s="30"/>
      <c r="B487" s="30"/>
      <c r="C487" s="30"/>
      <c r="D487" s="30"/>
      <c r="E487" s="30"/>
      <c r="F487" s="30"/>
    </row>
    <row r="488" ht="15.75" customHeight="1">
      <c r="A488" s="30"/>
      <c r="B488" s="30"/>
      <c r="C488" s="30"/>
      <c r="D488" s="30"/>
      <c r="E488" s="30"/>
      <c r="F488" s="30"/>
    </row>
    <row r="489" ht="15.75" customHeight="1">
      <c r="A489" s="30"/>
      <c r="B489" s="30"/>
      <c r="C489" s="30"/>
      <c r="D489" s="30"/>
      <c r="E489" s="30"/>
      <c r="F489" s="30"/>
    </row>
    <row r="490" ht="15.75" customHeight="1">
      <c r="A490" s="30"/>
      <c r="B490" s="30"/>
      <c r="C490" s="30"/>
      <c r="D490" s="30"/>
      <c r="E490" s="30"/>
      <c r="F490" s="30"/>
    </row>
    <row r="491" ht="15.75" customHeight="1">
      <c r="A491" s="30"/>
      <c r="B491" s="30"/>
      <c r="C491" s="30"/>
      <c r="D491" s="30"/>
      <c r="E491" s="30"/>
      <c r="F491" s="30"/>
    </row>
    <row r="492" ht="15.75" customHeight="1">
      <c r="A492" s="30"/>
      <c r="B492" s="30"/>
      <c r="C492" s="30"/>
      <c r="D492" s="30"/>
      <c r="E492" s="30"/>
      <c r="F492" s="30"/>
    </row>
    <row r="493" ht="15.75" customHeight="1">
      <c r="A493" s="30"/>
      <c r="B493" s="30"/>
      <c r="C493" s="30"/>
      <c r="D493" s="30"/>
      <c r="E493" s="30"/>
      <c r="F493" s="30"/>
    </row>
    <row r="494" ht="15.75" customHeight="1">
      <c r="A494" s="30"/>
      <c r="B494" s="30"/>
      <c r="C494" s="30"/>
      <c r="D494" s="30"/>
      <c r="E494" s="30"/>
      <c r="F494" s="30"/>
    </row>
    <row r="495" ht="15.75" customHeight="1">
      <c r="A495" s="30"/>
      <c r="B495" s="30"/>
      <c r="C495" s="30"/>
      <c r="D495" s="30"/>
      <c r="E495" s="30"/>
      <c r="F495" s="30"/>
    </row>
    <row r="496" ht="15.75" customHeight="1">
      <c r="A496" s="30"/>
      <c r="B496" s="30"/>
      <c r="C496" s="30"/>
      <c r="D496" s="30"/>
      <c r="E496" s="30"/>
      <c r="F496" s="30"/>
    </row>
    <row r="497" ht="15.75" customHeight="1">
      <c r="A497" s="30"/>
      <c r="B497" s="30"/>
      <c r="C497" s="30"/>
      <c r="D497" s="30"/>
      <c r="E497" s="30"/>
      <c r="F497" s="30"/>
    </row>
    <row r="498" ht="15.75" customHeight="1">
      <c r="A498" s="30"/>
      <c r="B498" s="30"/>
      <c r="C498" s="30"/>
      <c r="D498" s="30"/>
      <c r="E498" s="30"/>
      <c r="F498" s="30"/>
    </row>
    <row r="499" ht="15.75" customHeight="1">
      <c r="A499" s="30"/>
      <c r="B499" s="30"/>
      <c r="C499" s="30"/>
      <c r="D499" s="30"/>
      <c r="E499" s="30"/>
      <c r="F499" s="30"/>
    </row>
    <row r="500" ht="15.75" customHeight="1">
      <c r="A500" s="30"/>
      <c r="B500" s="30"/>
      <c r="C500" s="30"/>
      <c r="D500" s="30"/>
      <c r="E500" s="30"/>
      <c r="F500" s="30"/>
    </row>
    <row r="501" ht="15.75" customHeight="1">
      <c r="A501" s="30"/>
      <c r="B501" s="30"/>
      <c r="C501" s="30"/>
      <c r="D501" s="30"/>
      <c r="E501" s="30"/>
      <c r="F501" s="30"/>
    </row>
    <row r="502" ht="15.75" customHeight="1">
      <c r="A502" s="30"/>
      <c r="B502" s="30"/>
      <c r="C502" s="30"/>
      <c r="D502" s="30"/>
      <c r="E502" s="30"/>
      <c r="F502" s="30"/>
    </row>
    <row r="503" ht="15.75" customHeight="1">
      <c r="A503" s="30"/>
      <c r="B503" s="30"/>
      <c r="C503" s="30"/>
      <c r="D503" s="30"/>
      <c r="E503" s="30"/>
      <c r="F503" s="30"/>
    </row>
    <row r="504" ht="15.75" customHeight="1">
      <c r="A504" s="30"/>
      <c r="B504" s="30"/>
      <c r="C504" s="30"/>
      <c r="D504" s="30"/>
      <c r="E504" s="30"/>
      <c r="F504" s="30"/>
    </row>
    <row r="505" ht="15.75" customHeight="1">
      <c r="A505" s="30"/>
      <c r="B505" s="30"/>
      <c r="C505" s="30"/>
      <c r="D505" s="30"/>
      <c r="E505" s="30"/>
      <c r="F505" s="30"/>
    </row>
    <row r="506" ht="15.75" customHeight="1">
      <c r="A506" s="30"/>
      <c r="B506" s="30"/>
      <c r="C506" s="30"/>
      <c r="D506" s="30"/>
      <c r="E506" s="30"/>
      <c r="F506" s="30"/>
    </row>
    <row r="507" ht="15.75" customHeight="1">
      <c r="A507" s="30"/>
      <c r="B507" s="30"/>
      <c r="C507" s="30"/>
      <c r="D507" s="30"/>
      <c r="E507" s="30"/>
      <c r="F507" s="30"/>
    </row>
    <row r="508" ht="15.75" customHeight="1">
      <c r="A508" s="30"/>
      <c r="B508" s="30"/>
      <c r="C508" s="30"/>
      <c r="D508" s="30"/>
      <c r="E508" s="30"/>
      <c r="F508" s="30"/>
    </row>
    <row r="509" ht="15.75" customHeight="1">
      <c r="A509" s="30"/>
      <c r="B509" s="30"/>
      <c r="C509" s="30"/>
      <c r="D509" s="30"/>
      <c r="E509" s="30"/>
      <c r="F509" s="30"/>
    </row>
    <row r="510" ht="15.75" customHeight="1">
      <c r="A510" s="30"/>
      <c r="B510" s="30"/>
      <c r="C510" s="30"/>
      <c r="D510" s="30"/>
      <c r="E510" s="30"/>
      <c r="F510" s="30"/>
    </row>
    <row r="511" ht="15.75" customHeight="1">
      <c r="A511" s="30"/>
      <c r="B511" s="30"/>
      <c r="C511" s="30"/>
      <c r="D511" s="30"/>
      <c r="E511" s="30"/>
      <c r="F511" s="30"/>
    </row>
    <row r="512" ht="15.75" customHeight="1">
      <c r="A512" s="30"/>
      <c r="B512" s="30"/>
      <c r="C512" s="30"/>
      <c r="D512" s="30"/>
      <c r="E512" s="30"/>
      <c r="F512" s="30"/>
    </row>
    <row r="513" ht="15.75" customHeight="1">
      <c r="A513" s="30"/>
      <c r="B513" s="30"/>
      <c r="C513" s="30"/>
      <c r="D513" s="30"/>
      <c r="E513" s="30"/>
      <c r="F513" s="30"/>
    </row>
    <row r="514" ht="15.75" customHeight="1">
      <c r="A514" s="30"/>
      <c r="B514" s="30"/>
      <c r="C514" s="30"/>
      <c r="D514" s="30"/>
      <c r="E514" s="30"/>
      <c r="F514" s="30"/>
    </row>
    <row r="515" ht="15.75" customHeight="1">
      <c r="A515" s="30"/>
      <c r="B515" s="30"/>
      <c r="C515" s="30"/>
      <c r="D515" s="30"/>
      <c r="E515" s="30"/>
      <c r="F515" s="30"/>
    </row>
    <row r="516" ht="15.75" customHeight="1">
      <c r="A516" s="30"/>
      <c r="B516" s="30"/>
      <c r="C516" s="30"/>
      <c r="D516" s="30"/>
      <c r="E516" s="30"/>
      <c r="F516" s="30"/>
    </row>
    <row r="517" ht="15.75" customHeight="1">
      <c r="A517" s="30"/>
      <c r="B517" s="30"/>
      <c r="C517" s="30"/>
      <c r="D517" s="30"/>
      <c r="E517" s="30"/>
      <c r="F517" s="30"/>
    </row>
    <row r="518" ht="15.75" customHeight="1">
      <c r="A518" s="30"/>
      <c r="B518" s="30"/>
      <c r="C518" s="30"/>
      <c r="D518" s="30"/>
      <c r="E518" s="30"/>
      <c r="F518" s="30"/>
    </row>
    <row r="519" ht="15.75" customHeight="1">
      <c r="A519" s="30"/>
      <c r="B519" s="30"/>
      <c r="C519" s="30"/>
      <c r="D519" s="30"/>
      <c r="E519" s="30"/>
      <c r="F519" s="30"/>
    </row>
    <row r="520" ht="15.75" customHeight="1">
      <c r="A520" s="30"/>
      <c r="B520" s="30"/>
      <c r="C520" s="30"/>
      <c r="D520" s="30"/>
      <c r="E520" s="30"/>
      <c r="F520" s="30"/>
    </row>
    <row r="521" ht="15.75" customHeight="1">
      <c r="A521" s="30"/>
      <c r="B521" s="30"/>
      <c r="C521" s="30"/>
      <c r="D521" s="30"/>
      <c r="E521" s="30"/>
      <c r="F521" s="30"/>
    </row>
    <row r="522" ht="15.75" customHeight="1">
      <c r="A522" s="30"/>
      <c r="B522" s="30"/>
      <c r="C522" s="30"/>
      <c r="D522" s="30"/>
      <c r="E522" s="30"/>
      <c r="F522" s="30"/>
    </row>
    <row r="523" ht="15.75" customHeight="1">
      <c r="A523" s="30"/>
      <c r="B523" s="30"/>
      <c r="C523" s="30"/>
      <c r="D523" s="30"/>
      <c r="E523" s="30"/>
      <c r="F523" s="30"/>
    </row>
    <row r="524" ht="15.75" customHeight="1">
      <c r="A524" s="30"/>
      <c r="B524" s="30"/>
      <c r="C524" s="30"/>
      <c r="D524" s="30"/>
      <c r="E524" s="30"/>
      <c r="F524" s="30"/>
    </row>
    <row r="525" ht="15.75" customHeight="1">
      <c r="A525" s="30"/>
      <c r="B525" s="30"/>
      <c r="C525" s="30"/>
      <c r="D525" s="30"/>
      <c r="E525" s="30"/>
      <c r="F525" s="30"/>
    </row>
    <row r="526" ht="15.75" customHeight="1">
      <c r="A526" s="30"/>
      <c r="B526" s="30"/>
      <c r="C526" s="30"/>
      <c r="D526" s="30"/>
      <c r="E526" s="30"/>
      <c r="F526" s="30"/>
    </row>
    <row r="527" ht="15.75" customHeight="1">
      <c r="A527" s="30"/>
      <c r="B527" s="30"/>
      <c r="C527" s="30"/>
      <c r="D527" s="30"/>
      <c r="E527" s="30"/>
      <c r="F527" s="30"/>
    </row>
    <row r="528" ht="15.75" customHeight="1">
      <c r="A528" s="30"/>
      <c r="B528" s="30"/>
      <c r="C528" s="30"/>
      <c r="D528" s="30"/>
      <c r="E528" s="30"/>
      <c r="F528" s="30"/>
    </row>
    <row r="529" ht="15.75" customHeight="1">
      <c r="A529" s="30"/>
      <c r="B529" s="30"/>
      <c r="C529" s="30"/>
      <c r="D529" s="30"/>
      <c r="E529" s="30"/>
      <c r="F529" s="30"/>
    </row>
    <row r="530" ht="15.75" customHeight="1">
      <c r="A530" s="30"/>
      <c r="B530" s="30"/>
      <c r="C530" s="30"/>
      <c r="D530" s="30"/>
      <c r="E530" s="30"/>
      <c r="F530" s="30"/>
    </row>
    <row r="531" ht="15.75" customHeight="1">
      <c r="A531" s="30"/>
      <c r="B531" s="30"/>
      <c r="C531" s="30"/>
      <c r="D531" s="30"/>
      <c r="E531" s="30"/>
      <c r="F531" s="30"/>
    </row>
    <row r="532" ht="15.75" customHeight="1">
      <c r="A532" s="30"/>
      <c r="B532" s="30"/>
      <c r="C532" s="30"/>
      <c r="D532" s="30"/>
      <c r="E532" s="30"/>
      <c r="F532" s="30"/>
    </row>
    <row r="533" ht="15.75" customHeight="1">
      <c r="A533" s="30"/>
      <c r="B533" s="30"/>
      <c r="C533" s="30"/>
      <c r="D533" s="30"/>
      <c r="E533" s="30"/>
      <c r="F533" s="30"/>
    </row>
    <row r="534" ht="15.75" customHeight="1">
      <c r="A534" s="30"/>
      <c r="B534" s="30"/>
      <c r="C534" s="30"/>
      <c r="D534" s="30"/>
      <c r="E534" s="30"/>
      <c r="F534" s="30"/>
    </row>
    <row r="535" ht="15.75" customHeight="1">
      <c r="A535" s="30"/>
      <c r="B535" s="30"/>
      <c r="C535" s="30"/>
      <c r="D535" s="30"/>
      <c r="E535" s="30"/>
      <c r="F535" s="30"/>
    </row>
    <row r="536" ht="15.75" customHeight="1">
      <c r="A536" s="30"/>
      <c r="B536" s="30"/>
      <c r="C536" s="30"/>
      <c r="D536" s="30"/>
      <c r="E536" s="30"/>
      <c r="F536" s="30"/>
    </row>
    <row r="537" ht="15.75" customHeight="1">
      <c r="A537" s="30"/>
      <c r="B537" s="30"/>
      <c r="C537" s="30"/>
      <c r="D537" s="30"/>
      <c r="E537" s="30"/>
      <c r="F537" s="30"/>
    </row>
    <row r="538" ht="15.75" customHeight="1">
      <c r="A538" s="30"/>
      <c r="B538" s="30"/>
      <c r="C538" s="30"/>
      <c r="D538" s="30"/>
      <c r="E538" s="30"/>
      <c r="F538" s="30"/>
    </row>
    <row r="539" ht="15.75" customHeight="1">
      <c r="A539" s="30"/>
      <c r="B539" s="30"/>
      <c r="C539" s="30"/>
      <c r="D539" s="30"/>
      <c r="E539" s="30"/>
      <c r="F539" s="30"/>
    </row>
    <row r="540" ht="15.75" customHeight="1">
      <c r="A540" s="30"/>
      <c r="B540" s="30"/>
      <c r="C540" s="30"/>
      <c r="D540" s="30"/>
      <c r="E540" s="30"/>
      <c r="F540" s="30"/>
    </row>
    <row r="541" ht="15.75" customHeight="1">
      <c r="A541" s="30"/>
      <c r="B541" s="30"/>
      <c r="C541" s="30"/>
      <c r="D541" s="30"/>
      <c r="E541" s="30"/>
      <c r="F541" s="30"/>
    </row>
    <row r="542" ht="15.75" customHeight="1">
      <c r="A542" s="30"/>
      <c r="B542" s="30"/>
      <c r="C542" s="30"/>
      <c r="D542" s="30"/>
      <c r="E542" s="30"/>
      <c r="F542" s="30"/>
    </row>
    <row r="543" ht="15.75" customHeight="1">
      <c r="A543" s="30"/>
      <c r="B543" s="30"/>
      <c r="C543" s="30"/>
      <c r="D543" s="30"/>
      <c r="E543" s="30"/>
      <c r="F543" s="30"/>
    </row>
    <row r="544" ht="15.75" customHeight="1">
      <c r="A544" s="30"/>
      <c r="B544" s="30"/>
      <c r="C544" s="30"/>
      <c r="D544" s="30"/>
      <c r="E544" s="30"/>
      <c r="F544" s="30"/>
    </row>
    <row r="545" ht="15.75" customHeight="1">
      <c r="A545" s="30"/>
      <c r="B545" s="30"/>
      <c r="C545" s="30"/>
      <c r="D545" s="30"/>
      <c r="E545" s="30"/>
      <c r="F545" s="30"/>
    </row>
    <row r="546" ht="15.75" customHeight="1">
      <c r="A546" s="30"/>
      <c r="B546" s="30"/>
      <c r="C546" s="30"/>
      <c r="D546" s="30"/>
      <c r="E546" s="30"/>
      <c r="F546" s="30"/>
    </row>
    <row r="547" ht="15.75" customHeight="1">
      <c r="A547" s="30"/>
      <c r="B547" s="30"/>
      <c r="C547" s="30"/>
      <c r="D547" s="30"/>
      <c r="E547" s="30"/>
      <c r="F547" s="30"/>
    </row>
    <row r="548" ht="15.75" customHeight="1">
      <c r="A548" s="30"/>
      <c r="B548" s="30"/>
      <c r="C548" s="30"/>
      <c r="D548" s="30"/>
      <c r="E548" s="30"/>
      <c r="F548" s="30"/>
    </row>
    <row r="549" ht="15.75" customHeight="1">
      <c r="A549" s="30"/>
      <c r="B549" s="30"/>
      <c r="C549" s="30"/>
      <c r="D549" s="30"/>
      <c r="E549" s="30"/>
      <c r="F549" s="30"/>
    </row>
    <row r="550" ht="15.75" customHeight="1">
      <c r="A550" s="30"/>
      <c r="B550" s="30"/>
      <c r="C550" s="30"/>
      <c r="D550" s="30"/>
      <c r="E550" s="30"/>
      <c r="F550" s="30"/>
    </row>
    <row r="551" ht="15.75" customHeight="1">
      <c r="A551" s="30"/>
      <c r="B551" s="30"/>
      <c r="C551" s="30"/>
      <c r="D551" s="30"/>
      <c r="E551" s="30"/>
      <c r="F551" s="30"/>
    </row>
    <row r="552" ht="15.75" customHeight="1">
      <c r="A552" s="30"/>
      <c r="B552" s="30"/>
      <c r="C552" s="30"/>
      <c r="D552" s="30"/>
      <c r="E552" s="30"/>
      <c r="F552" s="30"/>
    </row>
    <row r="553" ht="15.75" customHeight="1">
      <c r="A553" s="30"/>
      <c r="B553" s="30"/>
      <c r="C553" s="30"/>
      <c r="D553" s="30"/>
      <c r="E553" s="30"/>
      <c r="F553" s="30"/>
    </row>
    <row r="554" ht="15.75" customHeight="1">
      <c r="A554" s="30"/>
      <c r="B554" s="30"/>
      <c r="C554" s="30"/>
      <c r="D554" s="30"/>
      <c r="E554" s="30"/>
      <c r="F554" s="30"/>
    </row>
    <row r="555" ht="15.75" customHeight="1">
      <c r="A555" s="30"/>
      <c r="B555" s="30"/>
      <c r="C555" s="30"/>
      <c r="D555" s="30"/>
      <c r="E555" s="30"/>
      <c r="F555" s="30"/>
    </row>
    <row r="556" ht="15.75" customHeight="1">
      <c r="A556" s="30"/>
      <c r="B556" s="30"/>
      <c r="C556" s="30"/>
      <c r="D556" s="30"/>
      <c r="E556" s="30"/>
      <c r="F556" s="30"/>
    </row>
    <row r="557" ht="15.75" customHeight="1">
      <c r="A557" s="30"/>
      <c r="B557" s="30"/>
      <c r="C557" s="30"/>
      <c r="D557" s="30"/>
      <c r="E557" s="30"/>
      <c r="F557" s="30"/>
    </row>
    <row r="558" ht="15.75" customHeight="1">
      <c r="A558" s="30"/>
      <c r="B558" s="30"/>
      <c r="C558" s="30"/>
      <c r="D558" s="30"/>
      <c r="E558" s="30"/>
      <c r="F558" s="30"/>
    </row>
    <row r="559" ht="15.75" customHeight="1">
      <c r="A559" s="30"/>
      <c r="B559" s="30"/>
      <c r="C559" s="30"/>
      <c r="D559" s="30"/>
      <c r="E559" s="30"/>
      <c r="F559" s="30"/>
    </row>
    <row r="560" ht="15.75" customHeight="1">
      <c r="A560" s="30"/>
      <c r="B560" s="30"/>
      <c r="C560" s="30"/>
      <c r="D560" s="30"/>
      <c r="E560" s="30"/>
      <c r="F560" s="30"/>
    </row>
    <row r="561" ht="15.75" customHeight="1">
      <c r="A561" s="30"/>
      <c r="B561" s="30"/>
      <c r="C561" s="30"/>
      <c r="D561" s="30"/>
      <c r="E561" s="30"/>
      <c r="F561" s="30"/>
    </row>
    <row r="562" ht="15.75" customHeight="1">
      <c r="A562" s="30"/>
      <c r="B562" s="30"/>
      <c r="C562" s="30"/>
      <c r="D562" s="30"/>
      <c r="E562" s="30"/>
      <c r="F562" s="30"/>
    </row>
    <row r="563" ht="15.75" customHeight="1">
      <c r="A563" s="30"/>
      <c r="B563" s="30"/>
      <c r="C563" s="30"/>
      <c r="D563" s="30"/>
      <c r="E563" s="30"/>
      <c r="F563" s="30"/>
    </row>
    <row r="564" ht="15.75" customHeight="1">
      <c r="A564" s="30"/>
      <c r="B564" s="30"/>
      <c r="C564" s="30"/>
      <c r="D564" s="30"/>
      <c r="E564" s="30"/>
      <c r="F564" s="30"/>
    </row>
    <row r="565" ht="15.75" customHeight="1">
      <c r="A565" s="30"/>
      <c r="B565" s="30"/>
      <c r="C565" s="30"/>
      <c r="D565" s="30"/>
      <c r="E565" s="30"/>
      <c r="F565" s="30"/>
    </row>
    <row r="566" ht="15.75" customHeight="1">
      <c r="A566" s="30"/>
      <c r="B566" s="30"/>
      <c r="C566" s="30"/>
      <c r="D566" s="30"/>
      <c r="E566" s="30"/>
      <c r="F566" s="30"/>
    </row>
    <row r="567" ht="15.75" customHeight="1">
      <c r="A567" s="30"/>
      <c r="B567" s="30"/>
      <c r="C567" s="30"/>
      <c r="D567" s="30"/>
      <c r="E567" s="30"/>
      <c r="F567" s="30"/>
    </row>
    <row r="568" ht="15.75" customHeight="1">
      <c r="A568" s="30"/>
      <c r="B568" s="30"/>
      <c r="C568" s="30"/>
      <c r="D568" s="30"/>
      <c r="E568" s="30"/>
      <c r="F568" s="30"/>
    </row>
    <row r="569" ht="15.75" customHeight="1">
      <c r="A569" s="30"/>
      <c r="B569" s="30"/>
      <c r="C569" s="30"/>
      <c r="D569" s="30"/>
      <c r="E569" s="30"/>
      <c r="F569" s="30"/>
    </row>
    <row r="570" ht="15.75" customHeight="1">
      <c r="A570" s="30"/>
      <c r="B570" s="30"/>
      <c r="C570" s="30"/>
      <c r="D570" s="30"/>
      <c r="E570" s="30"/>
      <c r="F570" s="30"/>
    </row>
    <row r="571" ht="15.75" customHeight="1">
      <c r="A571" s="30"/>
      <c r="B571" s="30"/>
      <c r="C571" s="30"/>
      <c r="D571" s="30"/>
      <c r="E571" s="30"/>
      <c r="F571" s="30"/>
    </row>
    <row r="572" ht="15.75" customHeight="1">
      <c r="A572" s="30"/>
      <c r="B572" s="30"/>
      <c r="C572" s="30"/>
      <c r="D572" s="30"/>
      <c r="E572" s="30"/>
      <c r="F572" s="30"/>
    </row>
    <row r="573" ht="15.75" customHeight="1">
      <c r="A573" s="30"/>
      <c r="B573" s="30"/>
      <c r="C573" s="30"/>
      <c r="D573" s="30"/>
      <c r="E573" s="30"/>
      <c r="F573" s="30"/>
    </row>
    <row r="574" ht="15.75" customHeight="1">
      <c r="A574" s="30"/>
      <c r="B574" s="30"/>
      <c r="C574" s="30"/>
      <c r="D574" s="30"/>
      <c r="E574" s="30"/>
      <c r="F574" s="30"/>
    </row>
    <row r="575" ht="15.75" customHeight="1">
      <c r="A575" s="30"/>
      <c r="B575" s="30"/>
      <c r="C575" s="30"/>
      <c r="D575" s="30"/>
      <c r="E575" s="30"/>
      <c r="F575" s="30"/>
    </row>
    <row r="576" ht="15.75" customHeight="1">
      <c r="A576" s="30"/>
      <c r="B576" s="30"/>
      <c r="C576" s="30"/>
      <c r="D576" s="30"/>
      <c r="E576" s="30"/>
      <c r="F576" s="30"/>
    </row>
    <row r="577" ht="15.75" customHeight="1">
      <c r="A577" s="30"/>
      <c r="B577" s="30"/>
      <c r="C577" s="30"/>
      <c r="D577" s="30"/>
      <c r="E577" s="30"/>
      <c r="F577" s="30"/>
    </row>
    <row r="578" ht="15.75" customHeight="1">
      <c r="A578" s="30"/>
      <c r="B578" s="30"/>
      <c r="C578" s="30"/>
      <c r="D578" s="30"/>
      <c r="E578" s="30"/>
      <c r="F578" s="30"/>
    </row>
    <row r="579" ht="15.75" customHeight="1">
      <c r="A579" s="30"/>
      <c r="B579" s="30"/>
      <c r="C579" s="30"/>
      <c r="D579" s="30"/>
      <c r="E579" s="30"/>
      <c r="F579" s="30"/>
    </row>
    <row r="580" ht="15.75" customHeight="1">
      <c r="A580" s="30"/>
      <c r="B580" s="30"/>
      <c r="C580" s="30"/>
      <c r="D580" s="30"/>
      <c r="E580" s="30"/>
      <c r="F580" s="30"/>
    </row>
    <row r="581" ht="15.75" customHeight="1">
      <c r="A581" s="30"/>
      <c r="B581" s="30"/>
      <c r="C581" s="30"/>
      <c r="D581" s="30"/>
      <c r="E581" s="30"/>
      <c r="F581" s="30"/>
    </row>
    <row r="582" ht="15.75" customHeight="1">
      <c r="A582" s="30"/>
      <c r="B582" s="30"/>
      <c r="C582" s="30"/>
      <c r="D582" s="30"/>
      <c r="E582" s="30"/>
      <c r="F582" s="30"/>
    </row>
    <row r="583" ht="15.75" customHeight="1">
      <c r="A583" s="30"/>
      <c r="B583" s="30"/>
      <c r="C583" s="30"/>
      <c r="D583" s="30"/>
      <c r="E583" s="30"/>
      <c r="F583" s="30"/>
    </row>
    <row r="584" ht="15.75" customHeight="1">
      <c r="A584" s="30"/>
      <c r="B584" s="30"/>
      <c r="C584" s="30"/>
      <c r="D584" s="30"/>
      <c r="E584" s="30"/>
      <c r="F584" s="30"/>
    </row>
    <row r="585" ht="15.75" customHeight="1">
      <c r="A585" s="30"/>
      <c r="B585" s="30"/>
      <c r="C585" s="30"/>
      <c r="D585" s="30"/>
      <c r="E585" s="30"/>
      <c r="F585" s="30"/>
    </row>
    <row r="586" ht="15.75" customHeight="1">
      <c r="A586" s="30"/>
      <c r="B586" s="30"/>
      <c r="C586" s="30"/>
      <c r="D586" s="30"/>
      <c r="E586" s="30"/>
      <c r="F586" s="30"/>
    </row>
    <row r="587" ht="15.75" customHeight="1">
      <c r="A587" s="30"/>
      <c r="B587" s="30"/>
      <c r="C587" s="30"/>
      <c r="D587" s="30"/>
      <c r="E587" s="30"/>
      <c r="F587" s="30"/>
    </row>
    <row r="588" ht="15.75" customHeight="1">
      <c r="A588" s="30"/>
      <c r="B588" s="30"/>
      <c r="C588" s="30"/>
      <c r="D588" s="30"/>
      <c r="E588" s="30"/>
      <c r="F588" s="30"/>
    </row>
    <row r="589" ht="15.75" customHeight="1">
      <c r="A589" s="30"/>
      <c r="B589" s="30"/>
      <c r="C589" s="30"/>
      <c r="D589" s="30"/>
      <c r="E589" s="30"/>
      <c r="F589" s="30"/>
    </row>
    <row r="590" ht="15.75" customHeight="1">
      <c r="A590" s="30"/>
      <c r="B590" s="30"/>
      <c r="C590" s="30"/>
      <c r="D590" s="30"/>
      <c r="E590" s="30"/>
      <c r="F590" s="30"/>
    </row>
    <row r="591" ht="15.75" customHeight="1">
      <c r="A591" s="30"/>
      <c r="B591" s="30"/>
      <c r="C591" s="30"/>
      <c r="D591" s="30"/>
      <c r="E591" s="30"/>
      <c r="F591" s="30"/>
    </row>
    <row r="592" ht="15.75" customHeight="1">
      <c r="A592" s="30"/>
      <c r="B592" s="30"/>
      <c r="C592" s="30"/>
      <c r="D592" s="30"/>
      <c r="E592" s="30"/>
      <c r="F592" s="30"/>
    </row>
    <row r="593" ht="15.75" customHeight="1">
      <c r="A593" s="30"/>
      <c r="B593" s="30"/>
      <c r="C593" s="30"/>
      <c r="D593" s="30"/>
      <c r="E593" s="30"/>
      <c r="F593" s="30"/>
    </row>
    <row r="594" ht="15.75" customHeight="1">
      <c r="A594" s="30"/>
      <c r="B594" s="30"/>
      <c r="C594" s="30"/>
      <c r="D594" s="30"/>
      <c r="E594" s="30"/>
      <c r="F594" s="30"/>
    </row>
    <row r="595" ht="15.75" customHeight="1">
      <c r="A595" s="30"/>
      <c r="B595" s="30"/>
      <c r="C595" s="30"/>
      <c r="D595" s="30"/>
      <c r="E595" s="30"/>
      <c r="F595" s="30"/>
    </row>
    <row r="596" ht="15.75" customHeight="1">
      <c r="A596" s="30"/>
      <c r="B596" s="30"/>
      <c r="C596" s="30"/>
      <c r="D596" s="30"/>
      <c r="E596" s="30"/>
      <c r="F596" s="30"/>
    </row>
    <row r="597" ht="15.75" customHeight="1">
      <c r="A597" s="30"/>
      <c r="B597" s="30"/>
      <c r="C597" s="30"/>
      <c r="D597" s="30"/>
      <c r="E597" s="30"/>
      <c r="F597" s="30"/>
    </row>
    <row r="598" ht="15.75" customHeight="1">
      <c r="A598" s="30"/>
      <c r="B598" s="30"/>
      <c r="C598" s="30"/>
      <c r="D598" s="30"/>
      <c r="E598" s="30"/>
      <c r="F598" s="30"/>
    </row>
    <row r="599" ht="15.75" customHeight="1">
      <c r="A599" s="30"/>
      <c r="B599" s="30"/>
      <c r="C599" s="30"/>
      <c r="D599" s="30"/>
      <c r="E599" s="30"/>
      <c r="F599" s="30"/>
    </row>
    <row r="600" ht="15.75" customHeight="1">
      <c r="A600" s="30"/>
      <c r="B600" s="30"/>
      <c r="C600" s="30"/>
      <c r="D600" s="30"/>
      <c r="E600" s="30"/>
      <c r="F600" s="30"/>
    </row>
    <row r="601" ht="15.75" customHeight="1">
      <c r="A601" s="30"/>
      <c r="B601" s="30"/>
      <c r="C601" s="30"/>
      <c r="D601" s="30"/>
      <c r="E601" s="30"/>
      <c r="F601" s="30"/>
    </row>
    <row r="602" ht="15.75" customHeight="1">
      <c r="A602" s="30"/>
      <c r="B602" s="30"/>
      <c r="C602" s="30"/>
      <c r="D602" s="30"/>
      <c r="E602" s="30"/>
      <c r="F602" s="30"/>
    </row>
    <row r="603" ht="15.75" customHeight="1">
      <c r="A603" s="30"/>
      <c r="B603" s="30"/>
      <c r="C603" s="30"/>
      <c r="D603" s="30"/>
      <c r="E603" s="30"/>
      <c r="F603" s="30"/>
    </row>
    <row r="604" ht="15.75" customHeight="1">
      <c r="A604" s="30"/>
      <c r="B604" s="30"/>
      <c r="C604" s="30"/>
      <c r="D604" s="30"/>
      <c r="E604" s="30"/>
      <c r="F604" s="30"/>
    </row>
    <row r="605" ht="15.75" customHeight="1">
      <c r="A605" s="30"/>
      <c r="B605" s="30"/>
      <c r="C605" s="30"/>
      <c r="D605" s="30"/>
      <c r="E605" s="30"/>
      <c r="F605" s="30"/>
    </row>
    <row r="606" ht="15.75" customHeight="1">
      <c r="A606" s="30"/>
      <c r="B606" s="30"/>
      <c r="C606" s="30"/>
      <c r="D606" s="30"/>
      <c r="E606" s="30"/>
      <c r="F606" s="30"/>
    </row>
    <row r="607" ht="15.75" customHeight="1">
      <c r="A607" s="30"/>
      <c r="B607" s="30"/>
      <c r="C607" s="30"/>
      <c r="D607" s="30"/>
      <c r="E607" s="30"/>
      <c r="F607" s="30"/>
    </row>
    <row r="608" ht="15.75" customHeight="1">
      <c r="A608" s="30"/>
      <c r="B608" s="30"/>
      <c r="C608" s="30"/>
      <c r="D608" s="30"/>
      <c r="E608" s="30"/>
      <c r="F608" s="30"/>
    </row>
    <row r="609" ht="15.75" customHeight="1">
      <c r="A609" s="30"/>
      <c r="B609" s="30"/>
      <c r="C609" s="30"/>
      <c r="D609" s="30"/>
      <c r="E609" s="30"/>
      <c r="F609" s="30"/>
    </row>
    <row r="610" ht="15.75" customHeight="1">
      <c r="A610" s="30"/>
      <c r="B610" s="30"/>
      <c r="C610" s="30"/>
      <c r="D610" s="30"/>
      <c r="E610" s="30"/>
      <c r="F610" s="30"/>
    </row>
    <row r="611" ht="15.75" customHeight="1">
      <c r="A611" s="30"/>
      <c r="B611" s="30"/>
      <c r="C611" s="30"/>
      <c r="D611" s="30"/>
      <c r="E611" s="30"/>
      <c r="F611" s="30"/>
    </row>
    <row r="612" ht="15.75" customHeight="1">
      <c r="A612" s="30"/>
      <c r="B612" s="30"/>
      <c r="C612" s="30"/>
      <c r="D612" s="30"/>
      <c r="E612" s="30"/>
      <c r="F612" s="30"/>
    </row>
    <row r="613" ht="15.75" customHeight="1">
      <c r="A613" s="30"/>
      <c r="B613" s="30"/>
      <c r="C613" s="30"/>
      <c r="D613" s="30"/>
      <c r="E613" s="30"/>
      <c r="F613" s="30"/>
    </row>
    <row r="614" ht="15.75" customHeight="1">
      <c r="A614" s="30"/>
      <c r="B614" s="30"/>
      <c r="C614" s="30"/>
      <c r="D614" s="30"/>
      <c r="E614" s="30"/>
      <c r="F614" s="30"/>
    </row>
    <row r="615" ht="15.75" customHeight="1">
      <c r="A615" s="30"/>
      <c r="B615" s="30"/>
      <c r="C615" s="30"/>
      <c r="D615" s="30"/>
      <c r="E615" s="30"/>
      <c r="F615" s="30"/>
    </row>
    <row r="616" ht="15.75" customHeight="1">
      <c r="A616" s="30"/>
      <c r="B616" s="30"/>
      <c r="C616" s="30"/>
      <c r="D616" s="30"/>
      <c r="E616" s="30"/>
      <c r="F616" s="30"/>
    </row>
    <row r="617" ht="15.75" customHeight="1">
      <c r="A617" s="30"/>
      <c r="B617" s="30"/>
      <c r="C617" s="30"/>
      <c r="D617" s="30"/>
      <c r="E617" s="30"/>
      <c r="F617" s="30"/>
    </row>
    <row r="618" ht="15.75" customHeight="1">
      <c r="A618" s="30"/>
      <c r="B618" s="30"/>
      <c r="C618" s="30"/>
      <c r="D618" s="30"/>
      <c r="E618" s="30"/>
      <c r="F618" s="30"/>
    </row>
    <row r="619" ht="15.75" customHeight="1">
      <c r="A619" s="30"/>
      <c r="B619" s="30"/>
      <c r="C619" s="30"/>
      <c r="D619" s="30"/>
      <c r="E619" s="30"/>
      <c r="F619" s="30"/>
    </row>
    <row r="620" ht="15.75" customHeight="1">
      <c r="A620" s="30"/>
      <c r="B620" s="30"/>
      <c r="C620" s="30"/>
      <c r="D620" s="30"/>
      <c r="E620" s="30"/>
      <c r="F620" s="30"/>
    </row>
    <row r="621" ht="15.75" customHeight="1">
      <c r="A621" s="30"/>
      <c r="B621" s="30"/>
      <c r="C621" s="30"/>
      <c r="D621" s="30"/>
      <c r="E621" s="30"/>
      <c r="F621" s="30"/>
    </row>
    <row r="622" ht="15.75" customHeight="1">
      <c r="A622" s="30"/>
      <c r="B622" s="30"/>
      <c r="C622" s="30"/>
      <c r="D622" s="30"/>
      <c r="E622" s="30"/>
      <c r="F622" s="30"/>
    </row>
    <row r="623" ht="15.75" customHeight="1">
      <c r="A623" s="30"/>
      <c r="B623" s="30"/>
      <c r="C623" s="30"/>
      <c r="D623" s="30"/>
      <c r="E623" s="30"/>
      <c r="F623" s="30"/>
    </row>
    <row r="624" ht="15.75" customHeight="1">
      <c r="A624" s="30"/>
      <c r="B624" s="30"/>
      <c r="C624" s="30"/>
      <c r="D624" s="30"/>
      <c r="E624" s="30"/>
      <c r="F624" s="30"/>
    </row>
    <row r="625" ht="15.75" customHeight="1">
      <c r="A625" s="30"/>
      <c r="B625" s="30"/>
      <c r="C625" s="30"/>
      <c r="D625" s="30"/>
      <c r="E625" s="30"/>
      <c r="F625" s="30"/>
    </row>
    <row r="626" ht="15.75" customHeight="1">
      <c r="A626" s="30"/>
      <c r="B626" s="30"/>
      <c r="C626" s="30"/>
      <c r="D626" s="30"/>
      <c r="E626" s="30"/>
      <c r="F626" s="30"/>
    </row>
    <row r="627" ht="15.75" customHeight="1">
      <c r="A627" s="30"/>
      <c r="B627" s="30"/>
      <c r="C627" s="30"/>
      <c r="D627" s="30"/>
      <c r="E627" s="30"/>
      <c r="F627" s="30"/>
    </row>
    <row r="628" ht="15.75" customHeight="1">
      <c r="A628" s="30"/>
      <c r="B628" s="30"/>
      <c r="C628" s="30"/>
      <c r="D628" s="30"/>
      <c r="E628" s="30"/>
      <c r="F628" s="30"/>
    </row>
    <row r="629" ht="15.75" customHeight="1">
      <c r="A629" s="30"/>
      <c r="B629" s="30"/>
      <c r="C629" s="30"/>
      <c r="D629" s="30"/>
      <c r="E629" s="30"/>
      <c r="F629" s="30"/>
    </row>
    <row r="630" ht="15.75" customHeight="1">
      <c r="A630" s="30"/>
      <c r="B630" s="30"/>
      <c r="C630" s="30"/>
      <c r="D630" s="30"/>
      <c r="E630" s="30"/>
      <c r="F630" s="30"/>
    </row>
    <row r="631" ht="15.75" customHeight="1">
      <c r="A631" s="30"/>
      <c r="B631" s="30"/>
      <c r="C631" s="30"/>
      <c r="D631" s="30"/>
      <c r="E631" s="30"/>
      <c r="F631" s="30"/>
    </row>
    <row r="632" ht="15.75" customHeight="1">
      <c r="A632" s="30"/>
      <c r="B632" s="30"/>
      <c r="C632" s="30"/>
      <c r="D632" s="30"/>
      <c r="E632" s="30"/>
      <c r="F632" s="30"/>
    </row>
    <row r="633" ht="15.75" customHeight="1">
      <c r="A633" s="30"/>
      <c r="B633" s="30"/>
      <c r="C633" s="30"/>
      <c r="D633" s="30"/>
      <c r="E633" s="30"/>
      <c r="F633" s="30"/>
    </row>
    <row r="634" ht="15.75" customHeight="1">
      <c r="A634" s="30"/>
      <c r="B634" s="30"/>
      <c r="C634" s="30"/>
      <c r="D634" s="30"/>
      <c r="E634" s="30"/>
      <c r="F634" s="30"/>
    </row>
    <row r="635" ht="15.75" customHeight="1">
      <c r="A635" s="30"/>
      <c r="B635" s="30"/>
      <c r="C635" s="30"/>
      <c r="D635" s="30"/>
      <c r="E635" s="30"/>
      <c r="F635" s="30"/>
    </row>
    <row r="636" ht="15.75" customHeight="1">
      <c r="A636" s="30"/>
      <c r="B636" s="30"/>
      <c r="C636" s="30"/>
      <c r="D636" s="30"/>
      <c r="E636" s="30"/>
      <c r="F636" s="30"/>
    </row>
    <row r="637" ht="15.75" customHeight="1">
      <c r="A637" s="30"/>
      <c r="B637" s="30"/>
      <c r="C637" s="30"/>
      <c r="D637" s="30"/>
      <c r="E637" s="30"/>
      <c r="F637" s="30"/>
    </row>
    <row r="638" ht="15.75" customHeight="1">
      <c r="A638" s="30"/>
      <c r="B638" s="30"/>
      <c r="C638" s="30"/>
      <c r="D638" s="30"/>
      <c r="E638" s="30"/>
      <c r="F638" s="30"/>
    </row>
    <row r="639" ht="15.75" customHeight="1">
      <c r="A639" s="30"/>
      <c r="B639" s="30"/>
      <c r="C639" s="30"/>
      <c r="D639" s="30"/>
      <c r="E639" s="30"/>
      <c r="F639" s="30"/>
    </row>
    <row r="640" ht="15.75" customHeight="1">
      <c r="A640" s="30"/>
      <c r="B640" s="30"/>
      <c r="C640" s="30"/>
      <c r="D640" s="30"/>
      <c r="E640" s="30"/>
      <c r="F640" s="30"/>
    </row>
    <row r="641" ht="15.75" customHeight="1">
      <c r="A641" s="30"/>
      <c r="B641" s="30"/>
      <c r="C641" s="30"/>
      <c r="D641" s="30"/>
      <c r="E641" s="30"/>
      <c r="F641" s="30"/>
    </row>
    <row r="642" ht="15.75" customHeight="1">
      <c r="A642" s="30"/>
      <c r="B642" s="30"/>
      <c r="C642" s="30"/>
      <c r="D642" s="30"/>
      <c r="E642" s="30"/>
      <c r="F642" s="30"/>
    </row>
    <row r="643" ht="15.75" customHeight="1">
      <c r="A643" s="30"/>
      <c r="B643" s="30"/>
      <c r="C643" s="30"/>
      <c r="D643" s="30"/>
      <c r="E643" s="30"/>
      <c r="F643" s="30"/>
    </row>
    <row r="644" ht="15.75" customHeight="1">
      <c r="A644" s="30"/>
      <c r="B644" s="30"/>
      <c r="C644" s="30"/>
      <c r="D644" s="30"/>
      <c r="E644" s="30"/>
      <c r="F644" s="30"/>
    </row>
    <row r="645" ht="15.75" customHeight="1">
      <c r="A645" s="30"/>
      <c r="B645" s="30"/>
      <c r="C645" s="30"/>
      <c r="D645" s="30"/>
      <c r="E645" s="30"/>
      <c r="F645" s="30"/>
    </row>
    <row r="646" ht="15.75" customHeight="1">
      <c r="A646" s="30"/>
      <c r="B646" s="30"/>
      <c r="C646" s="30"/>
      <c r="D646" s="30"/>
      <c r="E646" s="30"/>
      <c r="F646" s="30"/>
    </row>
    <row r="647" ht="15.75" customHeight="1">
      <c r="A647" s="30"/>
      <c r="B647" s="30"/>
      <c r="C647" s="30"/>
      <c r="D647" s="30"/>
      <c r="E647" s="30"/>
      <c r="F647" s="30"/>
    </row>
    <row r="648" ht="15.75" customHeight="1">
      <c r="A648" s="30"/>
      <c r="B648" s="30"/>
      <c r="C648" s="30"/>
      <c r="D648" s="30"/>
      <c r="E648" s="30"/>
      <c r="F648" s="30"/>
    </row>
    <row r="649" ht="15.75" customHeight="1">
      <c r="A649" s="30"/>
      <c r="B649" s="30"/>
      <c r="C649" s="30"/>
      <c r="D649" s="30"/>
      <c r="E649" s="30"/>
      <c r="F649" s="30"/>
    </row>
    <row r="650" ht="15.75" customHeight="1">
      <c r="A650" s="30"/>
      <c r="B650" s="30"/>
      <c r="C650" s="30"/>
      <c r="D650" s="30"/>
      <c r="E650" s="30"/>
      <c r="F650" s="30"/>
    </row>
    <row r="651" ht="15.75" customHeight="1">
      <c r="A651" s="30"/>
      <c r="B651" s="30"/>
      <c r="C651" s="30"/>
      <c r="D651" s="30"/>
      <c r="E651" s="30"/>
      <c r="F651" s="30"/>
    </row>
    <row r="652" ht="15.75" customHeight="1">
      <c r="A652" s="30"/>
      <c r="B652" s="30"/>
      <c r="C652" s="30"/>
      <c r="D652" s="30"/>
      <c r="E652" s="30"/>
      <c r="F652" s="30"/>
    </row>
    <row r="653" ht="15.75" customHeight="1">
      <c r="A653" s="30"/>
      <c r="B653" s="30"/>
      <c r="C653" s="30"/>
      <c r="D653" s="30"/>
      <c r="E653" s="30"/>
      <c r="F653" s="30"/>
    </row>
    <row r="654" ht="15.75" customHeight="1">
      <c r="A654" s="30"/>
      <c r="B654" s="30"/>
      <c r="C654" s="30"/>
      <c r="D654" s="30"/>
      <c r="E654" s="30"/>
      <c r="F654" s="30"/>
    </row>
    <row r="655" ht="15.75" customHeight="1">
      <c r="A655" s="30"/>
      <c r="B655" s="30"/>
      <c r="C655" s="30"/>
      <c r="D655" s="30"/>
      <c r="E655" s="30"/>
      <c r="F655" s="30"/>
    </row>
    <row r="656" ht="15.75" customHeight="1">
      <c r="A656" s="30"/>
      <c r="B656" s="30"/>
      <c r="C656" s="30"/>
      <c r="D656" s="30"/>
      <c r="E656" s="30"/>
      <c r="F656" s="30"/>
    </row>
    <row r="657" ht="15.75" customHeight="1">
      <c r="A657" s="30"/>
      <c r="B657" s="30"/>
      <c r="C657" s="30"/>
      <c r="D657" s="30"/>
      <c r="E657" s="30"/>
      <c r="F657" s="30"/>
    </row>
    <row r="658" ht="15.75" customHeight="1">
      <c r="A658" s="30"/>
      <c r="B658" s="30"/>
      <c r="C658" s="30"/>
      <c r="D658" s="30"/>
      <c r="E658" s="30"/>
      <c r="F658" s="30"/>
    </row>
    <row r="659" ht="15.75" customHeight="1">
      <c r="A659" s="30"/>
      <c r="B659" s="30"/>
      <c r="C659" s="30"/>
      <c r="D659" s="30"/>
      <c r="E659" s="30"/>
      <c r="F659" s="30"/>
    </row>
    <row r="660" ht="15.75" customHeight="1">
      <c r="A660" s="30"/>
      <c r="B660" s="30"/>
      <c r="C660" s="30"/>
      <c r="D660" s="30"/>
      <c r="E660" s="30"/>
      <c r="F660" s="30"/>
    </row>
    <row r="661" ht="15.75" customHeight="1">
      <c r="A661" s="30"/>
      <c r="B661" s="30"/>
      <c r="C661" s="30"/>
      <c r="D661" s="30"/>
      <c r="E661" s="30"/>
      <c r="F661" s="30"/>
    </row>
    <row r="662" ht="15.75" customHeight="1">
      <c r="A662" s="30"/>
      <c r="B662" s="30"/>
      <c r="C662" s="30"/>
      <c r="D662" s="30"/>
      <c r="E662" s="30"/>
      <c r="F662" s="30"/>
    </row>
    <row r="663" ht="15.75" customHeight="1">
      <c r="A663" s="30"/>
      <c r="B663" s="30"/>
      <c r="C663" s="30"/>
      <c r="D663" s="30"/>
      <c r="E663" s="30"/>
      <c r="F663" s="30"/>
    </row>
    <row r="664" ht="15.75" customHeight="1">
      <c r="A664" s="30"/>
      <c r="B664" s="30"/>
      <c r="C664" s="30"/>
      <c r="D664" s="30"/>
      <c r="E664" s="30"/>
      <c r="F664" s="30"/>
    </row>
    <row r="665" ht="15.75" customHeight="1">
      <c r="A665" s="30"/>
      <c r="B665" s="30"/>
      <c r="C665" s="30"/>
      <c r="D665" s="30"/>
      <c r="E665" s="30"/>
      <c r="F665" s="30"/>
    </row>
    <row r="666" ht="15.75" customHeight="1">
      <c r="A666" s="30"/>
      <c r="B666" s="30"/>
      <c r="C666" s="30"/>
      <c r="D666" s="30"/>
      <c r="E666" s="30"/>
      <c r="F666" s="30"/>
    </row>
    <row r="667" ht="15.75" customHeight="1">
      <c r="A667" s="30"/>
      <c r="B667" s="30"/>
      <c r="C667" s="30"/>
      <c r="D667" s="30"/>
      <c r="E667" s="30"/>
      <c r="F667" s="30"/>
    </row>
    <row r="668" ht="15.75" customHeight="1">
      <c r="A668" s="30"/>
      <c r="B668" s="30"/>
      <c r="C668" s="30"/>
      <c r="D668" s="30"/>
      <c r="E668" s="30"/>
      <c r="F668" s="30"/>
    </row>
    <row r="669" ht="15.75" customHeight="1">
      <c r="A669" s="30"/>
      <c r="B669" s="30"/>
      <c r="C669" s="30"/>
      <c r="D669" s="30"/>
      <c r="E669" s="30"/>
      <c r="F669" s="30"/>
    </row>
    <row r="670" ht="15.75" customHeight="1">
      <c r="A670" s="30"/>
      <c r="B670" s="30"/>
      <c r="C670" s="30"/>
      <c r="D670" s="30"/>
      <c r="E670" s="30"/>
      <c r="F670" s="30"/>
    </row>
    <row r="671" ht="15.75" customHeight="1">
      <c r="A671" s="30"/>
      <c r="B671" s="30"/>
      <c r="C671" s="30"/>
      <c r="D671" s="30"/>
      <c r="E671" s="30"/>
      <c r="F671" s="30"/>
    </row>
    <row r="672" ht="15.75" customHeight="1">
      <c r="A672" s="30"/>
      <c r="B672" s="30"/>
      <c r="C672" s="30"/>
      <c r="D672" s="30"/>
      <c r="E672" s="30"/>
      <c r="F672" s="30"/>
    </row>
    <row r="673" ht="15.75" customHeight="1">
      <c r="A673" s="30"/>
      <c r="B673" s="30"/>
      <c r="C673" s="30"/>
      <c r="D673" s="30"/>
      <c r="E673" s="30"/>
      <c r="F673" s="30"/>
    </row>
    <row r="674" ht="15.75" customHeight="1">
      <c r="A674" s="30"/>
      <c r="B674" s="30"/>
      <c r="C674" s="30"/>
      <c r="D674" s="30"/>
      <c r="E674" s="30"/>
      <c r="F674" s="30"/>
    </row>
    <row r="675" ht="15.75" customHeight="1">
      <c r="A675" s="30"/>
      <c r="B675" s="30"/>
      <c r="C675" s="30"/>
      <c r="D675" s="30"/>
      <c r="E675" s="30"/>
      <c r="F675" s="30"/>
    </row>
    <row r="676" ht="15.75" customHeight="1">
      <c r="A676" s="30"/>
      <c r="B676" s="30"/>
      <c r="C676" s="30"/>
      <c r="D676" s="30"/>
      <c r="E676" s="30"/>
      <c r="F676" s="30"/>
    </row>
    <row r="677" ht="15.75" customHeight="1">
      <c r="A677" s="30"/>
      <c r="B677" s="30"/>
      <c r="C677" s="30"/>
      <c r="D677" s="30"/>
      <c r="E677" s="30"/>
      <c r="F677" s="30"/>
    </row>
    <row r="678" ht="15.75" customHeight="1">
      <c r="A678" s="30"/>
      <c r="B678" s="30"/>
      <c r="C678" s="30"/>
      <c r="D678" s="30"/>
      <c r="E678" s="30"/>
      <c r="F678" s="30"/>
    </row>
    <row r="679" ht="15.75" customHeight="1">
      <c r="A679" s="30"/>
      <c r="B679" s="30"/>
      <c r="C679" s="30"/>
      <c r="D679" s="30"/>
      <c r="E679" s="30"/>
      <c r="F679" s="30"/>
    </row>
    <row r="680" ht="15.75" customHeight="1">
      <c r="A680" s="30"/>
      <c r="B680" s="30"/>
      <c r="C680" s="30"/>
      <c r="D680" s="30"/>
      <c r="E680" s="30"/>
      <c r="F680" s="30"/>
    </row>
    <row r="681" ht="15.75" customHeight="1">
      <c r="A681" s="30"/>
      <c r="B681" s="30"/>
      <c r="C681" s="30"/>
      <c r="D681" s="30"/>
      <c r="E681" s="30"/>
      <c r="F681" s="30"/>
    </row>
    <row r="682" ht="15.75" customHeight="1">
      <c r="A682" s="30"/>
      <c r="B682" s="30"/>
      <c r="C682" s="30"/>
      <c r="D682" s="30"/>
      <c r="E682" s="30"/>
      <c r="F682" s="30"/>
    </row>
    <row r="683" ht="15.75" customHeight="1">
      <c r="A683" s="30"/>
      <c r="B683" s="30"/>
      <c r="C683" s="30"/>
      <c r="D683" s="30"/>
      <c r="E683" s="30"/>
      <c r="F683" s="30"/>
    </row>
    <row r="684" ht="15.75" customHeight="1">
      <c r="A684" s="30"/>
      <c r="B684" s="30"/>
      <c r="C684" s="30"/>
      <c r="D684" s="30"/>
      <c r="E684" s="30"/>
      <c r="F684" s="30"/>
    </row>
    <row r="685" ht="15.75" customHeight="1">
      <c r="A685" s="30"/>
      <c r="B685" s="30"/>
      <c r="C685" s="30"/>
      <c r="D685" s="30"/>
      <c r="E685" s="30"/>
      <c r="F685" s="30"/>
    </row>
    <row r="686" ht="15.75" customHeight="1">
      <c r="A686" s="30"/>
      <c r="B686" s="30"/>
      <c r="C686" s="30"/>
      <c r="D686" s="30"/>
      <c r="E686" s="30"/>
      <c r="F686" s="30"/>
    </row>
    <row r="687" ht="15.75" customHeight="1">
      <c r="A687" s="30"/>
      <c r="B687" s="30"/>
      <c r="C687" s="30"/>
      <c r="D687" s="30"/>
      <c r="E687" s="30"/>
      <c r="F687" s="30"/>
    </row>
    <row r="688" ht="15.75" customHeight="1">
      <c r="A688" s="30"/>
      <c r="B688" s="30"/>
      <c r="C688" s="30"/>
      <c r="D688" s="30"/>
      <c r="E688" s="30"/>
      <c r="F688" s="30"/>
    </row>
    <row r="689" ht="15.75" customHeight="1">
      <c r="A689" s="30"/>
      <c r="B689" s="30"/>
      <c r="C689" s="30"/>
      <c r="D689" s="30"/>
      <c r="E689" s="30"/>
      <c r="F689" s="30"/>
    </row>
    <row r="690" ht="15.75" customHeight="1">
      <c r="A690" s="30"/>
      <c r="B690" s="30"/>
      <c r="C690" s="30"/>
      <c r="D690" s="30"/>
      <c r="E690" s="30"/>
      <c r="F690" s="30"/>
    </row>
    <row r="691" ht="15.75" customHeight="1">
      <c r="A691" s="30"/>
      <c r="B691" s="30"/>
      <c r="C691" s="30"/>
      <c r="D691" s="30"/>
      <c r="E691" s="30"/>
      <c r="F691" s="30"/>
    </row>
    <row r="692" ht="15.75" customHeight="1">
      <c r="A692" s="30"/>
      <c r="B692" s="30"/>
      <c r="C692" s="30"/>
      <c r="D692" s="30"/>
      <c r="E692" s="30"/>
      <c r="F692" s="30"/>
    </row>
    <row r="693" ht="15.75" customHeight="1">
      <c r="A693" s="30"/>
      <c r="B693" s="30"/>
      <c r="C693" s="30"/>
      <c r="D693" s="30"/>
      <c r="E693" s="30"/>
      <c r="F693" s="30"/>
    </row>
    <row r="694" ht="15.75" customHeight="1">
      <c r="A694" s="30"/>
      <c r="B694" s="30"/>
      <c r="C694" s="30"/>
      <c r="D694" s="30"/>
      <c r="E694" s="30"/>
      <c r="F694" s="30"/>
    </row>
    <row r="695" ht="15.75" customHeight="1">
      <c r="A695" s="30"/>
      <c r="B695" s="30"/>
      <c r="C695" s="30"/>
      <c r="D695" s="30"/>
      <c r="E695" s="30"/>
      <c r="F695" s="30"/>
    </row>
    <row r="696" ht="15.75" customHeight="1">
      <c r="A696" s="30"/>
      <c r="B696" s="30"/>
      <c r="C696" s="30"/>
      <c r="D696" s="30"/>
      <c r="E696" s="30"/>
      <c r="F696" s="30"/>
    </row>
    <row r="697" ht="15.75" customHeight="1">
      <c r="A697" s="30"/>
      <c r="B697" s="30"/>
      <c r="C697" s="30"/>
      <c r="D697" s="30"/>
      <c r="E697" s="30"/>
      <c r="F697" s="30"/>
    </row>
    <row r="698" ht="15.75" customHeight="1">
      <c r="A698" s="30"/>
      <c r="B698" s="30"/>
      <c r="C698" s="30"/>
      <c r="D698" s="30"/>
      <c r="E698" s="30"/>
      <c r="F698" s="30"/>
    </row>
    <row r="699" ht="15.75" customHeight="1">
      <c r="A699" s="30"/>
      <c r="B699" s="30"/>
      <c r="C699" s="30"/>
      <c r="D699" s="30"/>
      <c r="E699" s="30"/>
      <c r="F699" s="30"/>
    </row>
    <row r="700" ht="15.75" customHeight="1">
      <c r="A700" s="30"/>
      <c r="B700" s="30"/>
      <c r="C700" s="30"/>
      <c r="D700" s="30"/>
      <c r="E700" s="30"/>
      <c r="F700" s="30"/>
    </row>
    <row r="701" ht="15.75" customHeight="1">
      <c r="A701" s="30"/>
      <c r="B701" s="30"/>
      <c r="C701" s="30"/>
      <c r="D701" s="30"/>
      <c r="E701" s="30"/>
      <c r="F701" s="30"/>
    </row>
    <row r="702" ht="15.75" customHeight="1">
      <c r="A702" s="30"/>
      <c r="B702" s="30"/>
      <c r="C702" s="30"/>
      <c r="D702" s="30"/>
      <c r="E702" s="30"/>
      <c r="F702" s="30"/>
    </row>
    <row r="703" ht="15.75" customHeight="1">
      <c r="A703" s="30"/>
      <c r="B703" s="30"/>
      <c r="C703" s="30"/>
      <c r="D703" s="30"/>
      <c r="E703" s="30"/>
      <c r="F703" s="30"/>
    </row>
    <row r="704" ht="15.75" customHeight="1">
      <c r="A704" s="30"/>
      <c r="B704" s="30"/>
      <c r="C704" s="30"/>
      <c r="D704" s="30"/>
      <c r="E704" s="30"/>
      <c r="F704" s="30"/>
    </row>
    <row r="705" ht="15.75" customHeight="1">
      <c r="A705" s="30"/>
      <c r="B705" s="30"/>
      <c r="C705" s="30"/>
      <c r="D705" s="30"/>
      <c r="E705" s="30"/>
      <c r="F705" s="30"/>
    </row>
    <row r="706" ht="15.75" customHeight="1">
      <c r="A706" s="30"/>
      <c r="B706" s="30"/>
      <c r="C706" s="30"/>
      <c r="D706" s="30"/>
      <c r="E706" s="30"/>
      <c r="F706" s="30"/>
    </row>
    <row r="707" ht="15.75" customHeight="1">
      <c r="A707" s="30"/>
      <c r="B707" s="30"/>
      <c r="C707" s="30"/>
      <c r="D707" s="30"/>
      <c r="E707" s="30"/>
      <c r="F707" s="30"/>
    </row>
    <row r="708" ht="15.75" customHeight="1">
      <c r="A708" s="30"/>
      <c r="B708" s="30"/>
      <c r="C708" s="30"/>
      <c r="D708" s="30"/>
      <c r="E708" s="30"/>
      <c r="F708" s="30"/>
    </row>
    <row r="709" ht="15.75" customHeight="1">
      <c r="A709" s="30"/>
      <c r="B709" s="30"/>
      <c r="C709" s="30"/>
      <c r="D709" s="30"/>
      <c r="E709" s="30"/>
      <c r="F709" s="30"/>
    </row>
    <row r="710" ht="15.75" customHeight="1">
      <c r="A710" s="30"/>
      <c r="B710" s="30"/>
      <c r="C710" s="30"/>
      <c r="D710" s="30"/>
      <c r="E710" s="30"/>
      <c r="F710" s="30"/>
    </row>
    <row r="711" ht="15.75" customHeight="1">
      <c r="A711" s="30"/>
      <c r="B711" s="30"/>
      <c r="C711" s="30"/>
      <c r="D711" s="30"/>
      <c r="E711" s="30"/>
      <c r="F711" s="30"/>
    </row>
    <row r="712" ht="15.75" customHeight="1">
      <c r="A712" s="30"/>
      <c r="B712" s="30"/>
      <c r="C712" s="30"/>
      <c r="D712" s="30"/>
      <c r="E712" s="30"/>
      <c r="F712" s="30"/>
    </row>
    <row r="713" ht="15.75" customHeight="1">
      <c r="A713" s="30"/>
      <c r="B713" s="30"/>
      <c r="C713" s="30"/>
      <c r="D713" s="30"/>
      <c r="E713" s="30"/>
      <c r="F713" s="30"/>
    </row>
    <row r="714" ht="15.75" customHeight="1">
      <c r="A714" s="30"/>
      <c r="B714" s="30"/>
      <c r="C714" s="30"/>
      <c r="D714" s="30"/>
      <c r="E714" s="30"/>
      <c r="F714" s="30"/>
    </row>
    <row r="715" ht="15.75" customHeight="1">
      <c r="A715" s="30"/>
      <c r="B715" s="30"/>
      <c r="C715" s="30"/>
      <c r="D715" s="30"/>
      <c r="E715" s="30"/>
      <c r="F715" s="30"/>
    </row>
    <row r="716" ht="15.75" customHeight="1">
      <c r="A716" s="30"/>
      <c r="B716" s="30"/>
      <c r="C716" s="30"/>
      <c r="D716" s="30"/>
      <c r="E716" s="30"/>
      <c r="F716" s="30"/>
    </row>
    <row r="717" ht="15.75" customHeight="1">
      <c r="A717" s="30"/>
      <c r="B717" s="30"/>
      <c r="C717" s="30"/>
      <c r="D717" s="30"/>
      <c r="E717" s="30"/>
      <c r="F717" s="30"/>
    </row>
    <row r="718" ht="15.75" customHeight="1">
      <c r="A718" s="30"/>
      <c r="B718" s="30"/>
      <c r="C718" s="30"/>
      <c r="D718" s="30"/>
      <c r="E718" s="30"/>
      <c r="F718" s="30"/>
    </row>
    <row r="719" ht="15.75" customHeight="1">
      <c r="A719" s="30"/>
      <c r="B719" s="30"/>
      <c r="C719" s="30"/>
      <c r="D719" s="30"/>
      <c r="E719" s="30"/>
      <c r="F719" s="30"/>
    </row>
    <row r="720" ht="15.75" customHeight="1">
      <c r="A720" s="30"/>
      <c r="B720" s="30"/>
      <c r="C720" s="30"/>
      <c r="D720" s="30"/>
      <c r="E720" s="30"/>
      <c r="F720" s="30"/>
    </row>
    <row r="721" ht="15.75" customHeight="1">
      <c r="A721" s="30"/>
      <c r="B721" s="30"/>
      <c r="C721" s="30"/>
      <c r="D721" s="30"/>
      <c r="E721" s="30"/>
      <c r="F721" s="30"/>
    </row>
    <row r="722" ht="15.75" customHeight="1">
      <c r="A722" s="30"/>
      <c r="B722" s="30"/>
      <c r="C722" s="30"/>
      <c r="D722" s="30"/>
      <c r="E722" s="30"/>
      <c r="F722" s="30"/>
    </row>
    <row r="723" ht="15.75" customHeight="1">
      <c r="A723" s="30"/>
      <c r="B723" s="30"/>
      <c r="C723" s="30"/>
      <c r="D723" s="30"/>
      <c r="E723" s="30"/>
      <c r="F723" s="30"/>
    </row>
    <row r="724" ht="15.75" customHeight="1">
      <c r="A724" s="30"/>
      <c r="B724" s="30"/>
      <c r="C724" s="30"/>
      <c r="D724" s="30"/>
      <c r="E724" s="30"/>
      <c r="F724" s="30"/>
    </row>
    <row r="725" ht="15.75" customHeight="1">
      <c r="A725" s="30"/>
      <c r="B725" s="30"/>
      <c r="C725" s="30"/>
      <c r="D725" s="30"/>
      <c r="E725" s="30"/>
      <c r="F725" s="30"/>
    </row>
    <row r="726" ht="15.75" customHeight="1">
      <c r="A726" s="30"/>
      <c r="B726" s="30"/>
      <c r="C726" s="30"/>
      <c r="D726" s="30"/>
      <c r="E726" s="30"/>
      <c r="F726" s="30"/>
    </row>
    <row r="727" ht="15.75" customHeight="1">
      <c r="A727" s="30"/>
      <c r="B727" s="30"/>
      <c r="C727" s="30"/>
      <c r="D727" s="30"/>
      <c r="E727" s="30"/>
      <c r="F727" s="30"/>
    </row>
    <row r="728" ht="15.75" customHeight="1">
      <c r="A728" s="30"/>
      <c r="B728" s="30"/>
      <c r="C728" s="30"/>
      <c r="D728" s="30"/>
      <c r="E728" s="30"/>
      <c r="F728" s="30"/>
    </row>
    <row r="729" ht="15.75" customHeight="1">
      <c r="A729" s="30"/>
      <c r="B729" s="30"/>
      <c r="C729" s="30"/>
      <c r="D729" s="30"/>
      <c r="E729" s="30"/>
      <c r="F729" s="30"/>
    </row>
    <row r="730" ht="15.75" customHeight="1">
      <c r="A730" s="30"/>
      <c r="B730" s="30"/>
      <c r="C730" s="30"/>
      <c r="D730" s="30"/>
      <c r="E730" s="30"/>
      <c r="F730" s="30"/>
    </row>
    <row r="731" ht="15.75" customHeight="1">
      <c r="A731" s="30"/>
      <c r="B731" s="30"/>
      <c r="C731" s="30"/>
      <c r="D731" s="30"/>
      <c r="E731" s="30"/>
      <c r="F731" s="30"/>
    </row>
    <row r="732" ht="15.75" customHeight="1">
      <c r="A732" s="30"/>
      <c r="B732" s="30"/>
      <c r="C732" s="30"/>
      <c r="D732" s="30"/>
      <c r="E732" s="30"/>
      <c r="F732" s="30"/>
    </row>
    <row r="733" ht="15.75" customHeight="1">
      <c r="A733" s="30"/>
      <c r="B733" s="30"/>
      <c r="C733" s="30"/>
      <c r="D733" s="30"/>
      <c r="E733" s="30"/>
      <c r="F733" s="30"/>
    </row>
    <row r="734" ht="15.75" customHeight="1">
      <c r="A734" s="30"/>
      <c r="B734" s="30"/>
      <c r="C734" s="30"/>
      <c r="D734" s="30"/>
      <c r="E734" s="30"/>
      <c r="F734" s="30"/>
    </row>
    <row r="735" ht="15.75" customHeight="1">
      <c r="A735" s="30"/>
      <c r="B735" s="30"/>
      <c r="C735" s="30"/>
      <c r="D735" s="30"/>
      <c r="E735" s="30"/>
      <c r="F735" s="30"/>
    </row>
    <row r="736" ht="15.75" customHeight="1">
      <c r="A736" s="30"/>
      <c r="B736" s="30"/>
      <c r="C736" s="30"/>
      <c r="D736" s="30"/>
      <c r="E736" s="30"/>
      <c r="F736" s="30"/>
    </row>
    <row r="737" ht="15.75" customHeight="1">
      <c r="A737" s="30"/>
      <c r="B737" s="30"/>
      <c r="C737" s="30"/>
      <c r="D737" s="30"/>
      <c r="E737" s="30"/>
      <c r="F737" s="30"/>
    </row>
    <row r="738" ht="15.75" customHeight="1">
      <c r="A738" s="30"/>
      <c r="B738" s="30"/>
      <c r="C738" s="30"/>
      <c r="D738" s="30"/>
      <c r="E738" s="30"/>
      <c r="F738" s="30"/>
    </row>
    <row r="739" ht="15.75" customHeight="1">
      <c r="A739" s="30"/>
      <c r="B739" s="30"/>
      <c r="C739" s="30"/>
      <c r="D739" s="30"/>
      <c r="E739" s="30"/>
      <c r="F739" s="30"/>
    </row>
    <row r="740" ht="15.75" customHeight="1">
      <c r="A740" s="30"/>
      <c r="B740" s="30"/>
      <c r="C740" s="30"/>
      <c r="D740" s="30"/>
      <c r="E740" s="30"/>
      <c r="F740" s="30"/>
    </row>
    <row r="741" ht="15.75" customHeight="1">
      <c r="A741" s="30"/>
      <c r="B741" s="30"/>
      <c r="C741" s="30"/>
      <c r="D741" s="30"/>
      <c r="E741" s="30"/>
      <c r="F741" s="30"/>
    </row>
    <row r="742" ht="15.75" customHeight="1">
      <c r="A742" s="30"/>
      <c r="B742" s="30"/>
      <c r="C742" s="30"/>
      <c r="D742" s="30"/>
      <c r="E742" s="30"/>
      <c r="F742" s="30"/>
    </row>
    <row r="743" ht="15.75" customHeight="1">
      <c r="A743" s="30"/>
      <c r="B743" s="30"/>
      <c r="C743" s="30"/>
      <c r="D743" s="30"/>
      <c r="E743" s="30"/>
      <c r="F743" s="30"/>
    </row>
    <row r="744" ht="15.75" customHeight="1">
      <c r="A744" s="30"/>
      <c r="B744" s="30"/>
      <c r="C744" s="30"/>
      <c r="D744" s="30"/>
      <c r="E744" s="30"/>
      <c r="F744" s="30"/>
    </row>
    <row r="745" ht="15.75" customHeight="1">
      <c r="A745" s="30"/>
      <c r="B745" s="30"/>
      <c r="C745" s="30"/>
      <c r="D745" s="30"/>
      <c r="E745" s="30"/>
      <c r="F745" s="30"/>
    </row>
    <row r="746" ht="15.75" customHeight="1">
      <c r="A746" s="30"/>
      <c r="B746" s="30"/>
      <c r="C746" s="30"/>
      <c r="D746" s="30"/>
      <c r="E746" s="30"/>
      <c r="F746" s="30"/>
    </row>
    <row r="747" ht="15.75" customHeight="1">
      <c r="A747" s="30"/>
      <c r="B747" s="30"/>
      <c r="C747" s="30"/>
      <c r="D747" s="30"/>
      <c r="E747" s="30"/>
      <c r="F747" s="30"/>
    </row>
    <row r="748" ht="15.75" customHeight="1">
      <c r="A748" s="30"/>
      <c r="B748" s="30"/>
      <c r="C748" s="30"/>
      <c r="D748" s="30"/>
      <c r="E748" s="30"/>
      <c r="F748" s="30"/>
    </row>
    <row r="749" ht="15.75" customHeight="1">
      <c r="A749" s="30"/>
      <c r="B749" s="30"/>
      <c r="C749" s="30"/>
      <c r="D749" s="30"/>
      <c r="E749" s="30"/>
      <c r="F749" s="30"/>
    </row>
    <row r="750" ht="15.75" customHeight="1">
      <c r="A750" s="30"/>
      <c r="B750" s="30"/>
      <c r="C750" s="30"/>
      <c r="D750" s="30"/>
      <c r="E750" s="30"/>
      <c r="F750" s="30"/>
    </row>
    <row r="751" ht="15.75" customHeight="1">
      <c r="A751" s="30"/>
      <c r="B751" s="30"/>
      <c r="C751" s="30"/>
      <c r="D751" s="30"/>
      <c r="E751" s="30"/>
      <c r="F751" s="30"/>
    </row>
    <row r="752" ht="15.75" customHeight="1">
      <c r="A752" s="30"/>
      <c r="B752" s="30"/>
      <c r="C752" s="30"/>
      <c r="D752" s="30"/>
      <c r="E752" s="30"/>
      <c r="F752" s="30"/>
    </row>
    <row r="753" ht="15.75" customHeight="1">
      <c r="A753" s="30"/>
      <c r="B753" s="30"/>
      <c r="C753" s="30"/>
      <c r="D753" s="30"/>
      <c r="E753" s="30"/>
      <c r="F753" s="30"/>
    </row>
    <row r="754" ht="15.75" customHeight="1">
      <c r="A754" s="30"/>
      <c r="B754" s="30"/>
      <c r="C754" s="30"/>
      <c r="D754" s="30"/>
      <c r="E754" s="30"/>
      <c r="F754" s="30"/>
    </row>
    <row r="755" ht="15.75" customHeight="1">
      <c r="A755" s="30"/>
      <c r="B755" s="30"/>
      <c r="C755" s="30"/>
      <c r="D755" s="30"/>
      <c r="E755" s="30"/>
      <c r="F755" s="30"/>
    </row>
    <row r="756" ht="15.75" customHeight="1">
      <c r="A756" s="30"/>
      <c r="B756" s="30"/>
      <c r="C756" s="30"/>
      <c r="D756" s="30"/>
      <c r="E756" s="30"/>
      <c r="F756" s="30"/>
    </row>
    <row r="757" ht="15.75" customHeight="1">
      <c r="A757" s="30"/>
      <c r="B757" s="30"/>
      <c r="C757" s="30"/>
      <c r="D757" s="30"/>
      <c r="E757" s="30"/>
      <c r="F757" s="30"/>
    </row>
    <row r="758" ht="15.75" customHeight="1">
      <c r="A758" s="30"/>
      <c r="B758" s="30"/>
      <c r="C758" s="30"/>
      <c r="D758" s="30"/>
      <c r="E758" s="30"/>
      <c r="F758" s="30"/>
    </row>
    <row r="759" ht="15.75" customHeight="1">
      <c r="A759" s="30"/>
      <c r="B759" s="30"/>
      <c r="C759" s="30"/>
      <c r="D759" s="30"/>
      <c r="E759" s="30"/>
      <c r="F759" s="30"/>
    </row>
    <row r="760" ht="15.75" customHeight="1">
      <c r="A760" s="30"/>
      <c r="B760" s="30"/>
      <c r="C760" s="30"/>
      <c r="D760" s="30"/>
      <c r="E760" s="30"/>
      <c r="F760" s="30"/>
    </row>
    <row r="761" ht="15.75" customHeight="1">
      <c r="A761" s="30"/>
      <c r="B761" s="30"/>
      <c r="C761" s="30"/>
      <c r="D761" s="30"/>
      <c r="E761" s="30"/>
      <c r="F761" s="30"/>
    </row>
    <row r="762" ht="15.75" customHeight="1">
      <c r="A762" s="30"/>
      <c r="B762" s="30"/>
      <c r="C762" s="30"/>
      <c r="D762" s="30"/>
      <c r="E762" s="30"/>
      <c r="F762" s="30"/>
    </row>
    <row r="763" ht="15.75" customHeight="1">
      <c r="A763" s="30"/>
      <c r="B763" s="30"/>
      <c r="C763" s="30"/>
      <c r="D763" s="30"/>
      <c r="E763" s="30"/>
      <c r="F763" s="30"/>
    </row>
    <row r="764" ht="15.75" customHeight="1">
      <c r="A764" s="30"/>
      <c r="B764" s="30"/>
      <c r="C764" s="30"/>
      <c r="D764" s="30"/>
      <c r="E764" s="30"/>
      <c r="F764" s="30"/>
    </row>
    <row r="765" ht="15.75" customHeight="1">
      <c r="A765" s="30"/>
      <c r="B765" s="30"/>
      <c r="C765" s="30"/>
      <c r="D765" s="30"/>
      <c r="E765" s="30"/>
      <c r="F765" s="30"/>
    </row>
    <row r="766" ht="15.75" customHeight="1">
      <c r="A766" s="30"/>
      <c r="B766" s="30"/>
      <c r="C766" s="30"/>
      <c r="D766" s="30"/>
      <c r="E766" s="30"/>
      <c r="F766" s="30"/>
    </row>
    <row r="767" ht="15.75" customHeight="1">
      <c r="A767" s="30"/>
      <c r="B767" s="30"/>
      <c r="C767" s="30"/>
      <c r="D767" s="30"/>
      <c r="E767" s="30"/>
      <c r="F767" s="30"/>
    </row>
    <row r="768" ht="15.75" customHeight="1">
      <c r="A768" s="30"/>
      <c r="B768" s="30"/>
      <c r="C768" s="30"/>
      <c r="D768" s="30"/>
      <c r="E768" s="30"/>
      <c r="F768" s="30"/>
    </row>
    <row r="769" ht="15.75" customHeight="1">
      <c r="A769" s="30"/>
      <c r="B769" s="30"/>
      <c r="C769" s="30"/>
      <c r="D769" s="30"/>
      <c r="E769" s="30"/>
      <c r="F769" s="30"/>
    </row>
    <row r="770" ht="15.75" customHeight="1">
      <c r="A770" s="30"/>
      <c r="B770" s="30"/>
      <c r="C770" s="30"/>
      <c r="D770" s="30"/>
      <c r="E770" s="30"/>
      <c r="F770" s="30"/>
    </row>
    <row r="771" ht="15.75" customHeight="1">
      <c r="A771" s="30"/>
      <c r="B771" s="30"/>
      <c r="C771" s="30"/>
      <c r="D771" s="30"/>
      <c r="E771" s="30"/>
      <c r="F771" s="30"/>
    </row>
    <row r="772" ht="15.75" customHeight="1">
      <c r="A772" s="30"/>
      <c r="B772" s="30"/>
      <c r="C772" s="30"/>
      <c r="D772" s="30"/>
      <c r="E772" s="30"/>
      <c r="F772" s="30"/>
    </row>
    <row r="773" ht="15.75" customHeight="1">
      <c r="A773" s="30"/>
      <c r="B773" s="30"/>
      <c r="C773" s="30"/>
      <c r="D773" s="30"/>
      <c r="E773" s="30"/>
      <c r="F773" s="30"/>
    </row>
    <row r="774" ht="15.75" customHeight="1">
      <c r="A774" s="30"/>
      <c r="B774" s="30"/>
      <c r="C774" s="30"/>
      <c r="D774" s="30"/>
      <c r="E774" s="30"/>
      <c r="F774" s="30"/>
    </row>
    <row r="775" ht="15.75" customHeight="1">
      <c r="A775" s="30"/>
      <c r="B775" s="30"/>
      <c r="C775" s="30"/>
      <c r="D775" s="30"/>
      <c r="E775" s="30"/>
      <c r="F775" s="30"/>
    </row>
    <row r="776" ht="15.75" customHeight="1">
      <c r="A776" s="30"/>
      <c r="B776" s="30"/>
      <c r="C776" s="30"/>
      <c r="D776" s="30"/>
      <c r="E776" s="30"/>
      <c r="F776" s="30"/>
    </row>
    <row r="777" ht="15.75" customHeight="1">
      <c r="A777" s="30"/>
      <c r="B777" s="30"/>
      <c r="C777" s="30"/>
      <c r="D777" s="30"/>
      <c r="E777" s="30"/>
      <c r="F777" s="30"/>
    </row>
    <row r="778" ht="15.75" customHeight="1">
      <c r="A778" s="30"/>
      <c r="B778" s="30"/>
      <c r="C778" s="30"/>
      <c r="D778" s="30"/>
      <c r="E778" s="30"/>
      <c r="F778" s="30"/>
    </row>
    <row r="779" ht="15.75" customHeight="1">
      <c r="A779" s="30"/>
      <c r="B779" s="30"/>
      <c r="C779" s="30"/>
      <c r="D779" s="30"/>
      <c r="E779" s="30"/>
      <c r="F779" s="30"/>
    </row>
    <row r="780" ht="15.75" customHeight="1">
      <c r="A780" s="30"/>
      <c r="B780" s="30"/>
      <c r="C780" s="30"/>
      <c r="D780" s="30"/>
      <c r="E780" s="30"/>
      <c r="F780" s="30"/>
    </row>
    <row r="781" ht="15.75" customHeight="1">
      <c r="A781" s="30"/>
      <c r="B781" s="30"/>
      <c r="C781" s="30"/>
      <c r="D781" s="30"/>
      <c r="E781" s="30"/>
      <c r="F781" s="30"/>
    </row>
    <row r="782" ht="15.75" customHeight="1">
      <c r="A782" s="30"/>
      <c r="B782" s="30"/>
      <c r="C782" s="30"/>
      <c r="D782" s="30"/>
      <c r="E782" s="30"/>
      <c r="F782" s="30"/>
    </row>
    <row r="783" ht="15.75" customHeight="1">
      <c r="A783" s="30"/>
      <c r="B783" s="30"/>
      <c r="C783" s="30"/>
      <c r="D783" s="30"/>
      <c r="E783" s="30"/>
      <c r="F783" s="30"/>
    </row>
    <row r="784" ht="15.75" customHeight="1">
      <c r="A784" s="30"/>
      <c r="B784" s="30"/>
      <c r="C784" s="30"/>
      <c r="D784" s="30"/>
      <c r="E784" s="30"/>
      <c r="F784" s="30"/>
    </row>
    <row r="785" ht="15.75" customHeight="1">
      <c r="A785" s="30"/>
      <c r="B785" s="30"/>
      <c r="C785" s="30"/>
      <c r="D785" s="30"/>
      <c r="E785" s="30"/>
      <c r="F785" s="30"/>
    </row>
    <row r="786" ht="15.75" customHeight="1">
      <c r="A786" s="30"/>
      <c r="B786" s="30"/>
      <c r="C786" s="30"/>
      <c r="D786" s="30"/>
      <c r="E786" s="30"/>
      <c r="F786" s="30"/>
    </row>
    <row r="787" ht="15.75" customHeight="1">
      <c r="A787" s="30"/>
      <c r="B787" s="30"/>
      <c r="C787" s="30"/>
      <c r="D787" s="30"/>
      <c r="E787" s="30"/>
      <c r="F787" s="30"/>
    </row>
    <row r="788" ht="15.75" customHeight="1">
      <c r="A788" s="30"/>
      <c r="B788" s="30"/>
      <c r="C788" s="30"/>
      <c r="D788" s="30"/>
      <c r="E788" s="30"/>
      <c r="F788" s="30"/>
    </row>
    <row r="789" ht="15.75" customHeight="1">
      <c r="A789" s="30"/>
      <c r="B789" s="30"/>
      <c r="C789" s="30"/>
      <c r="D789" s="30"/>
      <c r="E789" s="30"/>
      <c r="F789" s="30"/>
    </row>
    <row r="790" ht="15.75" customHeight="1">
      <c r="A790" s="30"/>
      <c r="B790" s="30"/>
      <c r="C790" s="30"/>
      <c r="D790" s="30"/>
      <c r="E790" s="30"/>
      <c r="F790" s="30"/>
    </row>
    <row r="791" ht="15.75" customHeight="1">
      <c r="A791" s="30"/>
      <c r="B791" s="30"/>
      <c r="C791" s="30"/>
      <c r="D791" s="30"/>
      <c r="E791" s="30"/>
      <c r="F791" s="30"/>
    </row>
    <row r="792" ht="15.75" customHeight="1">
      <c r="A792" s="30"/>
      <c r="B792" s="30"/>
      <c r="C792" s="30"/>
      <c r="D792" s="30"/>
      <c r="E792" s="30"/>
      <c r="F792" s="30"/>
    </row>
    <row r="793" ht="15.75" customHeight="1">
      <c r="A793" s="30"/>
      <c r="B793" s="30"/>
      <c r="C793" s="30"/>
      <c r="D793" s="30"/>
      <c r="E793" s="30"/>
      <c r="F793" s="30"/>
    </row>
    <row r="794" ht="15.75" customHeight="1">
      <c r="A794" s="30"/>
      <c r="B794" s="30"/>
      <c r="C794" s="30"/>
      <c r="D794" s="30"/>
      <c r="E794" s="30"/>
      <c r="F794" s="30"/>
    </row>
    <row r="795" ht="15.75" customHeight="1">
      <c r="A795" s="30"/>
      <c r="B795" s="30"/>
      <c r="C795" s="30"/>
      <c r="D795" s="30"/>
      <c r="E795" s="30"/>
      <c r="F795" s="30"/>
    </row>
    <row r="796" ht="15.75" customHeight="1">
      <c r="A796" s="30"/>
      <c r="B796" s="30"/>
      <c r="C796" s="30"/>
      <c r="D796" s="30"/>
      <c r="E796" s="30"/>
      <c r="F796" s="30"/>
    </row>
    <row r="797" ht="15.75" customHeight="1">
      <c r="A797" s="30"/>
      <c r="B797" s="30"/>
      <c r="C797" s="30"/>
      <c r="D797" s="30"/>
      <c r="E797" s="30"/>
      <c r="F797" s="30"/>
    </row>
    <row r="798" ht="15.75" customHeight="1">
      <c r="A798" s="30"/>
      <c r="B798" s="30"/>
      <c r="C798" s="30"/>
      <c r="D798" s="30"/>
      <c r="E798" s="30"/>
      <c r="F798" s="30"/>
    </row>
    <row r="799" ht="15.75" customHeight="1">
      <c r="A799" s="30"/>
      <c r="B799" s="30"/>
      <c r="C799" s="30"/>
      <c r="D799" s="30"/>
      <c r="E799" s="30"/>
      <c r="F799" s="30"/>
    </row>
    <row r="800" ht="15.75" customHeight="1">
      <c r="A800" s="30"/>
      <c r="B800" s="30"/>
      <c r="C800" s="30"/>
      <c r="D800" s="30"/>
      <c r="E800" s="30"/>
      <c r="F800" s="30"/>
    </row>
    <row r="801" ht="15.75" customHeight="1">
      <c r="A801" s="30"/>
      <c r="B801" s="30"/>
      <c r="C801" s="30"/>
      <c r="D801" s="30"/>
      <c r="E801" s="30"/>
      <c r="F801" s="30"/>
    </row>
    <row r="802" ht="15.75" customHeight="1">
      <c r="A802" s="30"/>
      <c r="B802" s="30"/>
      <c r="C802" s="30"/>
      <c r="D802" s="30"/>
      <c r="E802" s="30"/>
      <c r="F802" s="30"/>
    </row>
    <row r="803" ht="15.75" customHeight="1">
      <c r="A803" s="30"/>
      <c r="B803" s="30"/>
      <c r="C803" s="30"/>
      <c r="D803" s="30"/>
      <c r="E803" s="30"/>
      <c r="F803" s="30"/>
    </row>
    <row r="804" ht="15.75" customHeight="1">
      <c r="A804" s="30"/>
      <c r="B804" s="30"/>
      <c r="C804" s="30"/>
      <c r="D804" s="30"/>
      <c r="E804" s="30"/>
      <c r="F804" s="30"/>
    </row>
    <row r="805" ht="15.75" customHeight="1">
      <c r="A805" s="30"/>
      <c r="B805" s="30"/>
      <c r="C805" s="30"/>
      <c r="D805" s="30"/>
      <c r="E805" s="30"/>
      <c r="F805" s="30"/>
    </row>
    <row r="806" ht="15.75" customHeight="1">
      <c r="A806" s="30"/>
      <c r="B806" s="30"/>
      <c r="C806" s="30"/>
      <c r="D806" s="30"/>
      <c r="E806" s="30"/>
      <c r="F806" s="30"/>
    </row>
    <row r="807" ht="15.75" customHeight="1">
      <c r="A807" s="30"/>
      <c r="B807" s="30"/>
      <c r="C807" s="30"/>
      <c r="D807" s="30"/>
      <c r="E807" s="30"/>
      <c r="F807" s="30"/>
    </row>
    <row r="808" ht="15.75" customHeight="1">
      <c r="A808" s="30"/>
      <c r="B808" s="30"/>
      <c r="C808" s="30"/>
      <c r="D808" s="30"/>
      <c r="E808" s="30"/>
      <c r="F808" s="30"/>
    </row>
    <row r="809" ht="15.75" customHeight="1">
      <c r="A809" s="30"/>
      <c r="B809" s="30"/>
      <c r="C809" s="30"/>
      <c r="D809" s="30"/>
      <c r="E809" s="30"/>
      <c r="F809" s="30"/>
    </row>
    <row r="810" ht="15.75" customHeight="1">
      <c r="A810" s="30"/>
      <c r="B810" s="30"/>
      <c r="C810" s="30"/>
      <c r="D810" s="30"/>
      <c r="E810" s="30"/>
      <c r="F810" s="30"/>
    </row>
    <row r="811" ht="15.75" customHeight="1">
      <c r="A811" s="30"/>
      <c r="B811" s="30"/>
      <c r="C811" s="30"/>
      <c r="D811" s="30"/>
      <c r="E811" s="30"/>
      <c r="F811" s="30"/>
    </row>
    <row r="812" ht="15.75" customHeight="1">
      <c r="A812" s="30"/>
      <c r="B812" s="30"/>
      <c r="C812" s="30"/>
      <c r="D812" s="30"/>
      <c r="E812" s="30"/>
      <c r="F812" s="30"/>
    </row>
    <row r="813" ht="15.75" customHeight="1">
      <c r="A813" s="30"/>
      <c r="B813" s="30"/>
      <c r="C813" s="30"/>
      <c r="D813" s="30"/>
      <c r="E813" s="30"/>
      <c r="F813" s="30"/>
    </row>
    <row r="814" ht="15.75" customHeight="1">
      <c r="A814" s="30"/>
      <c r="B814" s="30"/>
      <c r="C814" s="30"/>
      <c r="D814" s="30"/>
      <c r="E814" s="30"/>
      <c r="F814" s="30"/>
    </row>
    <row r="815" ht="15.75" customHeight="1">
      <c r="A815" s="30"/>
      <c r="B815" s="30"/>
      <c r="C815" s="30"/>
      <c r="D815" s="30"/>
      <c r="E815" s="30"/>
      <c r="F815" s="30"/>
    </row>
    <row r="816" ht="15.75" customHeight="1">
      <c r="A816" s="30"/>
      <c r="B816" s="30"/>
      <c r="C816" s="30"/>
      <c r="D816" s="30"/>
      <c r="E816" s="30"/>
      <c r="F816" s="30"/>
    </row>
    <row r="817" ht="15.75" customHeight="1">
      <c r="A817" s="30"/>
      <c r="B817" s="30"/>
      <c r="C817" s="30"/>
      <c r="D817" s="30"/>
      <c r="E817" s="30"/>
      <c r="F817" s="30"/>
    </row>
    <row r="818" ht="15.75" customHeight="1">
      <c r="A818" s="30"/>
      <c r="B818" s="30"/>
      <c r="C818" s="30"/>
      <c r="D818" s="30"/>
      <c r="E818" s="30"/>
      <c r="F818" s="30"/>
    </row>
    <row r="819" ht="15.75" customHeight="1">
      <c r="A819" s="30"/>
      <c r="B819" s="30"/>
      <c r="C819" s="30"/>
      <c r="D819" s="30"/>
      <c r="E819" s="30"/>
      <c r="F819" s="30"/>
    </row>
    <row r="820" ht="15.75" customHeight="1">
      <c r="A820" s="30"/>
      <c r="B820" s="30"/>
      <c r="C820" s="30"/>
      <c r="D820" s="30"/>
      <c r="E820" s="30"/>
      <c r="F820" s="30"/>
    </row>
    <row r="821" ht="15.75" customHeight="1">
      <c r="A821" s="30"/>
      <c r="B821" s="30"/>
      <c r="C821" s="30"/>
      <c r="D821" s="30"/>
      <c r="E821" s="30"/>
      <c r="F821" s="30"/>
    </row>
    <row r="822" ht="15.75" customHeight="1">
      <c r="A822" s="30"/>
      <c r="B822" s="30"/>
      <c r="C822" s="30"/>
      <c r="D822" s="30"/>
      <c r="E822" s="30"/>
      <c r="F822" s="30"/>
    </row>
    <row r="823" ht="15.75" customHeight="1">
      <c r="A823" s="30"/>
      <c r="B823" s="30"/>
      <c r="C823" s="30"/>
      <c r="D823" s="30"/>
      <c r="E823" s="30"/>
      <c r="F823" s="30"/>
    </row>
    <row r="824" ht="15.75" customHeight="1">
      <c r="A824" s="30"/>
      <c r="B824" s="30"/>
      <c r="C824" s="30"/>
      <c r="D824" s="30"/>
      <c r="E824" s="30"/>
      <c r="F824" s="30"/>
    </row>
    <row r="825" ht="15.75" customHeight="1">
      <c r="A825" s="30"/>
      <c r="B825" s="30"/>
      <c r="C825" s="30"/>
      <c r="D825" s="30"/>
      <c r="E825" s="30"/>
      <c r="F825" s="30"/>
    </row>
    <row r="826" ht="15.75" customHeight="1">
      <c r="A826" s="30"/>
      <c r="B826" s="30"/>
      <c r="C826" s="30"/>
      <c r="D826" s="30"/>
      <c r="E826" s="30"/>
      <c r="F826" s="30"/>
    </row>
    <row r="827" ht="15.75" customHeight="1">
      <c r="A827" s="30"/>
      <c r="B827" s="30"/>
      <c r="C827" s="30"/>
      <c r="D827" s="30"/>
      <c r="E827" s="30"/>
      <c r="F827" s="30"/>
    </row>
    <row r="828" ht="15.75" customHeight="1">
      <c r="A828" s="30"/>
      <c r="B828" s="30"/>
      <c r="C828" s="30"/>
      <c r="D828" s="30"/>
      <c r="E828" s="30"/>
      <c r="F828" s="30"/>
    </row>
    <row r="829" ht="15.75" customHeight="1">
      <c r="A829" s="30"/>
      <c r="B829" s="30"/>
      <c r="C829" s="30"/>
      <c r="D829" s="30"/>
      <c r="E829" s="30"/>
      <c r="F829" s="30"/>
    </row>
    <row r="830" ht="15.75" customHeight="1">
      <c r="A830" s="30"/>
      <c r="B830" s="30"/>
      <c r="C830" s="30"/>
      <c r="D830" s="30"/>
      <c r="E830" s="30"/>
      <c r="F830" s="30"/>
    </row>
    <row r="831" ht="15.75" customHeight="1">
      <c r="A831" s="30"/>
      <c r="B831" s="30"/>
      <c r="C831" s="30"/>
      <c r="D831" s="30"/>
      <c r="E831" s="30"/>
      <c r="F831" s="30"/>
    </row>
    <row r="832" ht="15.75" customHeight="1">
      <c r="A832" s="30"/>
      <c r="B832" s="30"/>
      <c r="C832" s="30"/>
      <c r="D832" s="30"/>
      <c r="E832" s="30"/>
      <c r="F832" s="30"/>
    </row>
    <row r="833" ht="15.75" customHeight="1">
      <c r="A833" s="30"/>
      <c r="B833" s="30"/>
      <c r="C833" s="30"/>
      <c r="D833" s="30"/>
      <c r="E833" s="30"/>
      <c r="F833" s="30"/>
    </row>
    <row r="834" ht="15.75" customHeight="1">
      <c r="A834" s="30"/>
      <c r="B834" s="30"/>
      <c r="C834" s="30"/>
      <c r="D834" s="30"/>
      <c r="E834" s="30"/>
      <c r="F834" s="30"/>
    </row>
    <row r="835" ht="15.75" customHeight="1">
      <c r="A835" s="30"/>
      <c r="B835" s="30"/>
      <c r="C835" s="30"/>
      <c r="D835" s="30"/>
      <c r="E835" s="30"/>
      <c r="F835" s="30"/>
    </row>
    <row r="836" ht="15.75" customHeight="1">
      <c r="A836" s="30"/>
      <c r="B836" s="30"/>
      <c r="C836" s="30"/>
      <c r="D836" s="30"/>
      <c r="E836" s="30"/>
      <c r="F836" s="30"/>
    </row>
    <row r="837" ht="15.75" customHeight="1">
      <c r="A837" s="30"/>
      <c r="B837" s="30"/>
      <c r="C837" s="30"/>
      <c r="D837" s="30"/>
      <c r="E837" s="30"/>
      <c r="F837" s="30"/>
    </row>
    <row r="838" ht="15.75" customHeight="1">
      <c r="A838" s="30"/>
      <c r="B838" s="30"/>
      <c r="C838" s="30"/>
      <c r="D838" s="30"/>
      <c r="E838" s="30"/>
      <c r="F838" s="30"/>
    </row>
    <row r="839" ht="15.75" customHeight="1">
      <c r="A839" s="30"/>
      <c r="B839" s="30"/>
      <c r="C839" s="30"/>
      <c r="D839" s="30"/>
      <c r="E839" s="30"/>
      <c r="F839" s="30"/>
    </row>
    <row r="840" ht="15.75" customHeight="1">
      <c r="A840" s="30"/>
      <c r="B840" s="30"/>
      <c r="C840" s="30"/>
      <c r="D840" s="30"/>
      <c r="E840" s="30"/>
      <c r="F840" s="30"/>
    </row>
    <row r="841" ht="15.75" customHeight="1">
      <c r="A841" s="30"/>
      <c r="B841" s="30"/>
      <c r="C841" s="30"/>
      <c r="D841" s="30"/>
      <c r="E841" s="30"/>
      <c r="F841" s="30"/>
    </row>
    <row r="842" ht="15.75" customHeight="1">
      <c r="A842" s="30"/>
      <c r="B842" s="30"/>
      <c r="C842" s="30"/>
      <c r="D842" s="30"/>
      <c r="E842" s="30"/>
      <c r="F842" s="30"/>
    </row>
    <row r="843" ht="15.75" customHeight="1">
      <c r="A843" s="30"/>
      <c r="B843" s="30"/>
      <c r="C843" s="30"/>
      <c r="D843" s="30"/>
      <c r="E843" s="30"/>
      <c r="F843" s="30"/>
    </row>
    <row r="844" ht="15.75" customHeight="1">
      <c r="A844" s="30"/>
      <c r="B844" s="30"/>
      <c r="C844" s="30"/>
      <c r="D844" s="30"/>
      <c r="E844" s="30"/>
      <c r="F844" s="30"/>
    </row>
    <row r="845" ht="15.75" customHeight="1">
      <c r="A845" s="30"/>
      <c r="B845" s="30"/>
      <c r="C845" s="30"/>
      <c r="D845" s="30"/>
      <c r="E845" s="30"/>
      <c r="F845" s="30"/>
    </row>
    <row r="846" ht="15.75" customHeight="1">
      <c r="A846" s="30"/>
      <c r="B846" s="30"/>
      <c r="C846" s="30"/>
      <c r="D846" s="30"/>
      <c r="E846" s="30"/>
      <c r="F846" s="30"/>
    </row>
    <row r="847" ht="15.75" customHeight="1">
      <c r="A847" s="30"/>
      <c r="B847" s="30"/>
      <c r="C847" s="30"/>
      <c r="D847" s="30"/>
      <c r="E847" s="30"/>
      <c r="F847" s="30"/>
    </row>
    <row r="848" ht="15.75" customHeight="1">
      <c r="A848" s="30"/>
      <c r="B848" s="30"/>
      <c r="C848" s="30"/>
      <c r="D848" s="30"/>
      <c r="E848" s="30"/>
      <c r="F848" s="30"/>
    </row>
    <row r="849" ht="15.75" customHeight="1">
      <c r="A849" s="30"/>
      <c r="B849" s="30"/>
      <c r="C849" s="30"/>
      <c r="D849" s="30"/>
      <c r="E849" s="30"/>
      <c r="F849" s="30"/>
    </row>
    <row r="850" ht="15.75" customHeight="1">
      <c r="A850" s="30"/>
      <c r="B850" s="30"/>
      <c r="C850" s="30"/>
      <c r="D850" s="30"/>
      <c r="E850" s="30"/>
      <c r="F850" s="30"/>
    </row>
    <row r="851" ht="15.75" customHeight="1">
      <c r="A851" s="30"/>
      <c r="B851" s="30"/>
      <c r="C851" s="30"/>
      <c r="D851" s="30"/>
      <c r="E851" s="30"/>
      <c r="F851" s="30"/>
    </row>
    <row r="852" ht="15.75" customHeight="1">
      <c r="A852" s="30"/>
      <c r="B852" s="30"/>
      <c r="C852" s="30"/>
      <c r="D852" s="30"/>
      <c r="E852" s="30"/>
      <c r="F852" s="30"/>
    </row>
    <row r="853" ht="15.75" customHeight="1">
      <c r="A853" s="30"/>
      <c r="B853" s="30"/>
      <c r="C853" s="30"/>
      <c r="D853" s="30"/>
      <c r="E853" s="30"/>
      <c r="F853" s="30"/>
    </row>
    <row r="854" ht="15.75" customHeight="1">
      <c r="A854" s="30"/>
      <c r="B854" s="30"/>
      <c r="C854" s="30"/>
      <c r="D854" s="30"/>
      <c r="E854" s="30"/>
      <c r="F854" s="30"/>
    </row>
    <row r="855" ht="15.75" customHeight="1">
      <c r="A855" s="30"/>
      <c r="B855" s="30"/>
      <c r="C855" s="30"/>
      <c r="D855" s="30"/>
      <c r="E855" s="30"/>
      <c r="F855" s="30"/>
    </row>
    <row r="856" ht="15.75" customHeight="1">
      <c r="A856" s="30"/>
      <c r="B856" s="30"/>
      <c r="C856" s="30"/>
      <c r="D856" s="30"/>
      <c r="E856" s="30"/>
      <c r="F856" s="30"/>
    </row>
    <row r="857" ht="15.75" customHeight="1">
      <c r="A857" s="30"/>
      <c r="B857" s="30"/>
      <c r="C857" s="30"/>
      <c r="D857" s="30"/>
      <c r="E857" s="30"/>
      <c r="F857" s="30"/>
    </row>
    <row r="858" ht="15.75" customHeight="1">
      <c r="A858" s="30"/>
      <c r="B858" s="30"/>
      <c r="C858" s="30"/>
      <c r="D858" s="30"/>
      <c r="E858" s="30"/>
      <c r="F858" s="30"/>
    </row>
    <row r="859" ht="15.75" customHeight="1">
      <c r="A859" s="30"/>
      <c r="B859" s="30"/>
      <c r="C859" s="30"/>
      <c r="D859" s="30"/>
      <c r="E859" s="30"/>
      <c r="F859" s="30"/>
    </row>
    <row r="860" ht="15.75" customHeight="1">
      <c r="A860" s="30"/>
      <c r="B860" s="30"/>
      <c r="C860" s="30"/>
      <c r="D860" s="30"/>
      <c r="E860" s="30"/>
      <c r="F860" s="30"/>
    </row>
    <row r="861" ht="15.75" customHeight="1">
      <c r="A861" s="30"/>
      <c r="B861" s="30"/>
      <c r="C861" s="30"/>
      <c r="D861" s="30"/>
      <c r="E861" s="30"/>
      <c r="F861" s="30"/>
    </row>
    <row r="862" ht="15.75" customHeight="1">
      <c r="A862" s="30"/>
      <c r="B862" s="30"/>
      <c r="C862" s="30"/>
      <c r="D862" s="30"/>
      <c r="E862" s="30"/>
      <c r="F862" s="30"/>
    </row>
    <row r="863" ht="15.75" customHeight="1">
      <c r="A863" s="30"/>
      <c r="B863" s="30"/>
      <c r="C863" s="30"/>
      <c r="D863" s="30"/>
      <c r="E863" s="30"/>
      <c r="F863" s="30"/>
    </row>
    <row r="864" ht="15.75" customHeight="1">
      <c r="A864" s="30"/>
      <c r="B864" s="30"/>
      <c r="C864" s="30"/>
      <c r="D864" s="30"/>
      <c r="E864" s="30"/>
      <c r="F864" s="30"/>
    </row>
    <row r="865" ht="15.75" customHeight="1">
      <c r="A865" s="30"/>
      <c r="B865" s="30"/>
      <c r="C865" s="30"/>
      <c r="D865" s="30"/>
      <c r="E865" s="30"/>
      <c r="F865" s="30"/>
    </row>
    <row r="866" ht="15.75" customHeight="1">
      <c r="A866" s="30"/>
      <c r="B866" s="30"/>
      <c r="C866" s="30"/>
      <c r="D866" s="30"/>
      <c r="E866" s="30"/>
      <c r="F866" s="30"/>
    </row>
    <row r="867" ht="15.75" customHeight="1">
      <c r="A867" s="30"/>
      <c r="B867" s="30"/>
      <c r="C867" s="30"/>
      <c r="D867" s="30"/>
      <c r="E867" s="30"/>
      <c r="F867" s="30"/>
    </row>
    <row r="868" ht="15.75" customHeight="1">
      <c r="A868" s="30"/>
      <c r="B868" s="30"/>
      <c r="C868" s="30"/>
      <c r="D868" s="30"/>
      <c r="E868" s="30"/>
      <c r="F868" s="30"/>
    </row>
    <row r="869" ht="15.75" customHeight="1">
      <c r="A869" s="30"/>
      <c r="B869" s="30"/>
      <c r="C869" s="30"/>
      <c r="D869" s="30"/>
      <c r="E869" s="30"/>
      <c r="F869" s="30"/>
    </row>
    <row r="870" ht="15.75" customHeight="1">
      <c r="A870" s="30"/>
      <c r="B870" s="30"/>
      <c r="C870" s="30"/>
      <c r="D870" s="30"/>
      <c r="E870" s="30"/>
      <c r="F870" s="30"/>
    </row>
    <row r="871" ht="15.75" customHeight="1">
      <c r="A871" s="30"/>
      <c r="B871" s="30"/>
      <c r="C871" s="30"/>
      <c r="D871" s="30"/>
      <c r="E871" s="30"/>
      <c r="F871" s="30"/>
    </row>
    <row r="872" ht="15.75" customHeight="1">
      <c r="A872" s="30"/>
      <c r="B872" s="30"/>
      <c r="C872" s="30"/>
      <c r="D872" s="30"/>
      <c r="E872" s="30"/>
      <c r="F872" s="30"/>
    </row>
    <row r="873" ht="15.75" customHeight="1">
      <c r="A873" s="30"/>
      <c r="B873" s="30"/>
      <c r="C873" s="30"/>
      <c r="D873" s="30"/>
      <c r="E873" s="30"/>
      <c r="F873" s="30"/>
    </row>
    <row r="874" ht="15.75" customHeight="1">
      <c r="A874" s="30"/>
      <c r="B874" s="30"/>
      <c r="C874" s="30"/>
      <c r="D874" s="30"/>
      <c r="E874" s="30"/>
      <c r="F874" s="30"/>
    </row>
    <row r="875" ht="15.75" customHeight="1">
      <c r="A875" s="30"/>
      <c r="B875" s="30"/>
      <c r="C875" s="30"/>
      <c r="D875" s="30"/>
      <c r="E875" s="30"/>
      <c r="F875" s="30"/>
    </row>
    <row r="876" ht="15.75" customHeight="1">
      <c r="A876" s="30"/>
      <c r="B876" s="30"/>
      <c r="C876" s="30"/>
      <c r="D876" s="30"/>
      <c r="E876" s="30"/>
      <c r="F876" s="30"/>
    </row>
    <row r="877" ht="15.75" customHeight="1">
      <c r="A877" s="30"/>
      <c r="B877" s="30"/>
      <c r="C877" s="30"/>
      <c r="D877" s="30"/>
      <c r="E877" s="30"/>
      <c r="F877" s="30"/>
    </row>
    <row r="878" ht="15.75" customHeight="1">
      <c r="A878" s="30"/>
      <c r="B878" s="30"/>
      <c r="C878" s="30"/>
      <c r="D878" s="30"/>
      <c r="E878" s="30"/>
      <c r="F878" s="30"/>
    </row>
    <row r="879" ht="15.75" customHeight="1">
      <c r="A879" s="30"/>
      <c r="B879" s="30"/>
      <c r="C879" s="30"/>
      <c r="D879" s="30"/>
      <c r="E879" s="30"/>
      <c r="F879" s="30"/>
    </row>
    <row r="880" ht="15.75" customHeight="1">
      <c r="A880" s="30"/>
      <c r="B880" s="30"/>
      <c r="C880" s="30"/>
      <c r="D880" s="30"/>
      <c r="E880" s="30"/>
      <c r="F880" s="30"/>
    </row>
    <row r="881" ht="15.75" customHeight="1">
      <c r="A881" s="30"/>
      <c r="B881" s="30"/>
      <c r="C881" s="30"/>
      <c r="D881" s="30"/>
      <c r="E881" s="30"/>
      <c r="F881" s="30"/>
    </row>
    <row r="882" ht="15.75" customHeight="1">
      <c r="A882" s="30"/>
      <c r="B882" s="30"/>
      <c r="C882" s="30"/>
      <c r="D882" s="30"/>
      <c r="E882" s="30"/>
      <c r="F882" s="30"/>
    </row>
    <row r="883" ht="15.75" customHeight="1">
      <c r="A883" s="30"/>
      <c r="B883" s="30"/>
      <c r="C883" s="30"/>
      <c r="D883" s="30"/>
      <c r="E883" s="30"/>
      <c r="F883" s="30"/>
    </row>
    <row r="884" ht="15.75" customHeight="1">
      <c r="A884" s="30"/>
      <c r="B884" s="30"/>
      <c r="C884" s="30"/>
      <c r="D884" s="30"/>
      <c r="E884" s="30"/>
      <c r="F884" s="30"/>
    </row>
    <row r="885" ht="15.75" customHeight="1">
      <c r="A885" s="30"/>
      <c r="B885" s="30"/>
      <c r="C885" s="30"/>
      <c r="D885" s="30"/>
      <c r="E885" s="30"/>
      <c r="F885" s="30"/>
    </row>
    <row r="886" ht="15.75" customHeight="1">
      <c r="A886" s="30"/>
      <c r="B886" s="30"/>
      <c r="C886" s="30"/>
      <c r="D886" s="30"/>
      <c r="E886" s="30"/>
      <c r="F886" s="30"/>
    </row>
    <row r="887" ht="15.75" customHeight="1">
      <c r="A887" s="30"/>
      <c r="B887" s="30"/>
      <c r="C887" s="30"/>
      <c r="D887" s="30"/>
      <c r="E887" s="30"/>
      <c r="F887" s="30"/>
    </row>
    <row r="888" ht="15.75" customHeight="1">
      <c r="A888" s="30"/>
      <c r="B888" s="30"/>
      <c r="C888" s="30"/>
      <c r="D888" s="30"/>
      <c r="E888" s="30"/>
      <c r="F888" s="30"/>
    </row>
    <row r="889" ht="15.75" customHeight="1">
      <c r="A889" s="30"/>
      <c r="B889" s="30"/>
      <c r="C889" s="30"/>
      <c r="D889" s="30"/>
      <c r="E889" s="30"/>
      <c r="F889" s="30"/>
    </row>
    <row r="890" ht="15.75" customHeight="1">
      <c r="A890" s="30"/>
      <c r="B890" s="30"/>
      <c r="C890" s="30"/>
      <c r="D890" s="30"/>
      <c r="E890" s="30"/>
      <c r="F890" s="30"/>
    </row>
    <row r="891" ht="15.75" customHeight="1">
      <c r="A891" s="30"/>
      <c r="B891" s="30"/>
      <c r="C891" s="30"/>
      <c r="D891" s="30"/>
      <c r="E891" s="30"/>
      <c r="F891" s="30"/>
    </row>
    <row r="892" ht="15.75" customHeight="1">
      <c r="A892" s="30"/>
      <c r="B892" s="30"/>
      <c r="C892" s="30"/>
      <c r="D892" s="30"/>
      <c r="E892" s="30"/>
      <c r="F892" s="30"/>
    </row>
    <row r="893" ht="15.75" customHeight="1">
      <c r="A893" s="30"/>
      <c r="B893" s="30"/>
      <c r="C893" s="30"/>
      <c r="D893" s="30"/>
      <c r="E893" s="30"/>
      <c r="F893" s="30"/>
    </row>
    <row r="894" ht="15.75" customHeight="1">
      <c r="A894" s="30"/>
      <c r="B894" s="30"/>
      <c r="C894" s="30"/>
      <c r="D894" s="30"/>
      <c r="E894" s="30"/>
      <c r="F894" s="30"/>
    </row>
    <row r="895" ht="15.75" customHeight="1">
      <c r="A895" s="30"/>
      <c r="B895" s="30"/>
      <c r="C895" s="30"/>
      <c r="D895" s="30"/>
      <c r="E895" s="30"/>
      <c r="F895" s="30"/>
    </row>
    <row r="896" ht="15.75" customHeight="1">
      <c r="A896" s="30"/>
      <c r="B896" s="30"/>
      <c r="C896" s="30"/>
      <c r="D896" s="30"/>
      <c r="E896" s="30"/>
      <c r="F896" s="30"/>
    </row>
    <row r="897" ht="15.75" customHeight="1">
      <c r="A897" s="30"/>
      <c r="B897" s="30"/>
      <c r="C897" s="30"/>
      <c r="D897" s="30"/>
      <c r="E897" s="30"/>
      <c r="F897" s="30"/>
    </row>
    <row r="898" ht="15.75" customHeight="1">
      <c r="A898" s="30"/>
      <c r="B898" s="30"/>
      <c r="C898" s="30"/>
      <c r="D898" s="30"/>
      <c r="E898" s="30"/>
      <c r="F898" s="30"/>
    </row>
    <row r="899" ht="15.75" customHeight="1">
      <c r="A899" s="30"/>
      <c r="B899" s="30"/>
      <c r="C899" s="30"/>
      <c r="D899" s="30"/>
      <c r="E899" s="30"/>
      <c r="F899" s="30"/>
    </row>
    <row r="900" ht="15.75" customHeight="1">
      <c r="A900" s="30"/>
      <c r="B900" s="30"/>
      <c r="C900" s="30"/>
      <c r="D900" s="30"/>
      <c r="E900" s="30"/>
      <c r="F900" s="30"/>
    </row>
    <row r="901" ht="15.75" customHeight="1">
      <c r="A901" s="30"/>
      <c r="B901" s="30"/>
      <c r="C901" s="30"/>
      <c r="D901" s="30"/>
      <c r="E901" s="30"/>
      <c r="F901" s="30"/>
    </row>
    <row r="902" ht="15.75" customHeight="1">
      <c r="A902" s="30"/>
      <c r="B902" s="30"/>
      <c r="C902" s="30"/>
      <c r="D902" s="30"/>
      <c r="E902" s="30"/>
      <c r="F902" s="30"/>
    </row>
    <row r="903" ht="15.75" customHeight="1">
      <c r="A903" s="30"/>
      <c r="B903" s="30"/>
      <c r="C903" s="30"/>
      <c r="D903" s="30"/>
      <c r="E903" s="30"/>
      <c r="F903" s="30"/>
    </row>
    <row r="904" ht="15.75" customHeight="1">
      <c r="A904" s="30"/>
      <c r="B904" s="30"/>
      <c r="C904" s="30"/>
      <c r="D904" s="30"/>
      <c r="E904" s="30"/>
      <c r="F904" s="30"/>
    </row>
    <row r="905" ht="15.75" customHeight="1">
      <c r="A905" s="30"/>
      <c r="B905" s="30"/>
      <c r="C905" s="30"/>
      <c r="D905" s="30"/>
      <c r="E905" s="30"/>
      <c r="F905" s="30"/>
    </row>
    <row r="906" ht="15.75" customHeight="1">
      <c r="A906" s="30"/>
      <c r="B906" s="30"/>
      <c r="C906" s="30"/>
      <c r="D906" s="30"/>
      <c r="E906" s="30"/>
      <c r="F906" s="30"/>
    </row>
    <row r="907" ht="15.75" customHeight="1">
      <c r="A907" s="30"/>
      <c r="B907" s="30"/>
      <c r="C907" s="30"/>
      <c r="D907" s="30"/>
      <c r="E907" s="30"/>
      <c r="F907" s="30"/>
    </row>
    <row r="908" ht="15.75" customHeight="1">
      <c r="A908" s="30"/>
      <c r="B908" s="30"/>
      <c r="C908" s="30"/>
      <c r="D908" s="30"/>
      <c r="E908" s="30"/>
      <c r="F908" s="30"/>
    </row>
    <row r="909" ht="15.75" customHeight="1">
      <c r="A909" s="30"/>
      <c r="B909" s="30"/>
      <c r="C909" s="30"/>
      <c r="D909" s="30"/>
      <c r="E909" s="30"/>
      <c r="F909" s="30"/>
    </row>
    <row r="910" ht="15.75" customHeight="1">
      <c r="A910" s="30"/>
      <c r="B910" s="30"/>
      <c r="C910" s="30"/>
      <c r="D910" s="30"/>
      <c r="E910" s="30"/>
      <c r="F910" s="30"/>
    </row>
    <row r="911" ht="15.75" customHeight="1">
      <c r="A911" s="30"/>
      <c r="B911" s="30"/>
      <c r="C911" s="30"/>
      <c r="D911" s="30"/>
      <c r="E911" s="30"/>
      <c r="F911" s="30"/>
    </row>
    <row r="912" ht="15.75" customHeight="1">
      <c r="A912" s="30"/>
      <c r="B912" s="30"/>
      <c r="C912" s="30"/>
      <c r="D912" s="30"/>
      <c r="E912" s="30"/>
      <c r="F912" s="30"/>
    </row>
    <row r="913" ht="15.75" customHeight="1">
      <c r="A913" s="30"/>
      <c r="B913" s="30"/>
      <c r="C913" s="30"/>
      <c r="D913" s="30"/>
      <c r="E913" s="30"/>
      <c r="F913" s="30"/>
    </row>
    <row r="914" ht="15.75" customHeight="1">
      <c r="A914" s="30"/>
      <c r="B914" s="30"/>
      <c r="C914" s="30"/>
      <c r="D914" s="30"/>
      <c r="E914" s="30"/>
      <c r="F914" s="30"/>
    </row>
    <row r="915" ht="15.75" customHeight="1">
      <c r="A915" s="30"/>
      <c r="B915" s="30"/>
      <c r="C915" s="30"/>
      <c r="D915" s="30"/>
      <c r="E915" s="30"/>
      <c r="F915" s="30"/>
    </row>
    <row r="916" ht="15.75" customHeight="1">
      <c r="A916" s="30"/>
      <c r="B916" s="30"/>
      <c r="C916" s="30"/>
      <c r="D916" s="30"/>
      <c r="E916" s="30"/>
      <c r="F916" s="30"/>
    </row>
    <row r="917" ht="15.75" customHeight="1">
      <c r="A917" s="30"/>
      <c r="B917" s="30"/>
      <c r="C917" s="30"/>
      <c r="D917" s="30"/>
      <c r="E917" s="30"/>
      <c r="F917" s="30"/>
    </row>
    <row r="918" ht="15.75" customHeight="1">
      <c r="A918" s="30"/>
      <c r="B918" s="30"/>
      <c r="C918" s="30"/>
      <c r="D918" s="30"/>
      <c r="E918" s="30"/>
      <c r="F918" s="30"/>
    </row>
    <row r="919" ht="15.75" customHeight="1">
      <c r="A919" s="30"/>
      <c r="B919" s="30"/>
      <c r="C919" s="30"/>
      <c r="D919" s="30"/>
      <c r="E919" s="30"/>
      <c r="F919" s="30"/>
    </row>
    <row r="920" ht="15.75" customHeight="1">
      <c r="A920" s="30"/>
      <c r="B920" s="30"/>
      <c r="C920" s="30"/>
      <c r="D920" s="30"/>
      <c r="E920" s="30"/>
      <c r="F920" s="30"/>
    </row>
    <row r="921" ht="15.75" customHeight="1">
      <c r="A921" s="30"/>
      <c r="B921" s="30"/>
      <c r="C921" s="30"/>
      <c r="D921" s="30"/>
      <c r="E921" s="30"/>
      <c r="F921" s="30"/>
    </row>
    <row r="922" ht="15.75" customHeight="1">
      <c r="A922" s="30"/>
      <c r="B922" s="30"/>
      <c r="C922" s="30"/>
      <c r="D922" s="30"/>
      <c r="E922" s="30"/>
      <c r="F922" s="30"/>
    </row>
    <row r="923" ht="15.75" customHeight="1">
      <c r="A923" s="30"/>
      <c r="B923" s="30"/>
      <c r="C923" s="30"/>
      <c r="D923" s="30"/>
      <c r="E923" s="30"/>
      <c r="F923" s="30"/>
    </row>
    <row r="924" ht="15.75" customHeight="1">
      <c r="A924" s="30"/>
      <c r="B924" s="30"/>
      <c r="C924" s="30"/>
      <c r="D924" s="30"/>
      <c r="E924" s="30"/>
      <c r="F924" s="30"/>
    </row>
    <row r="925" ht="15.75" customHeight="1">
      <c r="A925" s="30"/>
      <c r="B925" s="30"/>
      <c r="C925" s="30"/>
      <c r="D925" s="30"/>
      <c r="E925" s="30"/>
      <c r="F925" s="30"/>
    </row>
    <row r="926" ht="15.75" customHeight="1">
      <c r="A926" s="30"/>
      <c r="B926" s="30"/>
      <c r="C926" s="30"/>
      <c r="D926" s="30"/>
      <c r="E926" s="30"/>
      <c r="F926" s="30"/>
    </row>
    <row r="927" ht="15.75" customHeight="1">
      <c r="A927" s="30"/>
      <c r="B927" s="30"/>
      <c r="C927" s="30"/>
      <c r="D927" s="30"/>
      <c r="E927" s="30"/>
      <c r="F927" s="30"/>
    </row>
    <row r="928" ht="15.75" customHeight="1">
      <c r="A928" s="30"/>
      <c r="B928" s="30"/>
      <c r="C928" s="30"/>
      <c r="D928" s="30"/>
      <c r="E928" s="30"/>
      <c r="F928" s="30"/>
    </row>
    <row r="929" ht="15.75" customHeight="1">
      <c r="A929" s="30"/>
      <c r="B929" s="30"/>
      <c r="C929" s="30"/>
      <c r="D929" s="30"/>
      <c r="E929" s="30"/>
      <c r="F929" s="30"/>
    </row>
    <row r="930" ht="15.75" customHeight="1">
      <c r="A930" s="30"/>
      <c r="B930" s="30"/>
      <c r="C930" s="30"/>
      <c r="D930" s="30"/>
      <c r="E930" s="30"/>
      <c r="F930" s="30"/>
    </row>
    <row r="931" ht="15.75" customHeight="1">
      <c r="A931" s="30"/>
      <c r="B931" s="30"/>
      <c r="C931" s="30"/>
      <c r="D931" s="30"/>
      <c r="E931" s="30"/>
      <c r="F931" s="30"/>
    </row>
    <row r="932" ht="15.75" customHeight="1">
      <c r="A932" s="30"/>
      <c r="B932" s="30"/>
      <c r="C932" s="30"/>
      <c r="D932" s="30"/>
      <c r="E932" s="30"/>
      <c r="F932" s="30"/>
    </row>
    <row r="933" ht="15.75" customHeight="1">
      <c r="A933" s="30"/>
      <c r="B933" s="30"/>
      <c r="C933" s="30"/>
      <c r="D933" s="30"/>
      <c r="E933" s="30"/>
      <c r="F933" s="30"/>
    </row>
    <row r="934" ht="15.75" customHeight="1">
      <c r="A934" s="30"/>
      <c r="B934" s="30"/>
      <c r="C934" s="30"/>
      <c r="D934" s="30"/>
      <c r="E934" s="30"/>
      <c r="F934" s="30"/>
    </row>
    <row r="935" ht="15.75" customHeight="1">
      <c r="A935" s="30"/>
      <c r="B935" s="30"/>
      <c r="C935" s="30"/>
      <c r="D935" s="30"/>
      <c r="E935" s="30"/>
      <c r="F935" s="30"/>
    </row>
    <row r="936" ht="15.75" customHeight="1">
      <c r="A936" s="30"/>
      <c r="B936" s="30"/>
      <c r="C936" s="30"/>
      <c r="D936" s="30"/>
      <c r="E936" s="30"/>
      <c r="F936" s="30"/>
    </row>
    <row r="937" ht="15.75" customHeight="1">
      <c r="A937" s="30"/>
      <c r="B937" s="30"/>
      <c r="C937" s="30"/>
      <c r="D937" s="30"/>
      <c r="E937" s="30"/>
      <c r="F937" s="30"/>
    </row>
    <row r="938" ht="15.75" customHeight="1">
      <c r="A938" s="30"/>
      <c r="B938" s="30"/>
      <c r="C938" s="30"/>
      <c r="D938" s="30"/>
      <c r="E938" s="30"/>
      <c r="F938" s="30"/>
    </row>
    <row r="939" ht="15.75" customHeight="1">
      <c r="A939" s="30"/>
      <c r="B939" s="30"/>
      <c r="C939" s="30"/>
      <c r="D939" s="30"/>
      <c r="E939" s="30"/>
      <c r="F939" s="30"/>
    </row>
    <row r="940" ht="15.75" customHeight="1">
      <c r="A940" s="30"/>
      <c r="B940" s="30"/>
      <c r="C940" s="30"/>
      <c r="D940" s="30"/>
      <c r="E940" s="30"/>
      <c r="F940" s="30"/>
    </row>
    <row r="941" ht="15.75" customHeight="1">
      <c r="A941" s="30"/>
      <c r="B941" s="30"/>
      <c r="C941" s="30"/>
      <c r="D941" s="30"/>
      <c r="E941" s="30"/>
      <c r="F941" s="30"/>
    </row>
    <row r="942" ht="15.75" customHeight="1">
      <c r="A942" s="30"/>
      <c r="B942" s="30"/>
      <c r="C942" s="30"/>
      <c r="D942" s="30"/>
      <c r="E942" s="30"/>
      <c r="F942" s="30"/>
    </row>
    <row r="943" ht="15.75" customHeight="1">
      <c r="A943" s="30"/>
      <c r="B943" s="30"/>
      <c r="C943" s="30"/>
      <c r="D943" s="30"/>
      <c r="E943" s="30"/>
      <c r="F943" s="30"/>
    </row>
    <row r="944" ht="15.75" customHeight="1">
      <c r="A944" s="30"/>
      <c r="B944" s="30"/>
      <c r="C944" s="30"/>
      <c r="D944" s="30"/>
      <c r="E944" s="30"/>
      <c r="F944" s="30"/>
    </row>
    <row r="945" ht="15.75" customHeight="1">
      <c r="A945" s="30"/>
      <c r="B945" s="30"/>
      <c r="C945" s="30"/>
      <c r="D945" s="30"/>
      <c r="E945" s="30"/>
      <c r="F945" s="30"/>
    </row>
    <row r="946" ht="15.75" customHeight="1">
      <c r="A946" s="30"/>
      <c r="B946" s="30"/>
      <c r="C946" s="30"/>
      <c r="D946" s="30"/>
      <c r="E946" s="30"/>
      <c r="F946" s="30"/>
    </row>
    <row r="947" ht="15.75" customHeight="1">
      <c r="A947" s="30"/>
      <c r="B947" s="30"/>
      <c r="C947" s="30"/>
      <c r="D947" s="30"/>
      <c r="E947" s="30"/>
      <c r="F947" s="30"/>
    </row>
    <row r="948" ht="15.75" customHeight="1">
      <c r="A948" s="30"/>
      <c r="B948" s="30"/>
      <c r="C948" s="30"/>
      <c r="D948" s="30"/>
      <c r="E948" s="30"/>
      <c r="F948" s="30"/>
    </row>
    <row r="949" ht="15.75" customHeight="1">
      <c r="A949" s="30"/>
      <c r="B949" s="30"/>
      <c r="C949" s="30"/>
      <c r="D949" s="30"/>
      <c r="E949" s="30"/>
      <c r="F949" s="30"/>
    </row>
    <row r="950" ht="15.75" customHeight="1">
      <c r="A950" s="30"/>
      <c r="B950" s="30"/>
      <c r="C950" s="30"/>
      <c r="D950" s="30"/>
      <c r="E950" s="30"/>
      <c r="F950" s="30"/>
    </row>
    <row r="951" ht="15.75" customHeight="1">
      <c r="A951" s="30"/>
      <c r="B951" s="30"/>
      <c r="C951" s="30"/>
      <c r="D951" s="30"/>
      <c r="E951" s="30"/>
      <c r="F951" s="30"/>
    </row>
    <row r="952" ht="15.75" customHeight="1">
      <c r="A952" s="30"/>
      <c r="B952" s="30"/>
      <c r="C952" s="30"/>
      <c r="D952" s="30"/>
      <c r="E952" s="30"/>
      <c r="F952" s="30"/>
    </row>
    <row r="953" ht="15.75" customHeight="1">
      <c r="A953" s="30"/>
      <c r="B953" s="30"/>
      <c r="C953" s="30"/>
      <c r="D953" s="30"/>
      <c r="E953" s="30"/>
      <c r="F953" s="30"/>
    </row>
    <row r="954" ht="15.75" customHeight="1">
      <c r="A954" s="30"/>
      <c r="B954" s="30"/>
      <c r="C954" s="30"/>
      <c r="D954" s="30"/>
      <c r="E954" s="30"/>
      <c r="F954" s="30"/>
    </row>
    <row r="955" ht="15.75" customHeight="1">
      <c r="A955" s="30"/>
      <c r="B955" s="30"/>
      <c r="C955" s="30"/>
      <c r="D955" s="30"/>
      <c r="E955" s="30"/>
      <c r="F955" s="30"/>
    </row>
    <row r="956" ht="15.75" customHeight="1">
      <c r="A956" s="30"/>
      <c r="B956" s="30"/>
      <c r="C956" s="30"/>
      <c r="D956" s="30"/>
      <c r="E956" s="30"/>
      <c r="F956" s="30"/>
    </row>
    <row r="957" ht="15.75" customHeight="1">
      <c r="A957" s="30"/>
      <c r="B957" s="30"/>
      <c r="C957" s="30"/>
      <c r="D957" s="30"/>
      <c r="E957" s="30"/>
      <c r="F957" s="30"/>
    </row>
    <row r="958" ht="15.75" customHeight="1">
      <c r="A958" s="30"/>
      <c r="B958" s="30"/>
      <c r="C958" s="30"/>
      <c r="D958" s="30"/>
      <c r="E958" s="30"/>
      <c r="F958" s="30"/>
    </row>
    <row r="959" ht="15.75" customHeight="1">
      <c r="A959" s="30"/>
      <c r="B959" s="30"/>
      <c r="C959" s="30"/>
      <c r="D959" s="30"/>
      <c r="E959" s="30"/>
      <c r="F959" s="30"/>
    </row>
    <row r="960" ht="15.75" customHeight="1">
      <c r="A960" s="30"/>
      <c r="B960" s="30"/>
      <c r="C960" s="30"/>
      <c r="D960" s="30"/>
      <c r="E960" s="30"/>
      <c r="F960" s="30"/>
    </row>
    <row r="961" ht="15.75" customHeight="1">
      <c r="A961" s="30"/>
      <c r="B961" s="30"/>
      <c r="C961" s="30"/>
      <c r="D961" s="30"/>
      <c r="E961" s="30"/>
      <c r="F961" s="30"/>
    </row>
    <row r="962" ht="15.75" customHeight="1">
      <c r="A962" s="30"/>
      <c r="B962" s="30"/>
      <c r="C962" s="30"/>
      <c r="D962" s="30"/>
      <c r="E962" s="30"/>
      <c r="F962" s="30"/>
    </row>
    <row r="963" ht="15.75" customHeight="1">
      <c r="A963" s="30"/>
      <c r="B963" s="30"/>
      <c r="C963" s="30"/>
      <c r="D963" s="30"/>
      <c r="E963" s="30"/>
      <c r="F963" s="30"/>
    </row>
    <row r="964" ht="15.75" customHeight="1">
      <c r="A964" s="30"/>
      <c r="B964" s="30"/>
      <c r="C964" s="30"/>
      <c r="D964" s="30"/>
      <c r="E964" s="30"/>
      <c r="F964" s="30"/>
    </row>
    <row r="965" ht="15.75" customHeight="1">
      <c r="A965" s="30"/>
      <c r="B965" s="30"/>
      <c r="C965" s="30"/>
      <c r="D965" s="30"/>
      <c r="E965" s="30"/>
      <c r="F965" s="30"/>
    </row>
    <row r="966" ht="15.75" customHeight="1">
      <c r="A966" s="30"/>
      <c r="B966" s="30"/>
      <c r="C966" s="30"/>
      <c r="D966" s="30"/>
      <c r="E966" s="30"/>
      <c r="F966" s="30"/>
    </row>
    <row r="967" ht="15.75" customHeight="1">
      <c r="A967" s="30"/>
      <c r="B967" s="30"/>
      <c r="C967" s="30"/>
      <c r="D967" s="30"/>
      <c r="E967" s="30"/>
      <c r="F967" s="30"/>
    </row>
    <row r="968" ht="15.75" customHeight="1">
      <c r="A968" s="30"/>
      <c r="B968" s="30"/>
      <c r="C968" s="30"/>
      <c r="D968" s="30"/>
      <c r="E968" s="30"/>
      <c r="F968" s="30"/>
    </row>
    <row r="969" ht="15.75" customHeight="1">
      <c r="A969" s="30"/>
      <c r="B969" s="30"/>
      <c r="C969" s="30"/>
      <c r="D969" s="30"/>
      <c r="E969" s="30"/>
      <c r="F969" s="30"/>
    </row>
    <row r="970" ht="15.75" customHeight="1">
      <c r="A970" s="30"/>
      <c r="B970" s="30"/>
      <c r="C970" s="30"/>
      <c r="D970" s="30"/>
      <c r="E970" s="30"/>
      <c r="F970" s="30"/>
    </row>
    <row r="971" ht="15.75" customHeight="1">
      <c r="A971" s="30"/>
      <c r="B971" s="30"/>
      <c r="C971" s="30"/>
      <c r="D971" s="30"/>
      <c r="E971" s="30"/>
      <c r="F971" s="30"/>
    </row>
    <row r="972" ht="15.75" customHeight="1">
      <c r="A972" s="30"/>
      <c r="B972" s="30"/>
      <c r="C972" s="30"/>
      <c r="D972" s="30"/>
      <c r="E972" s="30"/>
      <c r="F972" s="30"/>
    </row>
    <row r="973" ht="15.75" customHeight="1">
      <c r="A973" s="30"/>
      <c r="B973" s="30"/>
      <c r="C973" s="30"/>
      <c r="D973" s="30"/>
      <c r="E973" s="30"/>
      <c r="F973" s="30"/>
    </row>
    <row r="974" ht="15.75" customHeight="1">
      <c r="A974" s="30"/>
      <c r="B974" s="30"/>
      <c r="C974" s="30"/>
      <c r="D974" s="30"/>
      <c r="E974" s="30"/>
      <c r="F974" s="30"/>
    </row>
    <row r="975" ht="15.75" customHeight="1">
      <c r="A975" s="30"/>
      <c r="B975" s="30"/>
      <c r="C975" s="30"/>
      <c r="D975" s="30"/>
      <c r="E975" s="30"/>
      <c r="F975" s="30"/>
    </row>
    <row r="976" ht="15.75" customHeight="1">
      <c r="A976" s="30"/>
      <c r="B976" s="30"/>
      <c r="C976" s="30"/>
      <c r="D976" s="30"/>
      <c r="E976" s="30"/>
      <c r="F976" s="30"/>
    </row>
    <row r="977" ht="15.75" customHeight="1">
      <c r="A977" s="30"/>
      <c r="B977" s="30"/>
      <c r="C977" s="30"/>
      <c r="D977" s="30"/>
      <c r="E977" s="30"/>
      <c r="F977" s="30"/>
    </row>
    <row r="978" ht="15.75" customHeight="1">
      <c r="A978" s="30"/>
      <c r="B978" s="30"/>
      <c r="C978" s="30"/>
      <c r="D978" s="30"/>
      <c r="E978" s="30"/>
      <c r="F978" s="30"/>
    </row>
    <row r="979" ht="15.75" customHeight="1">
      <c r="A979" s="30"/>
      <c r="B979" s="30"/>
      <c r="C979" s="30"/>
      <c r="D979" s="30"/>
      <c r="E979" s="30"/>
      <c r="F979" s="30"/>
    </row>
    <row r="980" ht="15.75" customHeight="1">
      <c r="A980" s="30"/>
      <c r="B980" s="30"/>
      <c r="C980" s="30"/>
      <c r="D980" s="30"/>
      <c r="E980" s="30"/>
      <c r="F980" s="30"/>
    </row>
    <row r="981" ht="15.75" customHeight="1">
      <c r="A981" s="30"/>
      <c r="B981" s="30"/>
      <c r="C981" s="30"/>
      <c r="D981" s="30"/>
      <c r="E981" s="30"/>
      <c r="F981" s="30"/>
    </row>
    <row r="982" ht="15.75" customHeight="1">
      <c r="A982" s="30"/>
      <c r="B982" s="30"/>
      <c r="C982" s="30"/>
      <c r="D982" s="30"/>
      <c r="E982" s="30"/>
      <c r="F982" s="30"/>
    </row>
    <row r="983" ht="15.75" customHeight="1">
      <c r="A983" s="30"/>
      <c r="B983" s="30"/>
      <c r="C983" s="30"/>
      <c r="D983" s="30"/>
      <c r="E983" s="30"/>
      <c r="F983" s="30"/>
    </row>
    <row r="984" ht="15.75" customHeight="1">
      <c r="A984" s="30"/>
      <c r="B984" s="30"/>
      <c r="C984" s="30"/>
      <c r="D984" s="30"/>
      <c r="E984" s="30"/>
      <c r="F984" s="30"/>
    </row>
    <row r="985" ht="15.75" customHeight="1">
      <c r="A985" s="30"/>
      <c r="B985" s="30"/>
      <c r="C985" s="30"/>
      <c r="D985" s="30"/>
      <c r="E985" s="30"/>
      <c r="F985" s="30"/>
    </row>
    <row r="986" ht="15.75" customHeight="1">
      <c r="A986" s="30"/>
      <c r="B986" s="30"/>
      <c r="C986" s="30"/>
      <c r="D986" s="30"/>
      <c r="E986" s="30"/>
      <c r="F986" s="30"/>
    </row>
    <row r="987" ht="15.75" customHeight="1">
      <c r="A987" s="30"/>
      <c r="B987" s="30"/>
      <c r="C987" s="30"/>
      <c r="D987" s="30"/>
      <c r="E987" s="30"/>
      <c r="F987" s="30"/>
    </row>
    <row r="988" ht="15.75" customHeight="1">
      <c r="A988" s="30"/>
      <c r="B988" s="30"/>
      <c r="C988" s="30"/>
      <c r="D988" s="30"/>
      <c r="E988" s="30"/>
      <c r="F988" s="30"/>
    </row>
    <row r="989" ht="15.75" customHeight="1">
      <c r="A989" s="30"/>
      <c r="B989" s="30"/>
      <c r="C989" s="30"/>
      <c r="D989" s="30"/>
      <c r="E989" s="30"/>
      <c r="F989" s="30"/>
    </row>
    <row r="990" ht="15.75" customHeight="1">
      <c r="A990" s="30"/>
      <c r="B990" s="30"/>
      <c r="C990" s="30"/>
      <c r="D990" s="30"/>
      <c r="E990" s="30"/>
      <c r="F990" s="30"/>
    </row>
    <row r="991" ht="15.75" customHeight="1">
      <c r="A991" s="30"/>
      <c r="B991" s="30"/>
      <c r="C991" s="30"/>
      <c r="D991" s="30"/>
      <c r="E991" s="30"/>
      <c r="F991" s="30"/>
    </row>
    <row r="992" ht="15.75" customHeight="1">
      <c r="A992" s="30"/>
      <c r="B992" s="30"/>
      <c r="C992" s="30"/>
      <c r="D992" s="30"/>
      <c r="E992" s="30"/>
      <c r="F992" s="30"/>
    </row>
    <row r="993" ht="15.75" customHeight="1">
      <c r="A993" s="30"/>
      <c r="B993" s="30"/>
      <c r="C993" s="30"/>
      <c r="D993" s="30"/>
      <c r="E993" s="30"/>
      <c r="F993" s="30"/>
    </row>
    <row r="994" ht="15.75" customHeight="1">
      <c r="A994" s="30"/>
      <c r="B994" s="30"/>
      <c r="C994" s="30"/>
      <c r="D994" s="30"/>
      <c r="E994" s="30"/>
      <c r="F994" s="30"/>
    </row>
    <row r="995" ht="15.75" customHeight="1">
      <c r="A995" s="30"/>
      <c r="B995" s="30"/>
      <c r="C995" s="30"/>
      <c r="D995" s="30"/>
      <c r="E995" s="30"/>
      <c r="F995" s="30"/>
    </row>
    <row r="996" ht="15.75" customHeight="1">
      <c r="A996" s="30"/>
      <c r="B996" s="30"/>
      <c r="C996" s="30"/>
      <c r="D996" s="30"/>
      <c r="E996" s="30"/>
      <c r="F996" s="30"/>
    </row>
    <row r="997" ht="15.75" customHeight="1">
      <c r="A997" s="30"/>
      <c r="B997" s="30"/>
      <c r="C997" s="30"/>
      <c r="D997" s="30"/>
      <c r="E997" s="30"/>
      <c r="F997" s="30"/>
    </row>
    <row r="998" ht="15.75" customHeight="1">
      <c r="A998" s="30"/>
      <c r="B998" s="30"/>
      <c r="C998" s="30"/>
      <c r="D998" s="30"/>
      <c r="E998" s="30"/>
      <c r="F998" s="30"/>
    </row>
    <row r="999" ht="15.75" customHeight="1">
      <c r="A999" s="30"/>
      <c r="B999" s="30"/>
      <c r="C999" s="30"/>
      <c r="D999" s="30"/>
      <c r="E999" s="30"/>
      <c r="F999" s="30"/>
    </row>
    <row r="1000" ht="15.75" customHeight="1">
      <c r="A1000" s="30"/>
      <c r="B1000" s="30"/>
      <c r="C1000" s="30"/>
      <c r="D1000" s="30"/>
      <c r="E1000" s="30"/>
      <c r="F1000" s="30"/>
    </row>
  </sheetData>
  <mergeCells count="6">
    <mergeCell ref="A1:F1"/>
    <mergeCell ref="A2:F2"/>
    <mergeCell ref="A4:F4"/>
    <mergeCell ref="A16:F16"/>
    <mergeCell ref="A21:B21"/>
    <mergeCell ref="D21:F21"/>
  </mergeCells>
  <conditionalFormatting sqref="D6:D13">
    <cfRule type="expression" dxfId="0" priority="1">
      <formula>LEFT(D6,1)="✓"</formula>
    </cfRule>
  </conditionalFormatting>
  <conditionalFormatting sqref="D6:D13">
    <cfRule type="expression" dxfId="2" priority="2">
      <formula>LEFT(D6,1)="⚠"</formula>
    </cfRule>
  </conditionalFormatting>
  <conditionalFormatting sqref="D6:D13">
    <cfRule type="expression" dxfId="3" priority="3">
      <formula>LEFT(D6,1)="🚨"</formula>
    </cfRule>
  </conditionalFormatting>
  <printOptions/>
  <pageMargins bottom="1.0" footer="0.0" header="0.0" left="0.75" right="0.75" top="1.0"/>
  <pageSetup paperSize="9" orientation="portrait"/>
  <drawing r:id="rId1"/>
</worksheet>
</file>